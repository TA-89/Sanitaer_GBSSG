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https://bldsg-my.sharepoint.com/personal/tobias_arnold_gbssg_ch/Documents/01_GBS_SG_2025/14_Webseite Sanitär/"/>
    </mc:Choice>
  </mc:AlternateContent>
  <xr:revisionPtr revIDLastSave="3181" documentId="14_{951A9297-086D-40E5-B644-2B688803AC59}" xr6:coauthVersionLast="47" xr6:coauthVersionMax="47" xr10:uidLastSave="{DE1021AF-2AC3-4923-B38A-C22632839A91}"/>
  <bookViews>
    <workbookView xWindow="28635" yWindow="-165" windowWidth="29130" windowHeight="15810" activeTab="6" xr2:uid="{00000000-000D-0000-FFFF-FFFF00000000}"/>
  </bookViews>
  <sheets>
    <sheet name="Kompetenzraster" sheetId="13" r:id="rId1"/>
    <sheet name="ST_1_KW33" sheetId="14" r:id="rId2"/>
    <sheet name="ST_2_KW34" sheetId="16" r:id="rId3"/>
    <sheet name="ST_3_KW35" sheetId="15" r:id="rId4"/>
    <sheet name="ST_4_KW36" sheetId="17" r:id="rId5"/>
    <sheet name="ST_5_KW37" sheetId="38" r:id="rId6"/>
    <sheet name="ST_6_KW38" sheetId="18" r:id="rId7"/>
    <sheet name="ST_7_KW39" sheetId="20" r:id="rId8"/>
    <sheet name="ST_8_KW43" sheetId="21" r:id="rId9"/>
    <sheet name="ST_9_KW44" sheetId="22" r:id="rId10"/>
    <sheet name="ST_10_KW45" sheetId="25" r:id="rId11"/>
    <sheet name="ST_11_KW46" sheetId="26" r:id="rId12"/>
    <sheet name="ST_12_KW47" sheetId="27" r:id="rId13"/>
    <sheet name="ST_13_KW48" sheetId="28" r:id="rId14"/>
    <sheet name="ST_14_KW49" sheetId="29" r:id="rId15"/>
    <sheet name="ST_15_KW50" sheetId="30" r:id="rId16"/>
    <sheet name="ST_16_KW51" sheetId="31" r:id="rId17"/>
    <sheet name="ST_17_KW52" sheetId="32" r:id="rId18"/>
    <sheet name="ST_18_KW2" sheetId="35" r:id="rId19"/>
    <sheet name="ST_19_KW3 " sheetId="39" r:id="rId20"/>
    <sheet name="ST_20_KW4" sheetId="36" r:id="rId21"/>
    <sheet name="ST_21_KW5" sheetId="41" r:id="rId22"/>
    <sheet name="Aufgaben_Teams" sheetId="42" r:id="rId23"/>
  </sheets>
  <externalReferences>
    <externalReference r:id="rId24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32" i="13" l="1"/>
  <c r="N24" i="13"/>
  <c r="B117" i="42"/>
  <c r="B104" i="42"/>
  <c r="B92" i="42"/>
  <c r="B47" i="42"/>
  <c r="B18" i="42"/>
  <c r="B33" i="42"/>
  <c r="B7" i="42"/>
  <c r="B58" i="42"/>
  <c r="B75" i="42"/>
  <c r="Q5" i="13" l="1"/>
  <c r="E1" i="14" l="1"/>
  <c r="Q7" i="13"/>
  <c r="E1" i="16" l="1"/>
  <c r="Q9" i="13"/>
  <c r="E1" i="15" l="1"/>
  <c r="Q11" i="13"/>
  <c r="E1" i="17" s="1"/>
  <c r="Q13" i="13" l="1"/>
  <c r="E1" i="38" s="1"/>
  <c r="Q15" i="13" l="1"/>
  <c r="E1" i="18" l="1"/>
  <c r="Q17" i="13"/>
  <c r="E1" i="20" s="1"/>
  <c r="Q19" i="13" l="1"/>
  <c r="Q21" i="13" l="1"/>
  <c r="E1" i="21"/>
  <c r="E1" i="22" l="1"/>
  <c r="Q23" i="13"/>
  <c r="E1" i="25" l="1"/>
  <c r="Q25" i="13"/>
  <c r="Q27" i="13" l="1"/>
  <c r="E1" i="26"/>
  <c r="Q29" i="13" l="1"/>
  <c r="E1" i="27"/>
  <c r="Q31" i="13" l="1"/>
  <c r="E1" i="28"/>
  <c r="Q33" i="13" l="1"/>
  <c r="E1" i="29"/>
  <c r="Q35" i="13" l="1"/>
  <c r="Q37" i="13" s="1"/>
  <c r="E1" i="30"/>
  <c r="Q39" i="13" l="1"/>
  <c r="E1" i="32"/>
  <c r="E1" i="31"/>
  <c r="Q41" i="13" l="1"/>
  <c r="E1" i="39" s="1"/>
  <c r="E1" i="35"/>
  <c r="E1" i="36" l="1"/>
  <c r="E1" i="41"/>
</calcChain>
</file>

<file path=xl/sharedStrings.xml><?xml version="1.0" encoding="utf-8"?>
<sst xmlns="http://schemas.openxmlformats.org/spreadsheetml/2006/main" count="634" uniqueCount="298">
  <si>
    <t>Kompetenzraster 1.Semester  Sanitärinstallateur/in EFZ</t>
  </si>
  <si>
    <t>Semesterstart:</t>
  </si>
  <si>
    <t>Schultag:</t>
  </si>
  <si>
    <t>Montag</t>
  </si>
  <si>
    <t>Handlungsfelder und Kompetenzen</t>
  </si>
  <si>
    <t>Bewertung / Benotung</t>
  </si>
  <si>
    <t>Unterichtsplanung 1. Semester</t>
  </si>
  <si>
    <t>Auftrag 1.1</t>
  </si>
  <si>
    <t>Auftrag 1.2</t>
  </si>
  <si>
    <t>Auftrag 1.3</t>
  </si>
  <si>
    <t xml:space="preserve">Allgemeine Infos zum Schulbetrieb / ICT </t>
  </si>
  <si>
    <t>5 Schultage (10L)</t>
  </si>
  <si>
    <t>8 Schultage (16L)</t>
  </si>
  <si>
    <t>2 Schultage (4L)</t>
  </si>
  <si>
    <t>Sie rechnen Masse aus Plänen in Baumasse um.</t>
  </si>
  <si>
    <t xml:space="preserve">Sie interpretieren einfache Architekturpläne. </t>
  </si>
  <si>
    <t>Sie verstehen die Grundlagen des technischen Zeichnens und können diese anwenden.</t>
  </si>
  <si>
    <t>Sie können die drei Ansichten aus der Vorgabe einer Normalprojektion erstellen.</t>
  </si>
  <si>
    <t>Sie können aus der Vorgabe der drei Ansichten dreidimensionale Körper erstellen.</t>
  </si>
  <si>
    <t xml:space="preserve">Sie erläutern einen einfachen Stromkreislauf. </t>
  </si>
  <si>
    <t>Sie erläutern die Gefahren von Strom und beschreiben den Personen- und Sachschutz.</t>
  </si>
  <si>
    <t>Trinkwasser, Eigenschaften &amp; Gewinnung</t>
  </si>
  <si>
    <r>
      <t>1.4</t>
    </r>
    <r>
      <rPr>
        <sz val="8"/>
        <color theme="1"/>
        <rFont val="Century Gothic"/>
        <family val="2"/>
      </rPr>
      <t xml:space="preserve">   </t>
    </r>
    <r>
      <rPr>
        <b/>
        <sz val="8"/>
        <color theme="1"/>
        <rFont val="Century Gothic"/>
        <family val="2"/>
      </rPr>
      <t xml:space="preserve"> 1.1</t>
    </r>
  </si>
  <si>
    <t>Masse und Flächen berechnen</t>
  </si>
  <si>
    <t xml:space="preserve">Sie beschreiben, bei welchen Situationen eine PSA getragen werden muss. </t>
  </si>
  <si>
    <t xml:space="preserve">Sie berechnen Längen- und Höhenmasse. 
</t>
  </si>
  <si>
    <t xml:space="preserve">Sie berechnen den Platzbedarf (Fläche) von Apparaten und Anlagen anhand von Planvorgaben. </t>
  </si>
  <si>
    <t xml:space="preserve">Sie erklären, welche Reparatur- und Wartungsarbeiten an Maschinen erlaubt sind. </t>
  </si>
  <si>
    <t xml:space="preserve">Auftrag 1.1 </t>
  </si>
  <si>
    <t>1.4    1.1</t>
  </si>
  <si>
    <t xml:space="preserve">Sie erläutern die Gefahren auf der Baustelle und in der Werkstatt. </t>
  </si>
  <si>
    <t>Auftrag 1.4</t>
  </si>
  <si>
    <t>Auftrag 1.5</t>
  </si>
  <si>
    <t>4 Schultage (12L)</t>
  </si>
  <si>
    <t>Auftrag 1.6</t>
  </si>
  <si>
    <t>Wasserleitungsmaterialien &amp; Verbindungen</t>
  </si>
  <si>
    <t xml:space="preserve">Sie beschreiben die wichtigsten Eigenschaften von Wasser. </t>
  </si>
  <si>
    <t xml:space="preserve">Sie beschreiben die Funktionsweise der Wasserversorgung. </t>
  </si>
  <si>
    <t xml:space="preserve">Sie unterscheiden die Systeme für Wasserleitungen nach Material und Verwendungszweck. </t>
  </si>
  <si>
    <t xml:space="preserve">Sie ordnen die gebräuchlichen Armaturen den Armaturengruppen korrekt zu. </t>
  </si>
  <si>
    <t xml:space="preserve">Sie beschreiben die Materialeigenschaften der verschiedenen Rohrsysteme aus Kunststoff und Metall. </t>
  </si>
  <si>
    <t>Auftrag 1.8</t>
  </si>
  <si>
    <t>1.5    1.1</t>
  </si>
  <si>
    <t>Arbeitssicherheit &amp; Elektrizität</t>
  </si>
  <si>
    <t>Auftrag 1.9</t>
  </si>
  <si>
    <t>Auftrag 1.12</t>
  </si>
  <si>
    <t>1.5    1.3</t>
  </si>
  <si>
    <t xml:space="preserve">Sie erklären die Trink-wassergewinnung. 
</t>
  </si>
  <si>
    <t xml:space="preserve">Sie benennen die gängigen Vorschriften bezüglich Wasserhygiene. </t>
  </si>
  <si>
    <t xml:space="preserve">Sie benennen die Verbindungen und Dichtungsmaterialien der verschiedenen Installationssysteme. </t>
  </si>
  <si>
    <t>1.5    1.2</t>
  </si>
  <si>
    <t>Grundlagen technisches Zeichnen</t>
  </si>
  <si>
    <t>WAS Leitungsmaterialien &amp; Verbindungen</t>
  </si>
  <si>
    <t>3 Schultage (9L)</t>
  </si>
  <si>
    <t>1.6   1.2</t>
  </si>
  <si>
    <t xml:space="preserve"> Sie beschreiben die unterschiedlichen Abwasserarten. </t>
  </si>
  <si>
    <t xml:space="preserve">Sie unterscheiden die Systeme von Entsorgungsleitungen nach Verwendungszweck. </t>
  </si>
  <si>
    <t xml:space="preserve">Sie beschreiben die Materialen und Werkstoffe, die bei Entsorgungsleitungen eingesetzt werden. </t>
  </si>
  <si>
    <t xml:space="preserve">Sie beschreiben die gebräuchlichen Entwässerungsgegenstände. </t>
  </si>
  <si>
    <t>Zeugnisnote</t>
  </si>
  <si>
    <t xml:space="preserve">Sie beschreiben die verschiedenen Rohrmaterialien für Entsorgungsleitungen. </t>
  </si>
  <si>
    <t xml:space="preserve">Sie erläutern die Verbindungsmöglichkeiten der verschiedenen Installationssysteme. </t>
  </si>
  <si>
    <t xml:space="preserve"> Sie bestimmen geeignete Befestigungen mit Hilfe von Montagebüchern. </t>
  </si>
  <si>
    <t>Die wichtigsten Sanitärapparate</t>
  </si>
  <si>
    <t>1.8   1.2</t>
  </si>
  <si>
    <t>2 Schultage (5L)</t>
  </si>
  <si>
    <t>1 Schultag (4L)</t>
  </si>
  <si>
    <t xml:space="preserve">Sie erklären den organisatorischen Ablauf bei der Entsorgung von Abfällen. </t>
  </si>
  <si>
    <t xml:space="preserve">Sie benennen die relevanten Umweltvorschriften im Zusammenhang mit der Vermeidung und Entsorgung von Abfällen. </t>
  </si>
  <si>
    <t>Sie beherschen ihr Arbeitsgerät (Convertible) und können die Software korrekt bedienen.</t>
  </si>
  <si>
    <t xml:space="preserve">Sie erläutern den Recycling-Kreislauf und erläutern die Gefahren von Sonderabfällen. 
</t>
  </si>
  <si>
    <t>Abfallentsorgung</t>
  </si>
  <si>
    <t>1.9  1.2</t>
  </si>
  <si>
    <t xml:space="preserve">Abfallentsorgung / Besprechung Zeugnis </t>
  </si>
  <si>
    <t>1.9  1.11</t>
  </si>
  <si>
    <t>Leitungsisometrie</t>
  </si>
  <si>
    <t>Elektrotechnik / Berechnungen</t>
  </si>
  <si>
    <t xml:space="preserve">Fachgruppe Sanitär Spengler </t>
  </si>
  <si>
    <t>itm I sanitärlernen.ch</t>
  </si>
  <si>
    <t>Kanton St.Gallen Gewerbliches Berufs- und Weiterbildungszentrum</t>
  </si>
  <si>
    <t>Unterrichtsverlauf</t>
  </si>
  <si>
    <t>ICT Grundlagen</t>
  </si>
  <si>
    <t>1 - 3 Lektion</t>
  </si>
  <si>
    <t>* Einstieg mit Film Digitalisierung</t>
  </si>
  <si>
    <t>Filme / Theorie</t>
  </si>
  <si>
    <t>* Installation Convertible / GBS Login der Schule</t>
  </si>
  <si>
    <t>* Download &amp; Erklärung Microsoft Teams</t>
  </si>
  <si>
    <t>* Login und Erkärung myGBS / NESA</t>
  </si>
  <si>
    <t>Lernziele</t>
  </si>
  <si>
    <t>Sie kennen Ihren Login und können sich in den Portalen der Schule (mygbs / NESA) anmelden.</t>
  </si>
  <si>
    <t>Sie kennen die Plattform Microsoft Teams und myPlanner, myGBS, myDrive, myMail, MyEDU</t>
  </si>
  <si>
    <t>Pause</t>
  </si>
  <si>
    <t>4 - 5 Lektion</t>
  </si>
  <si>
    <t>* Erklärung &amp; Einrichtung OneDrive</t>
  </si>
  <si>
    <t>* Auftrag Leistungsnachweis</t>
  </si>
  <si>
    <t>Sie wissen wie man eine Aufgabe entgegennimmt und ein PDF bearbeitet.</t>
  </si>
  <si>
    <t>Sie wissen wie man ein Dokument auf OneDrive abspeichert und eine Aufgabe abgiebt.</t>
  </si>
  <si>
    <t>Hausaufgaben</t>
  </si>
  <si>
    <t>Administratives</t>
  </si>
  <si>
    <t>Nächste Woche Taschenrechner mitnehmen!</t>
  </si>
  <si>
    <t>Auftrag 1</t>
  </si>
  <si>
    <t>* Einstieg mit Film - Wasser uns seine besonderen Eigenschaften</t>
  </si>
  <si>
    <t>Auftrag 2</t>
  </si>
  <si>
    <t>* Spezielle Eigenschaften von Wasser kennen</t>
  </si>
  <si>
    <t>* Wasserkreislauf &amp; Verteilung auf der Erde</t>
  </si>
  <si>
    <t>* Durchschnittsverbrauch &amp; Anteile der Apparate im Haushalt</t>
  </si>
  <si>
    <t>Sie beschreiben die wichtigsten Eigenschaften von Wasser.</t>
  </si>
  <si>
    <t>Sie können den natürlichen Wasserkreislauf aufzeichnen und erklären.</t>
  </si>
  <si>
    <t>Auftrag 1/2/3</t>
  </si>
  <si>
    <t>* Der Gebrauch des Taschenrechners &amp; wichtige Funktionen</t>
  </si>
  <si>
    <t>* Sinn und Zweck der SI - Einheiten &amp; Einheiten umrechnen</t>
  </si>
  <si>
    <t>* Einheiten umrechnen / Übungen</t>
  </si>
  <si>
    <t>Sie können den Taschenrechner bedienen kennen die wichtigsten Funktionen.</t>
  </si>
  <si>
    <t>Sie kennen den Sinn der SI-Einheiten und können Einheiten umrechnen.</t>
  </si>
  <si>
    <t>Auftrag 3</t>
  </si>
  <si>
    <t xml:space="preserve">* Einstieg und Erklärung der SVGW W3 Norm </t>
  </si>
  <si>
    <t xml:space="preserve">* Wichtigste hygienische Grundsätze / Auftrag 3 </t>
  </si>
  <si>
    <t>* Trinkwasserqualität &amp; Trinkwasser bei mir zuhause kennen lernen</t>
  </si>
  <si>
    <t>Sie benennen die gängigen Vorschriften bezüglich Wasserhygiene</t>
  </si>
  <si>
    <t>Sie beschreiben die Trinkwassergewinnung</t>
  </si>
  <si>
    <t>Auftrag 4</t>
  </si>
  <si>
    <t>* Umrechnung von Massen aus Plänen</t>
  </si>
  <si>
    <t>Auftrag 5</t>
  </si>
  <si>
    <t>* Kennen und verstehen des Meterrisses / Auftrag 5</t>
  </si>
  <si>
    <t xml:space="preserve">Sie rechnen Masse aus Plänen in Baumasse um. </t>
  </si>
  <si>
    <t>Theorie</t>
  </si>
  <si>
    <t>* Leistungsnachweis Trinkwassergewinnung A3</t>
  </si>
  <si>
    <t>Sie beschreiben die drei Arten der Trinkwassergewinnung (Grundwasser, Seewasser, Quellwasser)</t>
  </si>
  <si>
    <t>Auftrag 7</t>
  </si>
  <si>
    <t>* Start mit rechteckiger Flächenberechnung / Formeln herleiten</t>
  </si>
  <si>
    <t>* Formelbuch (Erklärung / Bedienung / Einsatz)</t>
  </si>
  <si>
    <t>* Hinweis auf Übungen / selbst. Lernen!</t>
  </si>
  <si>
    <t>Sie können einfache Längen und Flächen berechnen und umrechnen.</t>
  </si>
  <si>
    <t>* Film: Der Weg des Wassers von der Gewinnung zum Verbraucher</t>
  </si>
  <si>
    <t>* Bearbeitung Auftrag 5 inkl. Besprechung</t>
  </si>
  <si>
    <t>* Erdverlegte Leitungen im Demoraum betrachten / Stadt Hydranten</t>
  </si>
  <si>
    <t>* Evtl. Zeit für Vorbereitung Prüfung</t>
  </si>
  <si>
    <t>Lernziele / Prüfung</t>
  </si>
  <si>
    <t>Sie beschreiben die Funktionsweise der Wasserversorgung</t>
  </si>
  <si>
    <t>Auftrag 8</t>
  </si>
  <si>
    <t>* Start mit runder Flächenberechnung / Formeln herleiten</t>
  </si>
  <si>
    <t>* Berechnungen an Beispielen Auftrag 8</t>
  </si>
  <si>
    <t>Leitungsmaterialien &amp; Verbindungen</t>
  </si>
  <si>
    <t>Prüfung Auftrag 1.4</t>
  </si>
  <si>
    <t>20min</t>
  </si>
  <si>
    <t>* Grundlagen Kunststoff / Verarbeitung Anbohrschelle</t>
  </si>
  <si>
    <t>* Rohrsysteme aus Kunststoff kennen lernen / Demoraum</t>
  </si>
  <si>
    <t>Sie beschreiben die Materialeigenschaften der verschiedenen Rohrsysteme aus Kunststoff.</t>
  </si>
  <si>
    <t>Sie unterscheiden die Systeme für Wasserleitungen nach Material und Verwendungszweck.</t>
  </si>
  <si>
    <t>Sie benennen die Verbindungen und Dichtungsmaterialien der verschiedenen Installationssysteme.</t>
  </si>
  <si>
    <t>Auftrag 9</t>
  </si>
  <si>
    <t>* Flächenberechnungen üben und Vorbereitung für Prüfung</t>
  </si>
  <si>
    <t>* Auftrag / Hinweis für Leistungsnachweis</t>
  </si>
  <si>
    <t>Prüfung Auftrag 1.1</t>
  </si>
  <si>
    <t>45min</t>
  </si>
  <si>
    <t>* Einstieg mit Film "Herstellung von Stahlrohren"</t>
  </si>
  <si>
    <t>* Betrachtung von Stahlrohrsystemen</t>
  </si>
  <si>
    <t>* Betrachtung von Verbundrohrsystemen</t>
  </si>
  <si>
    <t>Sie beschreiben die Materialeigenschaften der verschiedenen Rohrsysteme aus Metall.</t>
  </si>
  <si>
    <t>Arbeitssicherheit / Umgang mit Maschinen</t>
  </si>
  <si>
    <t>Sie erläutern die Gefahren auf der Baustelle und in der Werkstatt.</t>
  </si>
  <si>
    <t>* Auftrag "Cast" Leitungsmaterialien in unserer Firma</t>
  </si>
  <si>
    <t>Sie beschreiben die Materialeigenschaften der verschiedenen Rohrsysteme.</t>
  </si>
  <si>
    <t>* Erklärung &amp; Herleitung der Begriffe Spannung, Stromstärke und Leistung</t>
  </si>
  <si>
    <t>* Kennen und Verstehen der Sicherheitseinrichtung Sicherung &amp; FI Schalter</t>
  </si>
  <si>
    <t>Sie erläutern einen einfachen Stromkreislauf.</t>
  </si>
  <si>
    <t xml:space="preserve">Auftrag 5 </t>
  </si>
  <si>
    <t>* Armaturen im Demoraum anschauen und in Gruppen anordnen</t>
  </si>
  <si>
    <t>* Auftrag fertig machen / Leistungsnachweis "Armaturengruppen"</t>
  </si>
  <si>
    <t>Sie ordnen die gebräuchlichen Armaturen den Armaturengruppen korrekt zu.</t>
  </si>
  <si>
    <t>Grundlagen Fachzeichnen / Isometrie</t>
  </si>
  <si>
    <t>Auftrag 1 &amp; 2</t>
  </si>
  <si>
    <t>* Wichtige Zeichenmaterialien</t>
  </si>
  <si>
    <t>* Übungen Normschrift &amp; Linienarten</t>
  </si>
  <si>
    <t>* Erstellen eines Plankopfes</t>
  </si>
  <si>
    <t>Sie verstehen die Grundlagen des technischen Zeichnens und können Sie anwenden.</t>
  </si>
  <si>
    <r>
      <rPr>
        <b/>
        <sz val="9"/>
        <color theme="1"/>
        <rFont val="Century Gothic"/>
        <family val="2"/>
      </rPr>
      <t>Auftrag 1 &amp; 2</t>
    </r>
    <r>
      <rPr>
        <sz val="9"/>
        <color theme="1"/>
        <rFont val="Century Gothic"/>
        <family val="2"/>
      </rPr>
      <t xml:space="preserve"> (bis. Seite 4)</t>
    </r>
  </si>
  <si>
    <t>* Einstieg mit Aufgabe (Zuständigkeiten der Gewerke)</t>
  </si>
  <si>
    <t>* Gemeinsames Herleiten der Bezeichnungen von Medien</t>
  </si>
  <si>
    <t>* Film - was gehört ins WC? / Min Map Gusseisenwerkstoffe / Demoraum</t>
  </si>
  <si>
    <t>Prüfung Auftrag 1.5</t>
  </si>
  <si>
    <t>30min</t>
  </si>
  <si>
    <t>Sie beschreiben die unterschiedlichen Abwasserarten</t>
  </si>
  <si>
    <t>Sie beschreiben die Materialien und Werkstoffe, die bei Entsorgungsleitungen eingesetzt werden.</t>
  </si>
  <si>
    <t>Auftrag 2 &amp; 3</t>
  </si>
  <si>
    <t>* Gemeinsam Vermassung anschauen</t>
  </si>
  <si>
    <t>* Übungen zum Thema Vermassung</t>
  </si>
  <si>
    <t>* Evtl. Arbeit an Leistungsnachweis</t>
  </si>
  <si>
    <r>
      <rPr>
        <b/>
        <sz val="9"/>
        <color theme="1"/>
        <rFont val="Century Gothic"/>
        <family val="2"/>
      </rPr>
      <t>Auftrag 2/3</t>
    </r>
    <r>
      <rPr>
        <sz val="9"/>
        <color theme="1"/>
        <rFont val="Century Gothic"/>
        <family val="2"/>
      </rPr>
      <t xml:space="preserve"> (Seite 5/6/7)</t>
    </r>
  </si>
  <si>
    <r>
      <t xml:space="preserve">* Evtl. Zeit für Vorbereitung Leistungsnachweis / </t>
    </r>
    <r>
      <rPr>
        <b/>
        <i/>
        <u/>
        <sz val="9"/>
        <color theme="1"/>
        <rFont val="Century Gothic"/>
        <family val="2"/>
      </rPr>
      <t>Hausaufgabe!</t>
    </r>
  </si>
  <si>
    <t>Sie erläutern die Verbindungsmöglichkeiten der verschiedenen Installationssystemen.</t>
  </si>
  <si>
    <t>Auftrag 3 &amp; 4</t>
  </si>
  <si>
    <t>* Repetition Vermassung und vorzeichnen</t>
  </si>
  <si>
    <t>* Arbeit an Leistungsnachweis</t>
  </si>
  <si>
    <t>* Schnellere Lernende steigen in die Normprojektion ein</t>
  </si>
  <si>
    <t>* Übungen zum Thema Normprojektion machen</t>
  </si>
  <si>
    <t>Sie können die drei Ansichten aus der Vorgabe einer Normprojektion erstellen.</t>
  </si>
  <si>
    <r>
      <rPr>
        <b/>
        <sz val="9"/>
        <color theme="1"/>
        <rFont val="Century Gothic"/>
        <family val="2"/>
      </rPr>
      <t>Auftrag 4</t>
    </r>
    <r>
      <rPr>
        <sz val="9"/>
        <color theme="1"/>
        <rFont val="Century Gothic"/>
        <family val="2"/>
      </rPr>
      <t xml:space="preserve"> (Seite 6/7/8)</t>
    </r>
  </si>
  <si>
    <t>* Video betrachten der Leitungsteile / Bezeichnungen</t>
  </si>
  <si>
    <t>* Alle Leitungsteile betrachten im Lehrmittel S.40</t>
  </si>
  <si>
    <t>* Einstieg in die Gewichtskraft / Beispiele rechnen</t>
  </si>
  <si>
    <t>* Hinweis Leistungsnachweis (Lernkontrolle)</t>
  </si>
  <si>
    <t>Sie unterscheiden die Systeme von Entsorgungsleitungen nach deren Verwendungszweck</t>
  </si>
  <si>
    <t>Sie bestimmen geeignete Befestigungen mit Hilfe von Montagehandbüchern</t>
  </si>
  <si>
    <t>* Einstieg / Herleitung Normprojektion</t>
  </si>
  <si>
    <r>
      <rPr>
        <b/>
        <sz val="9"/>
        <color theme="1"/>
        <rFont val="Century Gothic"/>
        <family val="2"/>
      </rPr>
      <t>Auftrag 5-6</t>
    </r>
    <r>
      <rPr>
        <sz val="9"/>
        <color theme="1"/>
        <rFont val="Century Gothic"/>
        <family val="2"/>
      </rPr>
      <t xml:space="preserve"> (Seite 9/10/11/12)</t>
    </r>
  </si>
  <si>
    <t>* Einstieg Quizacademy Bezeichnung Leitungsteile</t>
  </si>
  <si>
    <t>* Berechnungen in der  Gewichtskraft / Beispiele rechnen</t>
  </si>
  <si>
    <t>* Übungen und Hinweis Lösung Leistungsnachweis</t>
  </si>
  <si>
    <t>Entwässerungsgegenstände</t>
  </si>
  <si>
    <t>* Einstieg im Demoraum / Ablaufventile</t>
  </si>
  <si>
    <t>* Arbeit an Fragen / Dossier Beantwortung</t>
  </si>
  <si>
    <t>* Hinweis / Leistungsnachweis</t>
  </si>
  <si>
    <t>Prüfung Auftrag 1.6</t>
  </si>
  <si>
    <t>Sie kennen die Aufgabe und Funktion von Ablaufventilen und Geruchsverschlüssen bei sanitären Apparaten.</t>
  </si>
  <si>
    <t>Sie kennen die Hauptgruppen und Eigenschaftenbei sanitären Apparaten.</t>
  </si>
  <si>
    <t>* Hinweis / Abgabe Leistungsnachweis</t>
  </si>
  <si>
    <t>* Einstieg im Demoraum / Spülung WC</t>
  </si>
  <si>
    <t>* Arbeit an Fragen / Spülkasten / Duofix</t>
  </si>
  <si>
    <t>Sie kennen die unterschiedlichen Spüleinrichtungen bei sanitären Apparaten.</t>
  </si>
  <si>
    <t>* Einstieg / Herleitung Körperisometrie</t>
  </si>
  <si>
    <t>* Übungen zum Thema Körperisometrie machen</t>
  </si>
  <si>
    <t>Sie können aus der Vorgabe der drei Ansichten dreisimenionale Körper erstellen.</t>
  </si>
  <si>
    <t>* Einstieg im Demoraum / Urinoirsteuerung</t>
  </si>
  <si>
    <t>* Arbeit an Fragen / Spülsysteme / Wasserlose Urinoir</t>
  </si>
  <si>
    <t>* Zeit für Arbeit an Leistungsnachweisen</t>
  </si>
  <si>
    <t xml:space="preserve">* Arbeit an Thema "Körperisometrie </t>
  </si>
  <si>
    <t>* Zeit und Besprechung Leistungsnachweise</t>
  </si>
  <si>
    <t>Auftrag 1/2</t>
  </si>
  <si>
    <t>* Einstieg =&gt; (Lehrmittel Nachhaltigkeit Kapitel 5 / Seite 26 -28) lesen</t>
  </si>
  <si>
    <t>* Video Theorie schauen (Link auf der Seite / Fragen 1-5 beantworten</t>
  </si>
  <si>
    <t>* Anschliessend Bericht lesen in Auftrag 1.9 und Fragen 6 - 11 beantorten</t>
  </si>
  <si>
    <t>* Arbeit an Leistungsnachweis "Entsorgungskonzept meiner Firma"</t>
  </si>
  <si>
    <t>Sie erklären den organisatorischen Ablauf bei der Entsorgung von Abfällen</t>
  </si>
  <si>
    <t>Sie benennen die Umweltvorschriften bei der Entsorgung von Abfällen.</t>
  </si>
  <si>
    <t>Prüfung Auftrag 1.2</t>
  </si>
  <si>
    <t>50min</t>
  </si>
  <si>
    <t>* Übungen zur Körperisometrie machen</t>
  </si>
  <si>
    <t>* Abgabe Leistungsnachweis spätestens heute um 17.20 Uhr!</t>
  </si>
  <si>
    <t>Auftrag 3,4,5</t>
  </si>
  <si>
    <t>* Einstieg mit Video "Kunststoffe Gefahr für die Umwelt &amp; PET" aus Auftrag</t>
  </si>
  <si>
    <t>* Übersicht erstellen auf Seite 5 gem. Auftrag</t>
  </si>
  <si>
    <t>* Video "Asbest" schauen und Fragen 11 -12 machen im Auftrag.</t>
  </si>
  <si>
    <t xml:space="preserve">   Hinweis Leistungsnachweise 1.9 (Abfallkonzept &amp; Onlineprüfung Asbest)</t>
  </si>
  <si>
    <t>Sie erläutern den Recycling -Kreislauf und die Gefahren von Sonderabfällen.</t>
  </si>
  <si>
    <t>Auftrag 1,2</t>
  </si>
  <si>
    <t>* Einstieg mit Video "Leitungsisometrie" / Erklärung"</t>
  </si>
  <si>
    <t>* Aufgabe Alpha, Betta und Gamma lösen</t>
  </si>
  <si>
    <t>Sie erstellen selbstständig Isometriezeichnunen von Leitungsteilen</t>
  </si>
  <si>
    <t xml:space="preserve">Elektrotechnik </t>
  </si>
  <si>
    <t>* Einstieg mit Beispiel "Phasenprüfer"</t>
  </si>
  <si>
    <t>* Spannung und Stromstärke verstehen</t>
  </si>
  <si>
    <t>Sie verstehen die Begriffe Stromstärke, Widerstand</t>
  </si>
  <si>
    <t>Sie verstehen das Ohmsche Gesetz und können einfache Berechnungen dazu ausführen.</t>
  </si>
  <si>
    <t>* Einstieg und Erklärung der Leitungsisometrie</t>
  </si>
  <si>
    <t>* Üben und Fertigkeiten trainieren an Beispielen aus Auftrag</t>
  </si>
  <si>
    <t>* Sie erstellen Isometriezeichnungen aus Grundrissplänen</t>
  </si>
  <si>
    <t>Alternativ Skitag</t>
  </si>
  <si>
    <t>* Einstieg mit p=u*i</t>
  </si>
  <si>
    <t>Klasse SAI1X</t>
  </si>
  <si>
    <t>Punkte</t>
  </si>
  <si>
    <t>Aufgaben Teams</t>
  </si>
  <si>
    <t>* Erklärung &amp; Installation OneNote</t>
  </si>
  <si>
    <r>
      <rPr>
        <b/>
        <sz val="11"/>
        <color theme="1"/>
        <rFont val="Calibri"/>
        <family val="2"/>
        <scheme val="minor"/>
      </rPr>
      <t>Lernziele:</t>
    </r>
    <r>
      <rPr>
        <sz val="11"/>
        <color theme="1"/>
        <rFont val="Calibri"/>
        <family val="2"/>
        <scheme val="minor"/>
      </rPr>
      <t xml:space="preserve">
- Sie rechnen Masse aus Plänen in Baumasse um.
- Sie berechnen Längen- und Höhenmasse. 
- Sie Sie berechnen den Platzbedarf (Fläche) von Apparaten 
  und Anlagen anhand von Planvorgaben.
</t>
    </r>
    <r>
      <rPr>
        <b/>
        <sz val="11"/>
        <color theme="1"/>
        <rFont val="Calibri"/>
        <family val="2"/>
        <scheme val="minor"/>
      </rPr>
      <t xml:space="preserve">Abzugebende Leistungsnachweise:
</t>
    </r>
    <r>
      <rPr>
        <sz val="11"/>
        <color theme="1"/>
        <rFont val="Calibri"/>
        <family val="2"/>
        <scheme val="minor"/>
      </rPr>
      <t xml:space="preserve">
- Bestandene elektronische Lernzielkontrolle
</t>
    </r>
  </si>
  <si>
    <r>
      <rPr>
        <b/>
        <sz val="11"/>
        <color theme="1"/>
        <rFont val="Calibri"/>
        <family val="2"/>
        <scheme val="minor"/>
      </rPr>
      <t>Lernziele:</t>
    </r>
    <r>
      <rPr>
        <sz val="11"/>
        <color theme="1"/>
        <rFont val="Calibri"/>
        <family val="2"/>
        <scheme val="minor"/>
      </rPr>
      <t xml:space="preserve">
- Sie verstehen die Grundlagen des technischen Zeichnens  
   und können diese anwenden.
- Sie können die drei Ansichten aus der Vorgabe einer 
   Normalprojektion erstellen.
- Sie können aus der Vorgabe der drei Ansichten dreidimensionale 
  Körper erstellen.
</t>
    </r>
    <r>
      <rPr>
        <b/>
        <sz val="11"/>
        <color theme="1"/>
        <rFont val="Calibri"/>
        <family val="2"/>
        <scheme val="minor"/>
      </rPr>
      <t>Abzugebende Leistungsnachweise:</t>
    </r>
    <r>
      <rPr>
        <sz val="11"/>
        <color theme="1"/>
        <rFont val="Calibri"/>
        <family val="2"/>
        <scheme val="minor"/>
      </rPr>
      <t xml:space="preserve">
 - Abgabe der Fachzeichnung «Beschriftung &amp; Bemassung»
- Abgabe der Fachzeichnung «Normprojektion»
- Abgabe der Fachzeichnung «Körperisometrie»
</t>
    </r>
  </si>
  <si>
    <r>
      <rPr>
        <b/>
        <sz val="11"/>
        <color theme="1"/>
        <rFont val="Calibri"/>
        <family val="2"/>
        <scheme val="minor"/>
      </rPr>
      <t>Lernziele:</t>
    </r>
    <r>
      <rPr>
        <sz val="11"/>
        <color theme="1"/>
        <rFont val="Calibri"/>
        <family val="2"/>
        <scheme val="minor"/>
      </rPr>
      <t xml:space="preserve">
- Sie erläutern die Gefahren auf der Baustelle und in der Werkstatt. 
- Sie beschreiben, bei welchen Situationen eine getragen werden muss.
- Sie erläutern einen einfachen Stromkreislauf. 
- Sie erläutern die Gefahren von Strom und beschreiben den Personen- und     
   Sachschutz.
- Sie kennen die gängigsten Gefahrensymbole.
</t>
    </r>
    <r>
      <rPr>
        <b/>
        <sz val="11"/>
        <color theme="1"/>
        <rFont val="Calibri"/>
        <family val="2"/>
        <scheme val="minor"/>
      </rPr>
      <t>Abzugebende Leistungsnachweise:</t>
    </r>
    <r>
      <rPr>
        <sz val="11"/>
        <color theme="1"/>
        <rFont val="Calibri"/>
        <family val="2"/>
        <scheme val="minor"/>
      </rPr>
      <t xml:space="preserve">
- Cast «Meine persönliche Schutzausrüstung PSA»
- Forms Umfrage «Gefahrensymbole»
</t>
    </r>
  </si>
  <si>
    <r>
      <rPr>
        <b/>
        <sz val="11"/>
        <color theme="1"/>
        <rFont val="Calibri"/>
        <family val="2"/>
        <scheme val="minor"/>
      </rPr>
      <t>Lernziele:</t>
    </r>
    <r>
      <rPr>
        <sz val="11"/>
        <color theme="1"/>
        <rFont val="Calibri"/>
        <family val="2"/>
        <scheme val="minor"/>
      </rPr>
      <t xml:space="preserve">
- Sie beschreiben die wichtigsten Eigenschaften von Wasser
- Sie benennen die gängigen Vorschriften bezüglich Wasserhygiene
- Sie beschreiben die Trinkwassergewinnung 
- Sie beschreiben die Funktionsweise der Wasserversorgung
</t>
    </r>
    <r>
      <rPr>
        <b/>
        <sz val="11"/>
        <color theme="1"/>
        <rFont val="Calibri"/>
        <family val="2"/>
        <scheme val="minor"/>
      </rPr>
      <t>Abzugebende Leistungsnachweise:</t>
    </r>
    <r>
      <rPr>
        <sz val="11"/>
        <color theme="1"/>
        <rFont val="Calibri"/>
        <family val="2"/>
        <scheme val="minor"/>
      </rPr>
      <t xml:space="preserve">
- 3 Grafiz zum Thema «Trinkwassergewinnung»
</t>
    </r>
  </si>
  <si>
    <r>
      <rPr>
        <b/>
        <sz val="11"/>
        <color theme="1"/>
        <rFont val="Calibri"/>
        <family val="2"/>
        <scheme val="minor"/>
      </rPr>
      <t>Lernziele:</t>
    </r>
    <r>
      <rPr>
        <sz val="11"/>
        <color theme="1"/>
        <rFont val="Calibri"/>
        <family val="2"/>
        <scheme val="minor"/>
      </rPr>
      <t xml:space="preserve">
- Sie beschreiben die Materialeigenschaften der verschiedenen 
   Rohrsysteme aus Kunststoff und Metall.
- Sie unterscheiden die Systeme für Wasserleitungen nach Material 
   und Verwendungszweck.
- Sie benennen die Verbindungen und Dichtungsmaterialien der 
   verschiedenen Installationssysteme.
- Sie ordnen die gebräuchlichen Armaturen den Armaturengruppen 
  korrekt zu.
- Sie benennen die gängigen Vorschriften bezüglich Wasserhygiene.  
</t>
    </r>
    <r>
      <rPr>
        <b/>
        <sz val="11"/>
        <color theme="1"/>
        <rFont val="Calibri"/>
        <family val="2"/>
        <scheme val="minor"/>
      </rPr>
      <t xml:space="preserve">Abzugebende Leistungsnachweise:
</t>
    </r>
    <r>
      <rPr>
        <sz val="11"/>
        <color theme="1"/>
        <rFont val="Calibri"/>
        <family val="2"/>
        <scheme val="minor"/>
      </rPr>
      <t xml:space="preserve">
- Cast «Leitungsmaterialien in unserer Firma»
- A3 Übersicht Armaturengruppen
</t>
    </r>
  </si>
  <si>
    <r>
      <rPr>
        <b/>
        <sz val="11"/>
        <color theme="1"/>
        <rFont val="Calibri"/>
        <family val="2"/>
        <scheme val="minor"/>
      </rPr>
      <t>Lernziele:</t>
    </r>
    <r>
      <rPr>
        <sz val="11"/>
        <color theme="1"/>
        <rFont val="Calibri"/>
        <family val="2"/>
        <scheme val="minor"/>
      </rPr>
      <t xml:space="preserve">
- Sie beschreiben die unterschiedlichen Abwasserarten.
- Sie beschreiben die Materialien und Werkstoffe, die bei 
  Entsorgungsleitungen eingesetzt werden.
- Sie erläutern die Verbindungsmöglichkeiten der verschiedenen
  Installationssysteme.
- Sie unterscheiden die Systeme von Entsorgungsleitungen nach 
  Verwendungszweck.
- Sie bestimmen geeignete Befestigungen mit Hilfe von
   Montagebüchern.
</t>
    </r>
    <r>
      <rPr>
        <b/>
        <sz val="11"/>
        <color theme="1"/>
        <rFont val="Calibri"/>
        <family val="2"/>
        <scheme val="minor"/>
      </rPr>
      <t>Abzugebende Leistungsnachweise:</t>
    </r>
    <r>
      <rPr>
        <sz val="11"/>
        <color theme="1"/>
        <rFont val="Calibri"/>
        <family val="2"/>
        <scheme val="minor"/>
      </rPr>
      <t xml:space="preserve">
- Leistungsnachweis «Materialien und Verbindungen im Abwasser»
- Leistungsnachweis «Bestandene Lernzielkontrolle»
</t>
    </r>
  </si>
  <si>
    <r>
      <rPr>
        <b/>
        <sz val="11"/>
        <color theme="1"/>
        <rFont val="Calibri"/>
        <family val="2"/>
        <scheme val="minor"/>
      </rPr>
      <t>Lernziele:</t>
    </r>
    <r>
      <rPr>
        <sz val="11"/>
        <color theme="1"/>
        <rFont val="Calibri"/>
        <family val="2"/>
        <scheme val="minor"/>
      </rPr>
      <t xml:space="preserve">
- Sie beschreiben die gebräuchlichen Entwässerungsgegenstände
- Sie kennen die Aufgabe und Funktion von Ablaufventilen und 
   Geruchsverschlüssen bei sanitären Apparaten
- Sie kennen die Hauptgruppen und Eigenschaften bei sanitären Apparaten
- Sie kennen die unterschiedlichen Spüleinrichtungen bei sanitären Apparaten
</t>
    </r>
    <r>
      <rPr>
        <b/>
        <sz val="11"/>
        <color theme="1"/>
        <rFont val="Calibri"/>
        <family val="2"/>
        <scheme val="minor"/>
      </rPr>
      <t>Abzugebende Leistungsnachweise:</t>
    </r>
    <r>
      <rPr>
        <sz val="11"/>
        <color theme="1"/>
        <rFont val="Calibri"/>
        <family val="2"/>
        <scheme val="minor"/>
      </rPr>
      <t xml:space="preserve">
- Leistungsnachweis «A3 Übersicht Apparategruppen»
</t>
    </r>
  </si>
  <si>
    <r>
      <rPr>
        <b/>
        <sz val="11"/>
        <color theme="1"/>
        <rFont val="Calibri"/>
        <family val="2"/>
        <scheme val="minor"/>
      </rPr>
      <t>Lernziele:</t>
    </r>
    <r>
      <rPr>
        <sz val="11"/>
        <color theme="1"/>
        <rFont val="Calibri"/>
        <family val="2"/>
        <scheme val="minor"/>
      </rPr>
      <t xml:space="preserve">
- Sie erklären den organisatorischen Ablauf bei der Entsorgung von Abfällen
- Sie benennen die relevanten Umweltvorschriften im Zusammenhang 
   mit der Vermeidung und Entsorgung von Abfällen
- Sie erläutern den Recycling – Kreislauf und die Gefahren von Sonderabfällen.
- Sie erläutern die Gefahren von Sonderabfällen. (z.B. Asbest)
</t>
    </r>
    <r>
      <rPr>
        <b/>
        <sz val="11"/>
        <color theme="1"/>
        <rFont val="Calibri"/>
        <family val="2"/>
        <scheme val="minor"/>
      </rPr>
      <t>Abzugebende Leistungsnachweise:</t>
    </r>
    <r>
      <rPr>
        <sz val="11"/>
        <color theme="1"/>
        <rFont val="Calibri"/>
        <family val="2"/>
        <scheme val="minor"/>
      </rPr>
      <t xml:space="preserve">
- Leistungsnachweis «Abfallkonzept meiner Firma»
- Leistungsnachweis «Onlinequiz Asbest erkennen»
</t>
    </r>
  </si>
  <si>
    <r>
      <rPr>
        <b/>
        <sz val="11"/>
        <color theme="1"/>
        <rFont val="Calibri"/>
        <family val="2"/>
        <scheme val="minor"/>
      </rPr>
      <t>Lernziele:</t>
    </r>
    <r>
      <rPr>
        <sz val="11"/>
        <color theme="1"/>
        <rFont val="Calibri"/>
        <family val="2"/>
        <scheme val="minor"/>
      </rPr>
      <t xml:space="preserve">
- Sie kennen Ihren Login und können sich in den Portalen 
   der Schule (mygbs / NESA) anmelden.
- Sie kennen die Plattform Microsoft Teams und finden darin die wichtigsten Bereiche.
- Sie können einen Auftrag runterladen, in OneNote ablegen und barbeiteten.
- Sie können einen Leistungsnachweis am korrekten Ort ablegen, 
  bearbeiten und anschliessend in Teams abgeben,
</t>
    </r>
    <r>
      <rPr>
        <b/>
        <sz val="11"/>
        <color theme="1"/>
        <rFont val="Calibri"/>
        <family val="2"/>
        <scheme val="minor"/>
      </rPr>
      <t>Abzugebende Leistungsnachweise:</t>
    </r>
    <r>
      <rPr>
        <sz val="11"/>
        <color theme="1"/>
        <rFont val="Calibri"/>
        <family val="2"/>
        <scheme val="minor"/>
      </rPr>
      <t xml:space="preserve">
- «ICT-Kompetenzen»
</t>
    </r>
  </si>
  <si>
    <t>HF 1       (PDA)</t>
  </si>
  <si>
    <r>
      <rPr>
        <b/>
        <sz val="12"/>
        <color theme="1"/>
        <rFont val="Century Gothic"/>
        <family val="2"/>
      </rPr>
      <t xml:space="preserve">Planen der Arbeiten </t>
    </r>
    <r>
      <rPr>
        <sz val="12"/>
        <color theme="1"/>
        <rFont val="Century Gothic"/>
        <family val="2"/>
      </rPr>
      <t xml:space="preserve">
</t>
    </r>
  </si>
  <si>
    <t>HF 2     (MVS)</t>
  </si>
  <si>
    <t>HF 4/7       (MVS)</t>
  </si>
  <si>
    <t>Planen der Arbeiten</t>
  </si>
  <si>
    <t xml:space="preserve">Total Punkte </t>
  </si>
  <si>
    <t>Die Zeugnisnote setzt sich aus den Leistungsnachweisen und Kompetenzprüfungen zusammen. Die Note aus den Leistungsnachweisen zählt zu ca. 30% an die Zeugnisnote. Alle Noten der Prüfungen zählen zu ca. 60% an die Zeugnisnote.</t>
  </si>
  <si>
    <t xml:space="preserve">Die Note der Leistungsnachweise entsteht aus den während des Semestes erzielten Punkten. </t>
  </si>
  <si>
    <t>Leistungsnachweise</t>
  </si>
  <si>
    <t>Montieren von Sanitäranlagen</t>
  </si>
  <si>
    <t>* Einstieg mit Quizacademy</t>
  </si>
  <si>
    <t>* Start eine Lektion mit Auftrag LN "Trinkwassergewinnung"</t>
  </si>
  <si>
    <t>Hinweis: Praxisaufträge / Idee und Umsetzung</t>
  </si>
  <si>
    <t>Einheit verbessen / Andere Fragen, anders strukturieren / A4 wöre noch nicht nötig</t>
  </si>
  <si>
    <t>* Einstieg / Sinn und Aufbau Drehbuch</t>
  </si>
  <si>
    <t>* Einstieg mit Fotos und Bildern der Baustelle.</t>
  </si>
  <si>
    <t>* PSA kennen lernen und erklären können.</t>
  </si>
  <si>
    <t>* Cast «Meine persönliche Schutzausrüstung PSA»</t>
  </si>
  <si>
    <t>* Evtl. schon Einstieg in Elektrotechnik (Stromkreis)</t>
  </si>
  <si>
    <t>* Einstieg / Repetition mit Grundlagen zum Stromkreis</t>
  </si>
  <si>
    <r>
      <t xml:space="preserve">* Abschluss mit GHL Symbole =&gt; </t>
    </r>
    <r>
      <rPr>
        <b/>
        <i/>
        <sz val="9"/>
        <color theme="1"/>
        <rFont val="Century Gothic"/>
        <family val="2"/>
      </rPr>
      <t>Vorbereitung Teams Umfrage</t>
    </r>
  </si>
  <si>
    <t>*Hinweis Deadline Prüfungen unterschereiben lassen!</t>
  </si>
  <si>
    <t>Deadline Unterschrift Prüfungen!</t>
  </si>
  <si>
    <r>
      <rPr>
        <b/>
        <sz val="9"/>
        <color theme="1"/>
        <rFont val="Century Gothic"/>
        <family val="2"/>
      </rPr>
      <t xml:space="preserve">Auftrag </t>
    </r>
    <r>
      <rPr>
        <sz val="9"/>
        <color theme="1"/>
        <rFont val="Century Gothic"/>
        <family val="2"/>
      </rPr>
      <t xml:space="preserve"> (Seite 6/7/8)</t>
    </r>
  </si>
  <si>
    <t>* Verweis auf Masse / Dichte Berechnungen lösen</t>
  </si>
  <si>
    <t>* Eigenschaften von Thermoplasten (PE/SIL/ Verbindungen im Demoraum)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</si>
</sst>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6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sz val="11"/>
      <color theme="1"/>
      <name val="Century Gothic"/>
      <family val="2"/>
    </font>
    <font>
      <sz val="24"/>
      <color theme="1"/>
      <name val="Century Gothic"/>
      <family val="2"/>
    </font>
    <font>
      <b/>
      <sz val="14"/>
      <color theme="1"/>
      <name val="Century Gothic"/>
      <family val="2"/>
    </font>
    <font>
      <sz val="8"/>
      <color theme="1"/>
      <name val="Century Gothic"/>
      <family val="2"/>
    </font>
    <font>
      <b/>
      <sz val="11"/>
      <color theme="1"/>
      <name val="Century Gothic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entury Gothic"/>
      <family val="2"/>
    </font>
    <font>
      <b/>
      <sz val="10"/>
      <color theme="1"/>
      <name val="Calibri"/>
      <family val="2"/>
      <scheme val="minor"/>
    </font>
    <font>
      <sz val="12"/>
      <color theme="1"/>
      <name val="Century Gothic"/>
      <family val="2"/>
    </font>
    <font>
      <b/>
      <sz val="18"/>
      <color theme="1"/>
      <name val="Century Gothic"/>
      <family val="2"/>
    </font>
    <font>
      <b/>
      <sz val="12"/>
      <color theme="1"/>
      <name val="Century Gothic"/>
      <family val="2"/>
    </font>
    <font>
      <sz val="9"/>
      <color theme="1"/>
      <name val="Century Gothic"/>
      <family val="2"/>
    </font>
    <font>
      <sz val="8"/>
      <color theme="0" tint="-0.499984740745262"/>
      <name val="Century Gothic"/>
      <family val="2"/>
    </font>
    <font>
      <sz val="8"/>
      <color theme="0" tint="-0.499984740745262"/>
      <name val="Calibri"/>
      <family val="2"/>
      <scheme val="minor"/>
    </font>
    <font>
      <b/>
      <sz val="10"/>
      <name val="Century Gothic"/>
      <family val="2"/>
    </font>
    <font>
      <sz val="8"/>
      <color theme="1" tint="0.499984740745262"/>
      <name val="Century Gothic"/>
      <family val="2"/>
    </font>
    <font>
      <sz val="8"/>
      <color theme="1" tint="0.499984740745262"/>
      <name val="Calibri"/>
      <family val="2"/>
      <scheme val="minor"/>
    </font>
    <font>
      <sz val="6.5"/>
      <color theme="1"/>
      <name val="Century Gothic"/>
      <family val="2"/>
    </font>
    <font>
      <sz val="6.5"/>
      <color theme="1"/>
      <name val="Calibri"/>
      <family val="2"/>
      <scheme val="minor"/>
    </font>
    <font>
      <i/>
      <sz val="11"/>
      <color theme="1"/>
      <name val="Century Gothic"/>
      <family val="2"/>
    </font>
    <font>
      <b/>
      <sz val="8"/>
      <color theme="1"/>
      <name val="Century Gothic"/>
      <family val="2"/>
    </font>
    <font>
      <sz val="8"/>
      <name val="Calibri"/>
      <family val="2"/>
      <scheme val="minor"/>
    </font>
    <font>
      <i/>
      <sz val="10"/>
      <color theme="0" tint="-0.34998626667073579"/>
      <name val="Century Gothic"/>
      <family val="2"/>
    </font>
    <font>
      <sz val="10"/>
      <name val="Century Gothic"/>
      <family val="2"/>
    </font>
    <font>
      <sz val="18"/>
      <color theme="1"/>
      <name val="Calibri"/>
      <family val="2"/>
      <scheme val="minor"/>
    </font>
    <font>
      <b/>
      <sz val="9"/>
      <color theme="1"/>
      <name val="Century Gothic"/>
      <family val="2"/>
    </font>
    <font>
      <sz val="20"/>
      <color theme="1"/>
      <name val="Century Gothic"/>
      <family val="2"/>
    </font>
    <font>
      <sz val="18"/>
      <color theme="1"/>
      <name val="Century Gothic"/>
      <family val="2"/>
    </font>
    <font>
      <b/>
      <sz val="18"/>
      <color theme="1"/>
      <name val="Calibri"/>
      <family val="2"/>
      <scheme val="minor"/>
    </font>
    <font>
      <i/>
      <sz val="18"/>
      <color theme="1"/>
      <name val="Century Gothic"/>
      <family val="2"/>
    </font>
    <font>
      <i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9"/>
      <color theme="0" tint="-0.249977111117893"/>
      <name val="Century Gothic"/>
      <family val="2"/>
    </font>
    <font>
      <sz val="9"/>
      <color theme="0" tint="-0.34998626667073579"/>
      <name val="Century Gothic"/>
      <family val="2"/>
    </font>
    <font>
      <sz val="11"/>
      <color theme="0" tint="-0.34998626667073579"/>
      <name val="Calibri"/>
      <family val="2"/>
      <scheme val="minor"/>
    </font>
    <font>
      <b/>
      <i/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entury Gothic"/>
      <family val="2"/>
    </font>
    <font>
      <b/>
      <i/>
      <u/>
      <sz val="9"/>
      <color theme="1"/>
      <name val="Century Gothic"/>
      <family val="2"/>
    </font>
    <font>
      <sz val="11"/>
      <color rgb="FFFF0000"/>
      <name val="Calibri"/>
      <family val="2"/>
      <scheme val="minor"/>
    </font>
    <font>
      <sz val="8"/>
      <color rgb="FF000000"/>
      <name val="Century Gothic"/>
      <family val="2"/>
    </font>
    <font>
      <i/>
      <sz val="9"/>
      <color theme="1"/>
      <name val="Century Gothic"/>
      <family val="2"/>
    </font>
    <font>
      <sz val="8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b/>
      <i/>
      <sz val="10"/>
      <color rgb="FF00B050"/>
      <name val="Century Gothic"/>
      <family val="2"/>
    </font>
    <font>
      <i/>
      <sz val="10"/>
      <color rgb="FF00B050"/>
      <name val="Century Gothic"/>
      <family val="2"/>
    </font>
    <font>
      <b/>
      <sz val="9"/>
      <name val="Century Gothic"/>
      <family val="2"/>
    </font>
    <font>
      <sz val="9"/>
      <color theme="1"/>
      <name val="Arial"/>
      <family val="2"/>
    </font>
    <font>
      <b/>
      <i/>
      <sz val="9"/>
      <color rgb="FF00B050"/>
      <name val="Century Gothic"/>
      <family val="2"/>
    </font>
    <font>
      <b/>
      <i/>
      <sz val="8"/>
      <color rgb="FFFF0000"/>
      <name val="Century Gothic"/>
      <family val="2"/>
    </font>
    <font>
      <b/>
      <i/>
      <sz val="9"/>
      <color theme="1"/>
      <name val="Century Gothic"/>
      <family val="2"/>
    </font>
    <font>
      <b/>
      <sz val="9"/>
      <color rgb="FFFF0000"/>
      <name val="Century Gothic"/>
      <family val="2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94">
    <xf numFmtId="0" fontId="0" fillId="0" borderId="0" xfId="0"/>
    <xf numFmtId="0" fontId="2" fillId="0" borderId="0" xfId="0" applyFont="1"/>
    <xf numFmtId="0" fontId="6" fillId="0" borderId="0" xfId="0" applyFont="1"/>
    <xf numFmtId="0" fontId="9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7" fillId="0" borderId="0" xfId="0" applyFont="1"/>
    <xf numFmtId="0" fontId="1" fillId="0" borderId="0" xfId="0" applyFont="1" applyAlignment="1">
      <alignment vertical="center"/>
    </xf>
    <xf numFmtId="0" fontId="1" fillId="0" borderId="0" xfId="0" applyFont="1"/>
    <xf numFmtId="0" fontId="20" fillId="0" borderId="0" xfId="0" applyFont="1"/>
    <xf numFmtId="0" fontId="20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17" fillId="3" borderId="1" xfId="0" applyFont="1" applyFill="1" applyBorder="1" applyAlignment="1">
      <alignment horizontal="left" vertical="center"/>
    </xf>
    <xf numFmtId="0" fontId="26" fillId="3" borderId="3" xfId="0" applyFont="1" applyFill="1" applyBorder="1" applyAlignment="1">
      <alignment horizontal="left" vertical="center"/>
    </xf>
    <xf numFmtId="0" fontId="26" fillId="3" borderId="3" xfId="0" applyFont="1" applyFill="1" applyBorder="1" applyAlignment="1">
      <alignment horizontal="center" vertical="center"/>
    </xf>
    <xf numFmtId="0" fontId="26" fillId="3" borderId="2" xfId="0" applyFont="1" applyFill="1" applyBorder="1"/>
    <xf numFmtId="14" fontId="23" fillId="3" borderId="44" xfId="0" applyNumberFormat="1" applyFont="1" applyFill="1" applyBorder="1" applyAlignment="1">
      <alignment horizontal="center" vertical="center"/>
    </xf>
    <xf numFmtId="0" fontId="23" fillId="3" borderId="39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2" fillId="4" borderId="3" xfId="0" applyFont="1" applyFill="1" applyBorder="1"/>
    <xf numFmtId="0" fontId="6" fillId="4" borderId="3" xfId="0" applyFont="1" applyFill="1" applyBorder="1" applyAlignment="1">
      <alignment horizontal="center" vertical="center"/>
    </xf>
    <xf numFmtId="14" fontId="22" fillId="4" borderId="3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center" vertical="center"/>
    </xf>
    <xf numFmtId="0" fontId="0" fillId="0" borderId="24" xfId="0" applyBorder="1"/>
    <xf numFmtId="0" fontId="0" fillId="0" borderId="33" xfId="0" applyBorder="1"/>
    <xf numFmtId="0" fontId="0" fillId="0" borderId="46" xfId="0" applyBorder="1"/>
    <xf numFmtId="0" fontId="0" fillId="0" borderId="35" xfId="0" applyBorder="1"/>
    <xf numFmtId="0" fontId="0" fillId="0" borderId="40" xfId="0" applyBorder="1"/>
    <xf numFmtId="0" fontId="0" fillId="0" borderId="37" xfId="0" applyBorder="1"/>
    <xf numFmtId="0" fontId="0" fillId="0" borderId="36" xfId="0" applyBorder="1"/>
    <xf numFmtId="0" fontId="0" fillId="0" borderId="32" xfId="0" applyBorder="1"/>
    <xf numFmtId="0" fontId="14" fillId="0" borderId="0" xfId="0" applyFont="1"/>
    <xf numFmtId="0" fontId="14" fillId="0" borderId="33" xfId="0" applyFont="1" applyBorder="1"/>
    <xf numFmtId="0" fontId="14" fillId="0" borderId="37" xfId="0" applyFont="1" applyBorder="1"/>
    <xf numFmtId="0" fontId="14" fillId="0" borderId="36" xfId="0" applyFont="1" applyBorder="1"/>
    <xf numFmtId="0" fontId="14" fillId="0" borderId="32" xfId="0" applyFont="1" applyBorder="1"/>
    <xf numFmtId="0" fontId="14" fillId="0" borderId="24" xfId="0" applyFont="1" applyBorder="1"/>
    <xf numFmtId="0" fontId="14" fillId="0" borderId="46" xfId="0" applyFont="1" applyBorder="1"/>
    <xf numFmtId="0" fontId="5" fillId="0" borderId="24" xfId="0" applyFont="1" applyBorder="1"/>
    <xf numFmtId="0" fontId="5" fillId="0" borderId="0" xfId="0" applyFont="1"/>
    <xf numFmtId="0" fontId="0" fillId="0" borderId="25" xfId="0" applyBorder="1"/>
    <xf numFmtId="0" fontId="14" fillId="0" borderId="25" xfId="0" applyFont="1" applyBorder="1"/>
    <xf numFmtId="0" fontId="0" fillId="0" borderId="47" xfId="0" applyBorder="1"/>
    <xf numFmtId="0" fontId="28" fillId="0" borderId="10" xfId="0" applyFont="1" applyBorder="1" applyAlignment="1">
      <alignment horizontal="center"/>
    </xf>
    <xf numFmtId="0" fontId="14" fillId="0" borderId="35" xfId="0" applyFont="1" applyBorder="1"/>
    <xf numFmtId="0" fontId="14" fillId="0" borderId="40" xfId="0" applyFont="1" applyBorder="1"/>
    <xf numFmtId="0" fontId="28" fillId="0" borderId="32" xfId="0" applyFont="1" applyBorder="1" applyAlignment="1">
      <alignment horizontal="center"/>
    </xf>
    <xf numFmtId="14" fontId="34" fillId="0" borderId="0" xfId="0" applyNumberFormat="1" applyFont="1"/>
    <xf numFmtId="0" fontId="5" fillId="0" borderId="37" xfId="0" applyFont="1" applyBorder="1"/>
    <xf numFmtId="0" fontId="35" fillId="0" borderId="33" xfId="0" applyFont="1" applyBorder="1"/>
    <xf numFmtId="0" fontId="36" fillId="0" borderId="0" xfId="0" applyFont="1"/>
    <xf numFmtId="0" fontId="35" fillId="0" borderId="0" xfId="0" applyFont="1"/>
    <xf numFmtId="0" fontId="38" fillId="0" borderId="33" xfId="0" applyFont="1" applyBorder="1"/>
    <xf numFmtId="0" fontId="37" fillId="0" borderId="0" xfId="0" applyFont="1"/>
    <xf numFmtId="0" fontId="0" fillId="0" borderId="24" xfId="0" applyBorder="1" applyAlignment="1">
      <alignment horizontal="center"/>
    </xf>
    <xf numFmtId="0" fontId="0" fillId="0" borderId="33" xfId="0" applyBorder="1" applyAlignment="1">
      <alignment horizontal="center"/>
    </xf>
    <xf numFmtId="0" fontId="40" fillId="0" borderId="0" xfId="0" applyFont="1"/>
    <xf numFmtId="0" fontId="14" fillId="6" borderId="48" xfId="0" applyFont="1" applyFill="1" applyBorder="1"/>
    <xf numFmtId="0" fontId="0" fillId="6" borderId="45" xfId="0" applyFill="1" applyBorder="1"/>
    <xf numFmtId="0" fontId="41" fillId="0" borderId="24" xfId="0" applyFont="1" applyBorder="1"/>
    <xf numFmtId="0" fontId="39" fillId="0" borderId="0" xfId="0" applyFont="1" applyAlignment="1">
      <alignment horizontal="right"/>
    </xf>
    <xf numFmtId="0" fontId="6" fillId="6" borderId="45" xfId="0" applyFont="1" applyFill="1" applyBorder="1" applyAlignment="1">
      <alignment horizontal="center"/>
    </xf>
    <xf numFmtId="0" fontId="40" fillId="0" borderId="36" xfId="0" applyFont="1" applyBorder="1"/>
    <xf numFmtId="0" fontId="40" fillId="0" borderId="32" xfId="0" applyFont="1" applyBorder="1"/>
    <xf numFmtId="0" fontId="43" fillId="0" borderId="24" xfId="0" applyFont="1" applyBorder="1"/>
    <xf numFmtId="0" fontId="6" fillId="6" borderId="49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/>
    </xf>
    <xf numFmtId="0" fontId="44" fillId="4" borderId="3" xfId="0" applyFont="1" applyFill="1" applyBorder="1"/>
    <xf numFmtId="0" fontId="2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3" fillId="3" borderId="26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left"/>
    </xf>
    <xf numFmtId="0" fontId="14" fillId="3" borderId="18" xfId="0" applyFont="1" applyFill="1" applyBorder="1" applyAlignment="1">
      <alignment horizontal="left"/>
    </xf>
    <xf numFmtId="14" fontId="23" fillId="3" borderId="44" xfId="0" applyNumberFormat="1" applyFont="1" applyFill="1" applyBorder="1" applyAlignment="1">
      <alignment horizontal="center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45" fillId="0" borderId="46" xfId="0" applyFont="1" applyBorder="1"/>
    <xf numFmtId="14" fontId="23" fillId="3" borderId="50" xfId="0" applyNumberFormat="1" applyFont="1" applyFill="1" applyBorder="1" applyAlignment="1">
      <alignment horizontal="center"/>
    </xf>
    <xf numFmtId="14" fontId="23" fillId="3" borderId="5" xfId="0" applyNumberFormat="1" applyFont="1" applyFill="1" applyBorder="1" applyAlignment="1">
      <alignment horizontal="center"/>
    </xf>
    <xf numFmtId="0" fontId="14" fillId="3" borderId="8" xfId="0" applyFont="1" applyFill="1" applyBorder="1" applyAlignment="1">
      <alignment horizontal="left"/>
    </xf>
    <xf numFmtId="0" fontId="2" fillId="3" borderId="18" xfId="0" applyFont="1" applyFill="1" applyBorder="1"/>
    <xf numFmtId="0" fontId="46" fillId="0" borderId="0" xfId="0" applyFont="1"/>
    <xf numFmtId="0" fontId="46" fillId="0" borderId="24" xfId="0" applyFont="1" applyBorder="1"/>
    <xf numFmtId="0" fontId="47" fillId="0" borderId="0" xfId="0" applyFont="1"/>
    <xf numFmtId="0" fontId="28" fillId="0" borderId="37" xfId="0" applyFont="1" applyBorder="1"/>
    <xf numFmtId="0" fontId="40" fillId="0" borderId="33" xfId="0" applyFont="1" applyBorder="1"/>
    <xf numFmtId="0" fontId="28" fillId="0" borderId="24" xfId="0" applyFont="1" applyBorder="1"/>
    <xf numFmtId="0" fontId="28" fillId="0" borderId="37" xfId="0" applyFont="1" applyBorder="1" applyAlignment="1">
      <alignment horizontal="left"/>
    </xf>
    <xf numFmtId="0" fontId="6" fillId="0" borderId="40" xfId="0" applyFont="1" applyBorder="1" applyAlignment="1">
      <alignment horizontal="center"/>
    </xf>
    <xf numFmtId="0" fontId="14" fillId="6" borderId="37" xfId="0" applyFont="1" applyFill="1" applyBorder="1"/>
    <xf numFmtId="0" fontId="0" fillId="6" borderId="36" xfId="0" applyFill="1" applyBorder="1"/>
    <xf numFmtId="0" fontId="6" fillId="6" borderId="36" xfId="0" applyFont="1" applyFill="1" applyBorder="1" applyAlignment="1">
      <alignment horizontal="center"/>
    </xf>
    <xf numFmtId="0" fontId="50" fillId="0" borderId="25" xfId="0" applyFont="1" applyBorder="1" applyAlignment="1">
      <alignment horizontal="center"/>
    </xf>
    <xf numFmtId="0" fontId="0" fillId="0" borderId="0" xfId="0" applyAlignment="1">
      <alignment horizontal="left" vertical="top"/>
    </xf>
    <xf numFmtId="0" fontId="6" fillId="0" borderId="7" xfId="0" applyFont="1" applyBorder="1" applyAlignment="1">
      <alignment horizontal="left" vertical="center"/>
    </xf>
    <xf numFmtId="0" fontId="6" fillId="4" borderId="10" xfId="0" applyFont="1" applyFill="1" applyBorder="1" applyAlignment="1">
      <alignment horizontal="left" vertical="center"/>
    </xf>
    <xf numFmtId="0" fontId="51" fillId="0" borderId="0" xfId="0" applyFont="1"/>
    <xf numFmtId="0" fontId="23" fillId="2" borderId="5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left"/>
    </xf>
    <xf numFmtId="0" fontId="2" fillId="2" borderId="0" xfId="0" applyFont="1" applyFill="1"/>
    <xf numFmtId="0" fontId="5" fillId="2" borderId="34" xfId="0" applyFont="1" applyFill="1" applyBorder="1" applyAlignment="1">
      <alignment horizontal="left"/>
    </xf>
    <xf numFmtId="0" fontId="5" fillId="2" borderId="19" xfId="0" applyFont="1" applyFill="1" applyBorder="1" applyAlignment="1">
      <alignment horizontal="left"/>
    </xf>
    <xf numFmtId="0" fontId="23" fillId="8" borderId="8" xfId="0" applyFont="1" applyFill="1" applyBorder="1" applyAlignment="1">
      <alignment horizontal="left"/>
    </xf>
    <xf numFmtId="0" fontId="0" fillId="8" borderId="9" xfId="0" applyFill="1" applyBorder="1"/>
    <xf numFmtId="0" fontId="0" fillId="8" borderId="18" xfId="0" applyFill="1" applyBorder="1"/>
    <xf numFmtId="0" fontId="5" fillId="8" borderId="34" xfId="0" applyFont="1" applyFill="1" applyBorder="1" applyAlignment="1">
      <alignment horizontal="left"/>
    </xf>
    <xf numFmtId="0" fontId="5" fillId="8" borderId="4" xfId="0" applyFont="1" applyFill="1" applyBorder="1" applyAlignment="1">
      <alignment horizontal="left"/>
    </xf>
    <xf numFmtId="0" fontId="5" fillId="8" borderId="19" xfId="0" applyFont="1" applyFill="1" applyBorder="1" applyAlignment="1">
      <alignment horizontal="left"/>
    </xf>
    <xf numFmtId="0" fontId="23" fillId="8" borderId="5" xfId="0" applyFont="1" applyFill="1" applyBorder="1" applyAlignment="1">
      <alignment horizontal="left"/>
    </xf>
    <xf numFmtId="0" fontId="9" fillId="4" borderId="1" xfId="0" applyFont="1" applyFill="1" applyBorder="1" applyAlignment="1">
      <alignment vertical="center"/>
    </xf>
    <xf numFmtId="0" fontId="9" fillId="4" borderId="3" xfId="0" applyFont="1" applyFill="1" applyBorder="1" applyAlignment="1">
      <alignment vertical="center"/>
    </xf>
    <xf numFmtId="0" fontId="9" fillId="4" borderId="2" xfId="0" applyFont="1" applyFill="1" applyBorder="1" applyAlignment="1">
      <alignment vertical="center"/>
    </xf>
    <xf numFmtId="0" fontId="52" fillId="0" borderId="46" xfId="0" applyFont="1" applyBorder="1"/>
    <xf numFmtId="0" fontId="52" fillId="0" borderId="35" xfId="0" applyFont="1" applyBorder="1"/>
    <xf numFmtId="0" fontId="53" fillId="0" borderId="24" xfId="0" applyFont="1" applyBorder="1"/>
    <xf numFmtId="0" fontId="34" fillId="0" borderId="0" xfId="0" applyFont="1"/>
    <xf numFmtId="0" fontId="28" fillId="0" borderId="0" xfId="0" applyFont="1"/>
    <xf numFmtId="0" fontId="28" fillId="0" borderId="33" xfId="0" applyFont="1" applyBorder="1"/>
    <xf numFmtId="0" fontId="9" fillId="4" borderId="50" xfId="0" applyFont="1" applyFill="1" applyBorder="1" applyAlignment="1">
      <alignment horizontal="center"/>
    </xf>
    <xf numFmtId="0" fontId="9" fillId="4" borderId="52" xfId="0" applyFont="1" applyFill="1" applyBorder="1" applyAlignment="1">
      <alignment horizontal="center"/>
    </xf>
    <xf numFmtId="0" fontId="9" fillId="4" borderId="53" xfId="0" applyFont="1" applyFill="1" applyBorder="1" applyAlignment="1">
      <alignment horizontal="center"/>
    </xf>
    <xf numFmtId="0" fontId="5" fillId="3" borderId="6" xfId="0" applyFont="1" applyFill="1" applyBorder="1"/>
    <xf numFmtId="0" fontId="5" fillId="3" borderId="17" xfId="0" applyFont="1" applyFill="1" applyBorder="1"/>
    <xf numFmtId="49" fontId="12" fillId="8" borderId="8" xfId="0" applyNumberFormat="1" applyFont="1" applyFill="1" applyBorder="1" applyAlignment="1">
      <alignment horizontal="left" vertical="center" wrapText="1"/>
    </xf>
    <xf numFmtId="0" fontId="0" fillId="8" borderId="9" xfId="0" applyFill="1" applyBorder="1" applyAlignment="1">
      <alignment horizontal="left" vertical="center"/>
    </xf>
    <xf numFmtId="0" fontId="0" fillId="8" borderId="19" xfId="0" applyFill="1" applyBorder="1" applyAlignment="1">
      <alignment horizontal="left" vertical="center"/>
    </xf>
    <xf numFmtId="0" fontId="0" fillId="8" borderId="35" xfId="0" applyFill="1" applyBorder="1" applyAlignment="1">
      <alignment horizontal="left" vertical="center"/>
    </xf>
    <xf numFmtId="0" fontId="13" fillId="8" borderId="34" xfId="0" applyFont="1" applyFill="1" applyBorder="1" applyAlignment="1">
      <alignment horizontal="left" vertical="center" wrapText="1"/>
    </xf>
    <xf numFmtId="0" fontId="13" fillId="8" borderId="36" xfId="0" applyFont="1" applyFill="1" applyBorder="1" applyAlignment="1">
      <alignment horizontal="left" vertical="center"/>
    </xf>
    <xf numFmtId="0" fontId="13" fillId="8" borderId="4" xfId="0" applyFont="1" applyFill="1" applyBorder="1" applyAlignment="1">
      <alignment horizontal="left" vertical="center"/>
    </xf>
    <xf numFmtId="0" fontId="13" fillId="8" borderId="0" xfId="0" applyFont="1" applyFill="1" applyAlignment="1">
      <alignment horizontal="left" vertical="center"/>
    </xf>
    <xf numFmtId="0" fontId="13" fillId="8" borderId="5" xfId="0" applyFont="1" applyFill="1" applyBorder="1" applyAlignment="1">
      <alignment horizontal="left" vertical="center"/>
    </xf>
    <xf numFmtId="0" fontId="13" fillId="8" borderId="6" xfId="0" applyFont="1" applyFill="1" applyBorder="1" applyAlignment="1">
      <alignment horizontal="left" vertical="center"/>
    </xf>
    <xf numFmtId="0" fontId="20" fillId="8" borderId="30" xfId="0" applyFont="1" applyFill="1" applyBorder="1" applyAlignment="1">
      <alignment horizontal="center" vertical="center" wrapText="1"/>
    </xf>
    <xf numFmtId="0" fontId="20" fillId="8" borderId="30" xfId="0" applyFont="1" applyFill="1" applyBorder="1" applyAlignment="1">
      <alignment horizontal="center" vertical="center"/>
    </xf>
    <xf numFmtId="0" fontId="20" fillId="8" borderId="39" xfId="0" applyFont="1" applyFill="1" applyBorder="1" applyAlignment="1">
      <alignment horizontal="center" vertical="center"/>
    </xf>
    <xf numFmtId="0" fontId="20" fillId="8" borderId="7" xfId="0" applyFont="1" applyFill="1" applyBorder="1" applyAlignment="1">
      <alignment horizontal="center" vertical="center" wrapText="1"/>
    </xf>
    <xf numFmtId="0" fontId="20" fillId="8" borderId="7" xfId="0" applyFont="1" applyFill="1" applyBorder="1" applyAlignment="1">
      <alignment horizontal="center" vertical="center"/>
    </xf>
    <xf numFmtId="0" fontId="20" fillId="8" borderId="14" xfId="0" applyFont="1" applyFill="1" applyBorder="1" applyAlignment="1">
      <alignment horizontal="center" vertical="center"/>
    </xf>
    <xf numFmtId="0" fontId="20" fillId="8" borderId="12" xfId="0" applyFont="1" applyFill="1" applyBorder="1" applyAlignment="1">
      <alignment horizontal="center" vertical="center" wrapText="1"/>
    </xf>
    <xf numFmtId="0" fontId="21" fillId="8" borderId="12" xfId="0" applyFont="1" applyFill="1" applyBorder="1" applyAlignment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5" fillId="3" borderId="0" xfId="0" applyFont="1" applyFill="1"/>
    <xf numFmtId="0" fontId="5" fillId="3" borderId="16" xfId="0" applyFont="1" applyFill="1" applyBorder="1"/>
    <xf numFmtId="49" fontId="12" fillId="2" borderId="8" xfId="0" applyNumberFormat="1" applyFont="1" applyFill="1" applyBorder="1" applyAlignment="1">
      <alignment horizontal="left" vertical="center" wrapText="1"/>
    </xf>
    <xf numFmtId="0" fontId="0" fillId="2" borderId="9" xfId="0" applyFill="1" applyBorder="1" applyAlignment="1">
      <alignment horizontal="left" vertical="center"/>
    </xf>
    <xf numFmtId="0" fontId="0" fillId="2" borderId="18" xfId="0" applyFill="1" applyBorder="1" applyAlignment="1">
      <alignment horizontal="left" vertical="center"/>
    </xf>
    <xf numFmtId="0" fontId="0" fillId="2" borderId="19" xfId="0" applyFill="1" applyBorder="1" applyAlignment="1">
      <alignment horizontal="left" vertical="center"/>
    </xf>
    <xf numFmtId="0" fontId="0" fillId="2" borderId="35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11" fillId="2" borderId="34" xfId="0" applyFont="1" applyFill="1" applyBorder="1" applyAlignment="1">
      <alignment horizontal="left" vertical="center" wrapText="1"/>
    </xf>
    <xf numFmtId="0" fontId="11" fillId="2" borderId="36" xfId="0" applyFont="1" applyFill="1" applyBorder="1" applyAlignment="1">
      <alignment horizontal="left" vertical="center"/>
    </xf>
    <xf numFmtId="0" fontId="11" fillId="2" borderId="38" xfId="0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11" fillId="2" borderId="16" xfId="0" applyFont="1" applyFill="1" applyBorder="1" applyAlignment="1">
      <alignment horizontal="left" vertical="center"/>
    </xf>
    <xf numFmtId="0" fontId="11" fillId="2" borderId="5" xfId="0" applyFont="1" applyFill="1" applyBorder="1" applyAlignment="1">
      <alignment horizontal="left" vertical="center"/>
    </xf>
    <xf numFmtId="0" fontId="11" fillId="2" borderId="6" xfId="0" applyFont="1" applyFill="1" applyBorder="1" applyAlignment="1">
      <alignment horizontal="left" vertical="center"/>
    </xf>
    <xf numFmtId="0" fontId="11" fillId="2" borderId="17" xfId="0" applyFont="1" applyFill="1" applyBorder="1" applyAlignment="1">
      <alignment horizontal="left" vertical="center"/>
    </xf>
    <xf numFmtId="0" fontId="15" fillId="2" borderId="35" xfId="0" applyFont="1" applyFill="1" applyBorder="1" applyAlignment="1">
      <alignment horizontal="center"/>
    </xf>
    <xf numFmtId="0" fontId="16" fillId="2" borderId="20" xfId="0" applyFont="1" applyFill="1" applyBorder="1" applyAlignment="1">
      <alignment horizontal="center"/>
    </xf>
    <xf numFmtId="0" fontId="20" fillId="2" borderId="13" xfId="0" applyFont="1" applyFill="1" applyBorder="1" applyAlignment="1">
      <alignment horizontal="center" vertical="center" wrapText="1"/>
    </xf>
    <xf numFmtId="0" fontId="20" fillId="2" borderId="21" xfId="0" applyFont="1" applyFill="1" applyBorder="1" applyAlignment="1">
      <alignment horizontal="center" vertical="center" wrapText="1"/>
    </xf>
    <xf numFmtId="0" fontId="20" fillId="2" borderId="28" xfId="0" applyFont="1" applyFill="1" applyBorder="1" applyAlignment="1">
      <alignment horizontal="center" vertical="center" wrapText="1"/>
    </xf>
    <xf numFmtId="0" fontId="20" fillId="2" borderId="26" xfId="0" applyFont="1" applyFill="1" applyBorder="1" applyAlignment="1">
      <alignment horizontal="center" vertical="center" wrapText="1"/>
    </xf>
    <xf numFmtId="0" fontId="20" fillId="2" borderId="22" xfId="0" applyFont="1" applyFill="1" applyBorder="1" applyAlignment="1">
      <alignment horizontal="center" vertical="center" wrapText="1"/>
    </xf>
    <xf numFmtId="0" fontId="20" fillId="2" borderId="23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20" fillId="2" borderId="16" xfId="0" applyFont="1" applyFill="1" applyBorder="1" applyAlignment="1">
      <alignment horizontal="center" vertical="center" wrapText="1"/>
    </xf>
    <xf numFmtId="0" fontId="20" fillId="2" borderId="16" xfId="0" applyFont="1" applyFill="1" applyBorder="1" applyAlignment="1">
      <alignment horizontal="center" vertical="center"/>
    </xf>
    <xf numFmtId="0" fontId="20" fillId="2" borderId="17" xfId="0" applyFont="1" applyFill="1" applyBorder="1" applyAlignment="1">
      <alignment horizontal="center" vertical="center"/>
    </xf>
    <xf numFmtId="0" fontId="20" fillId="2" borderId="32" xfId="0" applyFont="1" applyFill="1" applyBorder="1" applyAlignment="1">
      <alignment horizontal="center" vertical="center" wrapText="1"/>
    </xf>
    <xf numFmtId="0" fontId="20" fillId="2" borderId="40" xfId="0" applyFont="1" applyFill="1" applyBorder="1" applyAlignment="1">
      <alignment horizontal="center" vertical="center"/>
    </xf>
    <xf numFmtId="0" fontId="20" fillId="2" borderId="33" xfId="0" applyFont="1" applyFill="1" applyBorder="1" applyAlignment="1">
      <alignment horizontal="center" vertical="center" wrapText="1"/>
    </xf>
    <xf numFmtId="0" fontId="20" fillId="2" borderId="41" xfId="0" applyFont="1" applyFill="1" applyBorder="1" applyAlignment="1">
      <alignment horizontal="center" vertical="center"/>
    </xf>
    <xf numFmtId="0" fontId="20" fillId="2" borderId="11" xfId="0" applyFont="1" applyFill="1" applyBorder="1" applyAlignment="1">
      <alignment horizontal="center" vertical="center" wrapText="1"/>
    </xf>
    <xf numFmtId="0" fontId="17" fillId="4" borderId="50" xfId="0" applyFont="1" applyFill="1" applyBorder="1" applyAlignment="1">
      <alignment horizontal="center"/>
    </xf>
    <xf numFmtId="0" fontId="17" fillId="4" borderId="52" xfId="0" applyFont="1" applyFill="1" applyBorder="1" applyAlignment="1">
      <alignment horizontal="center"/>
    </xf>
    <xf numFmtId="0" fontId="0" fillId="4" borderId="53" xfId="0" applyFill="1" applyBorder="1"/>
    <xf numFmtId="0" fontId="20" fillId="2" borderId="34" xfId="0" applyFont="1" applyFill="1" applyBorder="1" applyAlignment="1">
      <alignment horizontal="center" vertical="center" wrapText="1"/>
    </xf>
    <xf numFmtId="0" fontId="0" fillId="2" borderId="38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5" fillId="3" borderId="5" xfId="0" applyFont="1" applyFill="1" applyBorder="1"/>
    <xf numFmtId="0" fontId="0" fillId="8" borderId="36" xfId="0" applyFill="1" applyBorder="1" applyAlignment="1">
      <alignment horizontal="left" vertical="center"/>
    </xf>
    <xf numFmtId="0" fontId="0" fillId="8" borderId="38" xfId="0" applyFill="1" applyBorder="1" applyAlignment="1">
      <alignment horizontal="left" vertical="center"/>
    </xf>
    <xf numFmtId="0" fontId="0" fillId="8" borderId="4" xfId="0" applyFill="1" applyBorder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8" borderId="16" xfId="0" applyFill="1" applyBorder="1" applyAlignment="1">
      <alignment horizontal="left" vertical="center"/>
    </xf>
    <xf numFmtId="0" fontId="0" fillId="8" borderId="5" xfId="0" applyFill="1" applyBorder="1" applyAlignment="1">
      <alignment horizontal="left" vertical="center"/>
    </xf>
    <xf numFmtId="0" fontId="0" fillId="8" borderId="6" xfId="0" applyFill="1" applyBorder="1" applyAlignment="1">
      <alignment horizontal="left" vertical="center"/>
    </xf>
    <xf numFmtId="0" fontId="0" fillId="8" borderId="17" xfId="0" applyFill="1" applyBorder="1" applyAlignment="1">
      <alignment horizontal="left" vertical="center"/>
    </xf>
    <xf numFmtId="0" fontId="0" fillId="8" borderId="18" xfId="0" applyFill="1" applyBorder="1" applyAlignment="1">
      <alignment horizontal="left" vertical="center"/>
    </xf>
    <xf numFmtId="0" fontId="0" fillId="8" borderId="20" xfId="0" applyFill="1" applyBorder="1" applyAlignment="1">
      <alignment horizontal="left" vertical="center"/>
    </xf>
    <xf numFmtId="0" fontId="20" fillId="8" borderId="37" xfId="0" applyFont="1" applyFill="1" applyBorder="1" applyAlignment="1">
      <alignment horizontal="center" vertical="center" wrapText="1"/>
    </xf>
    <xf numFmtId="0" fontId="20" fillId="8" borderId="24" xfId="0" applyFont="1" applyFill="1" applyBorder="1" applyAlignment="1">
      <alignment horizontal="center" vertical="center" wrapText="1"/>
    </xf>
    <xf numFmtId="0" fontId="21" fillId="8" borderId="24" xfId="0" applyFont="1" applyFill="1" applyBorder="1" applyAlignment="1">
      <alignment horizontal="center" vertical="center" wrapText="1"/>
    </xf>
    <xf numFmtId="0" fontId="21" fillId="8" borderId="29" xfId="0" applyFont="1" applyFill="1" applyBorder="1" applyAlignment="1">
      <alignment horizontal="center" vertical="center" wrapText="1"/>
    </xf>
    <xf numFmtId="0" fontId="20" fillId="8" borderId="26" xfId="0" applyFont="1" applyFill="1" applyBorder="1" applyAlignment="1">
      <alignment horizontal="center" vertical="center" wrapText="1"/>
    </xf>
    <xf numFmtId="0" fontId="20" fillId="8" borderId="22" xfId="0" applyFont="1" applyFill="1" applyBorder="1" applyAlignment="1">
      <alignment horizontal="center" vertical="center"/>
    </xf>
    <xf numFmtId="0" fontId="20" fillId="8" borderId="27" xfId="0" applyFont="1" applyFill="1" applyBorder="1" applyAlignment="1">
      <alignment horizontal="center" vertical="center"/>
    </xf>
    <xf numFmtId="0" fontId="21" fillId="8" borderId="30" xfId="0" applyFont="1" applyFill="1" applyBorder="1" applyAlignment="1">
      <alignment horizontal="center" vertical="center"/>
    </xf>
    <xf numFmtId="0" fontId="20" fillId="8" borderId="42" xfId="0" applyFont="1" applyFill="1" applyBorder="1" applyAlignment="1">
      <alignment horizontal="center" vertical="center" wrapText="1"/>
    </xf>
    <xf numFmtId="0" fontId="21" fillId="8" borderId="42" xfId="0" applyFont="1" applyFill="1" applyBorder="1" applyAlignment="1">
      <alignment horizontal="center" vertical="center" wrapText="1"/>
    </xf>
    <xf numFmtId="0" fontId="21" fillId="8" borderId="43" xfId="0" applyFont="1" applyFill="1" applyBorder="1" applyAlignment="1">
      <alignment horizontal="center" vertical="center" wrapText="1"/>
    </xf>
    <xf numFmtId="0" fontId="15" fillId="8" borderId="4" xfId="0" applyFont="1" applyFill="1" applyBorder="1" applyAlignment="1">
      <alignment horizontal="center" vertical="center"/>
    </xf>
    <xf numFmtId="0" fontId="15" fillId="8" borderId="0" xfId="0" applyFont="1" applyFill="1" applyAlignment="1">
      <alignment horizontal="center" vertical="center"/>
    </xf>
    <xf numFmtId="0" fontId="15" fillId="8" borderId="16" xfId="0" applyFont="1" applyFill="1" applyBorder="1" applyAlignment="1">
      <alignment horizontal="center" vertical="center"/>
    </xf>
    <xf numFmtId="0" fontId="18" fillId="8" borderId="35" xfId="0" applyFont="1" applyFill="1" applyBorder="1" applyAlignment="1">
      <alignment horizontal="center" vertical="center"/>
    </xf>
    <xf numFmtId="0" fontId="19" fillId="8" borderId="20" xfId="0" applyFont="1" applyFill="1" applyBorder="1" applyAlignment="1">
      <alignment horizontal="center" vertical="center"/>
    </xf>
    <xf numFmtId="0" fontId="18" fillId="8" borderId="19" xfId="0" applyFont="1" applyFill="1" applyBorder="1" applyAlignment="1">
      <alignment horizontal="center" vertical="center"/>
    </xf>
    <xf numFmtId="0" fontId="21" fillId="8" borderId="7" xfId="0" applyFont="1" applyFill="1" applyBorder="1" applyAlignment="1">
      <alignment horizontal="center" vertical="center"/>
    </xf>
    <xf numFmtId="0" fontId="21" fillId="8" borderId="12" xfId="0" applyFont="1" applyFill="1" applyBorder="1" applyAlignment="1">
      <alignment horizontal="center" vertical="center"/>
    </xf>
    <xf numFmtId="0" fontId="20" fillId="8" borderId="34" xfId="0" applyFont="1" applyFill="1" applyBorder="1" applyAlignment="1">
      <alignment horizontal="center" vertical="center" wrapText="1"/>
    </xf>
    <xf numFmtId="0" fontId="21" fillId="8" borderId="38" xfId="0" applyFont="1" applyFill="1" applyBorder="1" applyAlignment="1">
      <alignment horizontal="center" vertical="center" wrapText="1"/>
    </xf>
    <xf numFmtId="0" fontId="21" fillId="8" borderId="4" xfId="0" applyFont="1" applyFill="1" applyBorder="1" applyAlignment="1">
      <alignment horizontal="center" vertical="center" wrapText="1"/>
    </xf>
    <xf numFmtId="0" fontId="21" fillId="8" borderId="16" xfId="0" applyFont="1" applyFill="1" applyBorder="1" applyAlignment="1">
      <alignment horizontal="center" vertical="center" wrapText="1"/>
    </xf>
    <xf numFmtId="0" fontId="21" fillId="8" borderId="5" xfId="0" applyFont="1" applyFill="1" applyBorder="1" applyAlignment="1">
      <alignment horizontal="center" vertical="center" wrapText="1"/>
    </xf>
    <xf numFmtId="0" fontId="21" fillId="8" borderId="17" xfId="0" applyFont="1" applyFill="1" applyBorder="1" applyAlignment="1">
      <alignment horizontal="center" vertical="center" wrapText="1"/>
    </xf>
    <xf numFmtId="0" fontId="20" fillId="8" borderId="23" xfId="0" applyFont="1" applyFill="1" applyBorder="1" applyAlignment="1">
      <alignment horizontal="center" vertical="center"/>
    </xf>
    <xf numFmtId="0" fontId="20" fillId="8" borderId="38" xfId="0" applyFont="1" applyFill="1" applyBorder="1" applyAlignment="1">
      <alignment horizontal="center" vertical="center" wrapText="1"/>
    </xf>
    <xf numFmtId="0" fontId="0" fillId="8" borderId="16" xfId="0" applyFill="1" applyBorder="1" applyAlignment="1">
      <alignment horizontal="center" vertical="center"/>
    </xf>
    <xf numFmtId="0" fontId="0" fillId="8" borderId="17" xfId="0" applyFill="1" applyBorder="1" applyAlignment="1">
      <alignment horizontal="center" vertical="center"/>
    </xf>
    <xf numFmtId="0" fontId="12" fillId="4" borderId="3" xfId="0" applyFont="1" applyFill="1" applyBorder="1" applyAlignment="1" applyProtection="1">
      <alignment horizontal="center" vertical="center"/>
      <protection locked="0" hidden="1"/>
    </xf>
    <xf numFmtId="0" fontId="27" fillId="4" borderId="3" xfId="0" applyFont="1" applyFill="1" applyBorder="1" applyAlignment="1" applyProtection="1">
      <alignment horizontal="center" vertical="center"/>
      <protection locked="0" hidden="1"/>
    </xf>
    <xf numFmtId="0" fontId="0" fillId="0" borderId="2" xfId="0" applyBorder="1" applyAlignment="1">
      <alignment horizontal="center" vertical="center"/>
    </xf>
    <xf numFmtId="0" fontId="20" fillId="2" borderId="21" xfId="0" applyFont="1" applyFill="1" applyBorder="1" applyAlignment="1">
      <alignment horizontal="center" vertical="center"/>
    </xf>
    <xf numFmtId="0" fontId="20" fillId="2" borderId="11" xfId="0" applyFont="1" applyFill="1" applyBorder="1" applyAlignment="1">
      <alignment horizontal="center" vertical="center"/>
    </xf>
    <xf numFmtId="0" fontId="5" fillId="2" borderId="36" xfId="0" applyFont="1" applyFill="1" applyBorder="1" applyAlignment="1">
      <alignment horizontal="center"/>
    </xf>
    <xf numFmtId="0" fontId="0" fillId="2" borderId="38" xfId="0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0" fillId="2" borderId="16" xfId="0" applyFill="1" applyBorder="1" applyAlignment="1">
      <alignment horizontal="center"/>
    </xf>
    <xf numFmtId="0" fontId="5" fillId="8" borderId="0" xfId="0" applyFont="1" applyFill="1" applyAlignment="1">
      <alignment horizontal="center"/>
    </xf>
    <xf numFmtId="0" fontId="0" fillId="8" borderId="16" xfId="0" applyFill="1" applyBorder="1" applyAlignment="1">
      <alignment horizontal="center"/>
    </xf>
    <xf numFmtId="0" fontId="5" fillId="8" borderId="36" xfId="0" applyFont="1" applyFill="1" applyBorder="1" applyAlignment="1">
      <alignment horizontal="center"/>
    </xf>
    <xf numFmtId="0" fontId="0" fillId="8" borderId="38" xfId="0" applyFill="1" applyBorder="1" applyAlignment="1">
      <alignment horizontal="center"/>
    </xf>
    <xf numFmtId="0" fontId="25" fillId="4" borderId="3" xfId="0" applyFont="1" applyFill="1" applyBorder="1" applyAlignment="1">
      <alignment horizontal="left" vertical="center"/>
    </xf>
    <xf numFmtId="0" fontId="25" fillId="4" borderId="2" xfId="0" applyFont="1" applyFill="1" applyBorder="1" applyAlignment="1">
      <alignment horizontal="left" vertical="center"/>
    </xf>
    <xf numFmtId="0" fontId="5" fillId="3" borderId="51" xfId="0" applyFont="1" applyFill="1" applyBorder="1" applyAlignment="1">
      <alignment vertical="center" wrapText="1"/>
    </xf>
    <xf numFmtId="0" fontId="5" fillId="3" borderId="9" xfId="0" applyFont="1" applyFill="1" applyBorder="1" applyAlignment="1">
      <alignment vertical="center"/>
    </xf>
    <xf numFmtId="0" fontId="5" fillId="3" borderId="18" xfId="0" applyFont="1" applyFill="1" applyBorder="1" applyAlignment="1">
      <alignment vertical="center"/>
    </xf>
    <xf numFmtId="0" fontId="5" fillId="3" borderId="29" xfId="0" applyFont="1" applyFill="1" applyBorder="1" applyAlignment="1">
      <alignment vertical="center"/>
    </xf>
    <xf numFmtId="0" fontId="5" fillId="3" borderId="6" xfId="0" applyFont="1" applyFill="1" applyBorder="1" applyAlignment="1">
      <alignment vertical="center"/>
    </xf>
    <xf numFmtId="0" fontId="5" fillId="3" borderId="17" xfId="0" applyFont="1" applyFill="1" applyBorder="1" applyAlignment="1">
      <alignment vertical="center"/>
    </xf>
    <xf numFmtId="0" fontId="9" fillId="4" borderId="1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center" vertical="center" wrapText="1"/>
    </xf>
    <xf numFmtId="0" fontId="18" fillId="2" borderId="19" xfId="0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center" vertical="center"/>
    </xf>
    <xf numFmtId="49" fontId="15" fillId="2" borderId="19" xfId="0" applyNumberFormat="1" applyFont="1" applyFill="1" applyBorder="1" applyAlignment="1">
      <alignment horizontal="center"/>
    </xf>
    <xf numFmtId="49" fontId="15" fillId="2" borderId="35" xfId="0" applyNumberFormat="1" applyFont="1" applyFill="1" applyBorder="1" applyAlignment="1">
      <alignment horizontal="center"/>
    </xf>
    <xf numFmtId="49" fontId="15" fillId="2" borderId="20" xfId="0" applyNumberFormat="1" applyFont="1" applyFill="1" applyBorder="1" applyAlignment="1">
      <alignment horizontal="center"/>
    </xf>
    <xf numFmtId="0" fontId="9" fillId="0" borderId="0" xfId="1" applyFont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0" fontId="9" fillId="2" borderId="8" xfId="0" applyFont="1" applyFill="1" applyBorder="1" applyAlignment="1">
      <alignment horizontal="center"/>
    </xf>
    <xf numFmtId="0" fontId="10" fillId="2" borderId="18" xfId="0" applyFont="1" applyFill="1" applyBorder="1" applyAlignment="1">
      <alignment horizontal="center"/>
    </xf>
    <xf numFmtId="0" fontId="20" fillId="2" borderId="10" xfId="0" applyFont="1" applyFill="1" applyBorder="1" applyAlignment="1">
      <alignment horizontal="center" vertical="center" wrapText="1"/>
    </xf>
    <xf numFmtId="0" fontId="20" fillId="2" borderId="25" xfId="0" applyFont="1" applyFill="1" applyBorder="1" applyAlignment="1">
      <alignment horizontal="center" vertical="center" wrapText="1"/>
    </xf>
    <xf numFmtId="0" fontId="20" fillId="2" borderId="31" xfId="0" applyFont="1" applyFill="1" applyBorder="1" applyAlignment="1">
      <alignment horizontal="center" vertical="center" wrapText="1"/>
    </xf>
    <xf numFmtId="0" fontId="9" fillId="8" borderId="8" xfId="0" applyFont="1" applyFill="1" applyBorder="1" applyAlignment="1">
      <alignment horizontal="center"/>
    </xf>
    <xf numFmtId="0" fontId="9" fillId="8" borderId="9" xfId="0" applyFont="1" applyFill="1" applyBorder="1" applyAlignment="1">
      <alignment horizontal="center"/>
    </xf>
    <xf numFmtId="0" fontId="9" fillId="8" borderId="18" xfId="0" applyFont="1" applyFill="1" applyBorder="1" applyAlignment="1">
      <alignment horizontal="center"/>
    </xf>
    <xf numFmtId="0" fontId="19" fillId="8" borderId="35" xfId="0" applyFont="1" applyFill="1" applyBorder="1" applyAlignment="1">
      <alignment horizontal="center" vertical="center"/>
    </xf>
    <xf numFmtId="49" fontId="15" fillId="8" borderId="19" xfId="0" applyNumberFormat="1" applyFont="1" applyFill="1" applyBorder="1" applyAlignment="1">
      <alignment horizontal="center" vertical="center"/>
    </xf>
    <xf numFmtId="49" fontId="16" fillId="8" borderId="35" xfId="0" applyNumberFormat="1" applyFont="1" applyFill="1" applyBorder="1" applyAlignment="1">
      <alignment horizontal="center" vertical="center"/>
    </xf>
    <xf numFmtId="49" fontId="16" fillId="8" borderId="20" xfId="0" applyNumberFormat="1" applyFont="1" applyFill="1" applyBorder="1" applyAlignment="1">
      <alignment horizontal="center" vertical="center"/>
    </xf>
    <xf numFmtId="0" fontId="20" fillId="8" borderId="10" xfId="0" applyFont="1" applyFill="1" applyBorder="1" applyAlignment="1">
      <alignment horizontal="center" vertical="center" wrapText="1"/>
    </xf>
    <xf numFmtId="0" fontId="0" fillId="8" borderId="25" xfId="0" applyFill="1" applyBorder="1" applyAlignment="1">
      <alignment horizontal="center" vertical="center" wrapText="1"/>
    </xf>
    <xf numFmtId="0" fontId="0" fillId="8" borderId="31" xfId="0" applyFill="1" applyBorder="1" applyAlignment="1">
      <alignment horizontal="center" vertical="center" wrapText="1"/>
    </xf>
    <xf numFmtId="2" fontId="20" fillId="8" borderId="13" xfId="0" applyNumberFormat="1" applyFont="1" applyFill="1" applyBorder="1" applyAlignment="1">
      <alignment horizontal="center" vertical="center" wrapText="1"/>
    </xf>
    <xf numFmtId="2" fontId="0" fillId="8" borderId="21" xfId="0" applyNumberFormat="1" applyFill="1" applyBorder="1" applyAlignment="1">
      <alignment horizontal="center" vertical="center"/>
    </xf>
    <xf numFmtId="2" fontId="0" fillId="8" borderId="28" xfId="0" applyNumberForma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0" fontId="7" fillId="8" borderId="18" xfId="0" applyFont="1" applyFill="1" applyBorder="1" applyAlignment="1">
      <alignment horizontal="center" vertical="center"/>
    </xf>
    <xf numFmtId="0" fontId="10" fillId="8" borderId="18" xfId="0" applyFont="1" applyFill="1" applyBorder="1" applyAlignment="1">
      <alignment horizontal="center"/>
    </xf>
    <xf numFmtId="0" fontId="23" fillId="2" borderId="8" xfId="0" applyFont="1" applyFill="1" applyBorder="1" applyAlignment="1">
      <alignment horizontal="left"/>
    </xf>
    <xf numFmtId="0" fontId="0" fillId="2" borderId="9" xfId="0" applyFill="1" applyBorder="1"/>
    <xf numFmtId="0" fontId="0" fillId="2" borderId="18" xfId="0" applyFill="1" applyBorder="1"/>
    <xf numFmtId="0" fontId="5" fillId="4" borderId="4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5" fillId="4" borderId="34" xfId="0" applyFont="1" applyFill="1" applyBorder="1" applyAlignment="1">
      <alignment horizontal="center" vertical="center" wrapText="1"/>
    </xf>
    <xf numFmtId="0" fontId="0" fillId="4" borderId="36" xfId="0" applyFill="1" applyBorder="1" applyAlignment="1">
      <alignment horizontal="center" vertical="center" wrapText="1"/>
    </xf>
    <xf numFmtId="0" fontId="0" fillId="4" borderId="38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16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5" fillId="2" borderId="35" xfId="0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23" fillId="2" borderId="6" xfId="0" applyFont="1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5" fillId="8" borderId="35" xfId="0" applyFont="1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23" fillId="8" borderId="6" xfId="0" applyFont="1" applyFill="1" applyBorder="1" applyAlignment="1">
      <alignment horizontal="center"/>
    </xf>
    <xf numFmtId="0" fontId="0" fillId="8" borderId="17" xfId="0" applyFill="1" applyBorder="1" applyAlignment="1">
      <alignment horizontal="center"/>
    </xf>
    <xf numFmtId="0" fontId="20" fillId="8" borderId="22" xfId="0" applyFont="1" applyFill="1" applyBorder="1" applyAlignment="1">
      <alignment horizontal="center" vertical="center" wrapText="1"/>
    </xf>
    <xf numFmtId="0" fontId="20" fillId="8" borderId="27" xfId="0" applyFont="1" applyFill="1" applyBorder="1" applyAlignment="1">
      <alignment horizontal="center" vertical="center" wrapText="1"/>
    </xf>
    <xf numFmtId="0" fontId="48" fillId="0" borderId="24" xfId="0" applyFont="1" applyBorder="1" applyAlignment="1">
      <alignment horizontal="center"/>
    </xf>
    <xf numFmtId="0" fontId="49" fillId="0" borderId="0" xfId="0" applyFont="1" applyAlignment="1">
      <alignment horizontal="center"/>
    </xf>
    <xf numFmtId="0" fontId="49" fillId="0" borderId="33" xfId="0" applyFont="1" applyBorder="1" applyAlignment="1">
      <alignment horizontal="center"/>
    </xf>
    <xf numFmtId="0" fontId="30" fillId="4" borderId="37" xfId="0" applyFont="1" applyFill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0" xfId="0" applyBorder="1" applyAlignment="1">
      <alignment horizontal="center"/>
    </xf>
    <xf numFmtId="0" fontId="30" fillId="4" borderId="10" xfId="0" applyFont="1" applyFill="1" applyBorder="1" applyAlignment="1">
      <alignment horizontal="center" vertical="center"/>
    </xf>
    <xf numFmtId="0" fontId="30" fillId="4" borderId="47" xfId="0" applyFont="1" applyFill="1" applyBorder="1" applyAlignment="1">
      <alignment horizontal="center" vertical="center"/>
    </xf>
    <xf numFmtId="14" fontId="30" fillId="4" borderId="37" xfId="0" applyNumberFormat="1" applyFont="1" applyFill="1" applyBorder="1" applyAlignment="1">
      <alignment horizontal="center" vertical="center"/>
    </xf>
    <xf numFmtId="0" fontId="30" fillId="4" borderId="32" xfId="0" applyFont="1" applyFill="1" applyBorder="1" applyAlignment="1">
      <alignment horizontal="center" vertical="center"/>
    </xf>
    <xf numFmtId="0" fontId="30" fillId="4" borderId="46" xfId="0" applyFont="1" applyFill="1" applyBorder="1" applyAlignment="1">
      <alignment horizontal="center" vertical="center"/>
    </xf>
    <xf numFmtId="0" fontId="30" fillId="4" borderId="40" xfId="0" applyFont="1" applyFill="1" applyBorder="1" applyAlignment="1">
      <alignment horizontal="center" vertical="center"/>
    </xf>
    <xf numFmtId="0" fontId="30" fillId="4" borderId="37" xfId="0" applyFont="1" applyFill="1" applyBorder="1" applyAlignment="1">
      <alignment horizontal="left" vertical="center"/>
    </xf>
    <xf numFmtId="0" fontId="30" fillId="4" borderId="36" xfId="0" applyFont="1" applyFill="1" applyBorder="1" applyAlignment="1">
      <alignment horizontal="left" vertical="center"/>
    </xf>
    <xf numFmtId="0" fontId="30" fillId="4" borderId="46" xfId="0" applyFont="1" applyFill="1" applyBorder="1" applyAlignment="1">
      <alignment horizontal="left" vertical="center"/>
    </xf>
    <xf numFmtId="0" fontId="30" fillId="4" borderId="35" xfId="0" applyFont="1" applyFill="1" applyBorder="1" applyAlignment="1">
      <alignment horizontal="left" vertical="center"/>
    </xf>
    <xf numFmtId="0" fontId="12" fillId="5" borderId="37" xfId="0" applyFont="1" applyFill="1" applyBorder="1" applyAlignment="1">
      <alignment horizontal="left" vertical="center"/>
    </xf>
    <xf numFmtId="0" fontId="31" fillId="5" borderId="36" xfId="0" applyFont="1" applyFill="1" applyBorder="1" applyAlignment="1">
      <alignment horizontal="left" vertical="center"/>
    </xf>
    <xf numFmtId="0" fontId="31" fillId="5" borderId="32" xfId="0" applyFont="1" applyFill="1" applyBorder="1" applyAlignment="1">
      <alignment horizontal="left" vertical="center"/>
    </xf>
    <xf numFmtId="0" fontId="31" fillId="5" borderId="46" xfId="0" applyFont="1" applyFill="1" applyBorder="1" applyAlignment="1">
      <alignment horizontal="left" vertical="center"/>
    </xf>
    <xf numFmtId="0" fontId="31" fillId="5" borderId="35" xfId="0" applyFont="1" applyFill="1" applyBorder="1" applyAlignment="1">
      <alignment horizontal="left" vertical="center"/>
    </xf>
    <xf numFmtId="0" fontId="31" fillId="5" borderId="40" xfId="0" applyFont="1" applyFill="1" applyBorder="1" applyAlignment="1">
      <alignment horizontal="left" vertical="center"/>
    </xf>
    <xf numFmtId="0" fontId="30" fillId="5" borderId="10" xfId="0" applyFont="1" applyFill="1" applyBorder="1" applyAlignment="1">
      <alignment horizontal="center" vertical="center"/>
    </xf>
    <xf numFmtId="0" fontId="30" fillId="5" borderId="47" xfId="0" applyFont="1" applyFill="1" applyBorder="1" applyAlignment="1">
      <alignment horizontal="center" vertical="center"/>
    </xf>
    <xf numFmtId="0" fontId="30" fillId="5" borderId="24" xfId="0" applyFont="1" applyFill="1" applyBorder="1" applyAlignment="1">
      <alignment horizontal="center" vertical="center" textRotation="90"/>
    </xf>
    <xf numFmtId="0" fontId="27" fillId="5" borderId="24" xfId="0" applyFont="1" applyFill="1" applyBorder="1" applyAlignment="1">
      <alignment horizontal="center" vertical="center" textRotation="90"/>
    </xf>
    <xf numFmtId="0" fontId="27" fillId="5" borderId="25" xfId="0" applyFont="1" applyFill="1" applyBorder="1" applyAlignment="1">
      <alignment horizontal="center" vertical="center" textRotation="90"/>
    </xf>
    <xf numFmtId="0" fontId="27" fillId="5" borderId="47" xfId="0" applyFont="1" applyFill="1" applyBorder="1"/>
    <xf numFmtId="0" fontId="32" fillId="4" borderId="37" xfId="0" applyFont="1" applyFill="1" applyBorder="1" applyAlignment="1">
      <alignment horizontal="center" vertical="center"/>
    </xf>
    <xf numFmtId="0" fontId="33" fillId="4" borderId="36" xfId="0" applyFont="1" applyFill="1" applyBorder="1" applyAlignment="1">
      <alignment horizontal="center"/>
    </xf>
    <xf numFmtId="0" fontId="33" fillId="4" borderId="32" xfId="0" applyFont="1" applyFill="1" applyBorder="1" applyAlignment="1">
      <alignment horizontal="center"/>
    </xf>
    <xf numFmtId="0" fontId="33" fillId="4" borderId="46" xfId="0" applyFont="1" applyFill="1" applyBorder="1" applyAlignment="1">
      <alignment horizontal="center"/>
    </xf>
    <xf numFmtId="0" fontId="33" fillId="4" borderId="35" xfId="0" applyFont="1" applyFill="1" applyBorder="1" applyAlignment="1">
      <alignment horizontal="center"/>
    </xf>
    <xf numFmtId="0" fontId="33" fillId="4" borderId="40" xfId="0" applyFont="1" applyFill="1" applyBorder="1" applyAlignment="1">
      <alignment horizontal="center"/>
    </xf>
    <xf numFmtId="0" fontId="28" fillId="4" borderId="48" xfId="0" applyFont="1" applyFill="1" applyBorder="1"/>
    <xf numFmtId="0" fontId="28" fillId="4" borderId="45" xfId="0" applyFont="1" applyFill="1" applyBorder="1"/>
    <xf numFmtId="0" fontId="28" fillId="4" borderId="49" xfId="0" applyFont="1" applyFill="1" applyBorder="1"/>
    <xf numFmtId="0" fontId="31" fillId="5" borderId="0" xfId="0" applyFont="1" applyFill="1" applyAlignment="1">
      <alignment horizontal="left" vertical="center"/>
    </xf>
    <xf numFmtId="0" fontId="29" fillId="5" borderId="10" xfId="0" applyFont="1" applyFill="1" applyBorder="1" applyAlignment="1">
      <alignment horizontal="center" vertical="center"/>
    </xf>
    <xf numFmtId="0" fontId="2" fillId="5" borderId="47" xfId="0" applyFont="1" applyFill="1" applyBorder="1" applyAlignment="1">
      <alignment horizontal="center" vertical="center"/>
    </xf>
    <xf numFmtId="0" fontId="30" fillId="5" borderId="37" xfId="0" applyFont="1" applyFill="1" applyBorder="1" applyAlignment="1">
      <alignment horizontal="center" vertical="center" textRotation="90"/>
    </xf>
    <xf numFmtId="0" fontId="27" fillId="5" borderId="47" xfId="0" applyFont="1" applyFill="1" applyBorder="1" applyAlignment="1">
      <alignment horizontal="center" vertical="center" textRotation="90"/>
    </xf>
    <xf numFmtId="0" fontId="12" fillId="3" borderId="37" xfId="0" applyFont="1" applyFill="1" applyBorder="1" applyAlignment="1">
      <alignment horizontal="left" vertical="center"/>
    </xf>
    <xf numFmtId="0" fontId="31" fillId="3" borderId="36" xfId="0" applyFont="1" applyFill="1" applyBorder="1" applyAlignment="1">
      <alignment horizontal="left" vertical="center"/>
    </xf>
    <xf numFmtId="0" fontId="31" fillId="3" borderId="32" xfId="0" applyFont="1" applyFill="1" applyBorder="1" applyAlignment="1">
      <alignment horizontal="left" vertical="center"/>
    </xf>
    <xf numFmtId="0" fontId="31" fillId="3" borderId="46" xfId="0" applyFont="1" applyFill="1" applyBorder="1" applyAlignment="1">
      <alignment horizontal="left" vertical="center"/>
    </xf>
    <xf numFmtId="0" fontId="31" fillId="3" borderId="0" xfId="0" applyFont="1" applyFill="1" applyAlignment="1">
      <alignment horizontal="left" vertical="center"/>
    </xf>
    <xf numFmtId="0" fontId="31" fillId="3" borderId="33" xfId="0" applyFont="1" applyFill="1" applyBorder="1" applyAlignment="1">
      <alignment horizontal="left" vertical="center"/>
    </xf>
    <xf numFmtId="0" fontId="30" fillId="3" borderId="10" xfId="0" applyFont="1" applyFill="1" applyBorder="1" applyAlignment="1">
      <alignment horizontal="center" vertical="center"/>
    </xf>
    <xf numFmtId="0" fontId="30" fillId="3" borderId="47" xfId="0" applyFont="1" applyFill="1" applyBorder="1" applyAlignment="1">
      <alignment horizontal="center" vertical="center"/>
    </xf>
    <xf numFmtId="0" fontId="30" fillId="3" borderId="24" xfId="0" applyFont="1" applyFill="1" applyBorder="1" applyAlignment="1">
      <alignment horizontal="center" vertical="center" textRotation="90"/>
    </xf>
    <xf numFmtId="0" fontId="27" fillId="3" borderId="24" xfId="0" applyFont="1" applyFill="1" applyBorder="1" applyAlignment="1">
      <alignment horizontal="center" vertical="center" textRotation="90"/>
    </xf>
    <xf numFmtId="0" fontId="27" fillId="3" borderId="25" xfId="0" applyFont="1" applyFill="1" applyBorder="1" applyAlignment="1">
      <alignment horizontal="center" vertical="center" textRotation="90"/>
    </xf>
    <xf numFmtId="0" fontId="27" fillId="3" borderId="47" xfId="0" applyFont="1" applyFill="1" applyBorder="1"/>
    <xf numFmtId="0" fontId="12" fillId="2" borderId="37" xfId="0" applyFont="1" applyFill="1" applyBorder="1" applyAlignment="1">
      <alignment horizontal="left" vertical="center"/>
    </xf>
    <xf numFmtId="0" fontId="31" fillId="2" borderId="36" xfId="0" applyFont="1" applyFill="1" applyBorder="1" applyAlignment="1">
      <alignment horizontal="left" vertical="center"/>
    </xf>
    <xf numFmtId="0" fontId="31" fillId="2" borderId="46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left" vertical="center"/>
    </xf>
    <xf numFmtId="0" fontId="29" fillId="2" borderId="10" xfId="0" applyFont="1" applyFill="1" applyBorder="1" applyAlignment="1">
      <alignment horizontal="center" vertical="center"/>
    </xf>
    <xf numFmtId="0" fontId="2" fillId="2" borderId="47" xfId="0" applyFont="1" applyFill="1" applyBorder="1" applyAlignment="1">
      <alignment horizontal="center" vertical="center"/>
    </xf>
    <xf numFmtId="0" fontId="30" fillId="2" borderId="37" xfId="0" applyFont="1" applyFill="1" applyBorder="1" applyAlignment="1">
      <alignment horizontal="center" vertical="center" textRotation="90"/>
    </xf>
    <xf numFmtId="0" fontId="30" fillId="2" borderId="24" xfId="0" applyFont="1" applyFill="1" applyBorder="1" applyAlignment="1">
      <alignment horizontal="center" vertical="center" textRotation="90"/>
    </xf>
    <xf numFmtId="0" fontId="27" fillId="2" borderId="24" xfId="0" applyFont="1" applyFill="1" applyBorder="1" applyAlignment="1">
      <alignment horizontal="center" vertical="center" textRotation="90"/>
    </xf>
    <xf numFmtId="0" fontId="27" fillId="2" borderId="25" xfId="0" applyFont="1" applyFill="1" applyBorder="1" applyAlignment="1">
      <alignment horizontal="center" vertical="center" textRotation="90"/>
    </xf>
    <xf numFmtId="0" fontId="27" fillId="2" borderId="47" xfId="0" applyFont="1" applyFill="1" applyBorder="1" applyAlignment="1">
      <alignment horizontal="center" vertical="center" textRotation="90"/>
    </xf>
    <xf numFmtId="0" fontId="28" fillId="4" borderId="46" xfId="0" applyFont="1" applyFill="1" applyBorder="1"/>
    <xf numFmtId="0" fontId="28" fillId="4" borderId="35" xfId="0" applyFont="1" applyFill="1" applyBorder="1"/>
    <xf numFmtId="0" fontId="27" fillId="4" borderId="36" xfId="0" applyFont="1" applyFill="1" applyBorder="1" applyAlignment="1">
      <alignment horizontal="center"/>
    </xf>
    <xf numFmtId="0" fontId="27" fillId="4" borderId="32" xfId="0" applyFont="1" applyFill="1" applyBorder="1" applyAlignment="1">
      <alignment horizontal="center"/>
    </xf>
    <xf numFmtId="0" fontId="27" fillId="4" borderId="46" xfId="0" applyFont="1" applyFill="1" applyBorder="1" applyAlignment="1">
      <alignment horizontal="center"/>
    </xf>
    <xf numFmtId="0" fontId="27" fillId="4" borderId="35" xfId="0" applyFont="1" applyFill="1" applyBorder="1" applyAlignment="1">
      <alignment horizontal="center"/>
    </xf>
    <xf numFmtId="0" fontId="27" fillId="4" borderId="40" xfId="0" applyFont="1" applyFill="1" applyBorder="1" applyAlignment="1">
      <alignment horizontal="center"/>
    </xf>
    <xf numFmtId="0" fontId="30" fillId="3" borderId="25" xfId="0" applyFont="1" applyFill="1" applyBorder="1" applyAlignment="1">
      <alignment horizontal="center" vertical="center"/>
    </xf>
    <xf numFmtId="0" fontId="30" fillId="3" borderId="37" xfId="0" applyFont="1" applyFill="1" applyBorder="1" applyAlignment="1">
      <alignment horizontal="center" vertical="center" textRotation="90"/>
    </xf>
    <xf numFmtId="0" fontId="28" fillId="4" borderId="40" xfId="0" applyFont="1" applyFill="1" applyBorder="1"/>
    <xf numFmtId="0" fontId="31" fillId="3" borderId="35" xfId="0" applyFont="1" applyFill="1" applyBorder="1" applyAlignment="1">
      <alignment horizontal="left" vertical="center"/>
    </xf>
    <xf numFmtId="0" fontId="31" fillId="3" borderId="40" xfId="0" applyFont="1" applyFill="1" applyBorder="1" applyAlignment="1">
      <alignment horizontal="left" vertical="center"/>
    </xf>
    <xf numFmtId="0" fontId="30" fillId="3" borderId="10" xfId="0" applyFont="1" applyFill="1" applyBorder="1" applyAlignment="1">
      <alignment horizontal="center" vertical="center" textRotation="90"/>
    </xf>
    <xf numFmtId="0" fontId="27" fillId="3" borderId="46" xfId="0" applyFont="1" applyFill="1" applyBorder="1"/>
    <xf numFmtId="0" fontId="33" fillId="4" borderId="0" xfId="0" applyFont="1" applyFill="1" applyAlignment="1">
      <alignment horizontal="center"/>
    </xf>
    <xf numFmtId="0" fontId="33" fillId="4" borderId="33" xfId="0" applyFont="1" applyFill="1" applyBorder="1" applyAlignment="1">
      <alignment horizontal="center"/>
    </xf>
    <xf numFmtId="0" fontId="30" fillId="4" borderId="36" xfId="0" applyFont="1" applyFill="1" applyBorder="1" applyAlignment="1">
      <alignment horizontal="center" vertical="center"/>
    </xf>
    <xf numFmtId="0" fontId="30" fillId="4" borderId="35" xfId="0" applyFont="1" applyFill="1" applyBorder="1" applyAlignment="1">
      <alignment horizontal="center" vertical="center"/>
    </xf>
    <xf numFmtId="0" fontId="30" fillId="4" borderId="32" xfId="0" applyFont="1" applyFill="1" applyBorder="1" applyAlignment="1">
      <alignment horizontal="left" vertical="center"/>
    </xf>
    <xf numFmtId="0" fontId="30" fillId="4" borderId="40" xfId="0" applyFont="1" applyFill="1" applyBorder="1" applyAlignment="1">
      <alignment horizontal="left" vertical="center"/>
    </xf>
    <xf numFmtId="14" fontId="30" fillId="4" borderId="32" xfId="0" applyNumberFormat="1" applyFont="1" applyFill="1" applyBorder="1" applyAlignment="1">
      <alignment horizontal="center" vertical="center"/>
    </xf>
    <xf numFmtId="14" fontId="30" fillId="4" borderId="46" xfId="0" applyNumberFormat="1" applyFont="1" applyFill="1" applyBorder="1" applyAlignment="1">
      <alignment horizontal="center" vertical="center"/>
    </xf>
    <xf numFmtId="14" fontId="30" fillId="4" borderId="40" xfId="0" applyNumberFormat="1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46" xfId="0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left" vertical="center"/>
    </xf>
    <xf numFmtId="0" fontId="12" fillId="3" borderId="40" xfId="0" applyFont="1" applyFill="1" applyBorder="1" applyAlignment="1">
      <alignment horizontal="left" vertical="center"/>
    </xf>
    <xf numFmtId="0" fontId="30" fillId="3" borderId="46" xfId="0" applyFont="1" applyFill="1" applyBorder="1" applyAlignment="1">
      <alignment horizontal="center" vertical="center" textRotation="90"/>
    </xf>
    <xf numFmtId="0" fontId="32" fillId="4" borderId="36" xfId="0" applyFont="1" applyFill="1" applyBorder="1" applyAlignment="1">
      <alignment horizontal="center" vertical="center"/>
    </xf>
    <xf numFmtId="0" fontId="32" fillId="4" borderId="32" xfId="0" applyFont="1" applyFill="1" applyBorder="1" applyAlignment="1">
      <alignment horizontal="center" vertical="center"/>
    </xf>
    <xf numFmtId="0" fontId="32" fillId="4" borderId="46" xfId="0" applyFont="1" applyFill="1" applyBorder="1" applyAlignment="1">
      <alignment horizontal="center" vertical="center"/>
    </xf>
    <xf numFmtId="0" fontId="32" fillId="4" borderId="35" xfId="0" applyFont="1" applyFill="1" applyBorder="1" applyAlignment="1">
      <alignment horizontal="center" vertical="center"/>
    </xf>
    <xf numFmtId="0" fontId="32" fillId="4" borderId="40" xfId="0" applyFont="1" applyFill="1" applyBorder="1" applyAlignment="1">
      <alignment horizontal="center" vertical="center"/>
    </xf>
    <xf numFmtId="0" fontId="12" fillId="2" borderId="36" xfId="0" applyFont="1" applyFill="1" applyBorder="1" applyAlignment="1">
      <alignment horizontal="left" vertical="center"/>
    </xf>
    <xf numFmtId="0" fontId="12" fillId="2" borderId="32" xfId="0" applyFont="1" applyFill="1" applyBorder="1" applyAlignment="1">
      <alignment horizontal="left" vertical="center"/>
    </xf>
    <xf numFmtId="0" fontId="12" fillId="2" borderId="46" xfId="0" applyFont="1" applyFill="1" applyBorder="1" applyAlignment="1">
      <alignment horizontal="left" vertical="center"/>
    </xf>
    <xf numFmtId="0" fontId="12" fillId="2" borderId="35" xfId="0" applyFont="1" applyFill="1" applyBorder="1" applyAlignment="1">
      <alignment horizontal="left" vertical="center"/>
    </xf>
    <xf numFmtId="0" fontId="12" fillId="2" borderId="40" xfId="0" applyFont="1" applyFill="1" applyBorder="1" applyAlignment="1">
      <alignment horizontal="left" vertical="center"/>
    </xf>
    <xf numFmtId="0" fontId="29" fillId="2" borderId="47" xfId="0" applyFont="1" applyFill="1" applyBorder="1" applyAlignment="1">
      <alignment horizontal="center" vertical="center"/>
    </xf>
    <xf numFmtId="0" fontId="30" fillId="2" borderId="10" xfId="0" applyFont="1" applyFill="1" applyBorder="1" applyAlignment="1">
      <alignment horizontal="center" vertical="center" textRotation="90"/>
    </xf>
    <xf numFmtId="0" fontId="30" fillId="2" borderId="25" xfId="0" applyFont="1" applyFill="1" applyBorder="1" applyAlignment="1">
      <alignment horizontal="center" vertical="center" textRotation="90"/>
    </xf>
    <xf numFmtId="0" fontId="30" fillId="2" borderId="47" xfId="0" applyFont="1" applyFill="1" applyBorder="1" applyAlignment="1">
      <alignment horizontal="center" vertical="center" textRotation="90"/>
    </xf>
    <xf numFmtId="0" fontId="55" fillId="0" borderId="24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33" xfId="0" applyBorder="1" applyAlignment="1">
      <alignment horizontal="center"/>
    </xf>
    <xf numFmtId="0" fontId="34" fillId="0" borderId="0" xfId="0" applyFont="1" applyAlignment="1">
      <alignment horizontal="center"/>
    </xf>
    <xf numFmtId="0" fontId="34" fillId="0" borderId="33" xfId="0" applyFont="1" applyBorder="1" applyAlignment="1">
      <alignment horizontal="center"/>
    </xf>
    <xf numFmtId="0" fontId="12" fillId="7" borderId="37" xfId="0" applyFont="1" applyFill="1" applyBorder="1" applyAlignment="1">
      <alignment horizontal="left" vertical="center"/>
    </xf>
    <xf numFmtId="0" fontId="12" fillId="7" borderId="36" xfId="0" applyFont="1" applyFill="1" applyBorder="1" applyAlignment="1">
      <alignment horizontal="left" vertical="center"/>
    </xf>
    <xf numFmtId="0" fontId="12" fillId="7" borderId="32" xfId="0" applyFont="1" applyFill="1" applyBorder="1" applyAlignment="1">
      <alignment horizontal="left" vertical="center"/>
    </xf>
    <xf numFmtId="0" fontId="12" fillId="7" borderId="46" xfId="0" applyFont="1" applyFill="1" applyBorder="1" applyAlignment="1">
      <alignment horizontal="left" vertical="center"/>
    </xf>
    <xf numFmtId="0" fontId="12" fillId="7" borderId="0" xfId="0" applyFont="1" applyFill="1" applyAlignment="1">
      <alignment horizontal="left" vertical="center"/>
    </xf>
    <xf numFmtId="0" fontId="12" fillId="7" borderId="33" xfId="0" applyFont="1" applyFill="1" applyBorder="1" applyAlignment="1">
      <alignment horizontal="left" vertical="center"/>
    </xf>
    <xf numFmtId="0" fontId="30" fillId="7" borderId="10" xfId="0" applyFont="1" applyFill="1" applyBorder="1" applyAlignment="1">
      <alignment horizontal="center" vertical="center"/>
    </xf>
    <xf numFmtId="0" fontId="30" fillId="7" borderId="47" xfId="0" applyFont="1" applyFill="1" applyBorder="1" applyAlignment="1">
      <alignment horizontal="center" vertical="center"/>
    </xf>
    <xf numFmtId="0" fontId="30" fillId="7" borderId="37" xfId="0" applyFont="1" applyFill="1" applyBorder="1" applyAlignment="1">
      <alignment horizontal="center" vertical="center" textRotation="90"/>
    </xf>
    <xf numFmtId="0" fontId="30" fillId="7" borderId="24" xfId="0" applyFont="1" applyFill="1" applyBorder="1" applyAlignment="1">
      <alignment horizontal="center" vertical="center" textRotation="90"/>
    </xf>
    <xf numFmtId="0" fontId="30" fillId="7" borderId="46" xfId="0" applyFont="1" applyFill="1" applyBorder="1" applyAlignment="1">
      <alignment horizontal="center" vertical="center" textRotation="90"/>
    </xf>
    <xf numFmtId="0" fontId="31" fillId="7" borderId="36" xfId="0" applyFont="1" applyFill="1" applyBorder="1" applyAlignment="1">
      <alignment horizontal="left" vertical="center"/>
    </xf>
    <xf numFmtId="0" fontId="31" fillId="7" borderId="32" xfId="0" applyFont="1" applyFill="1" applyBorder="1" applyAlignment="1">
      <alignment horizontal="left" vertical="center"/>
    </xf>
    <xf numFmtId="0" fontId="31" fillId="7" borderId="46" xfId="0" applyFont="1" applyFill="1" applyBorder="1" applyAlignment="1">
      <alignment horizontal="left" vertical="center"/>
    </xf>
    <xf numFmtId="0" fontId="31" fillId="7" borderId="0" xfId="0" applyFont="1" applyFill="1" applyAlignment="1">
      <alignment horizontal="left" vertical="center"/>
    </xf>
    <xf numFmtId="0" fontId="31" fillId="7" borderId="33" xfId="0" applyFont="1" applyFill="1" applyBorder="1" applyAlignment="1">
      <alignment horizontal="left" vertical="center"/>
    </xf>
    <xf numFmtId="0" fontId="27" fillId="7" borderId="24" xfId="0" applyFont="1" applyFill="1" applyBorder="1" applyAlignment="1">
      <alignment horizontal="center" vertical="center" textRotation="90"/>
    </xf>
    <xf numFmtId="0" fontId="27" fillId="7" borderId="25" xfId="0" applyFont="1" applyFill="1" applyBorder="1" applyAlignment="1">
      <alignment horizontal="center" vertical="center" textRotation="90"/>
    </xf>
    <xf numFmtId="0" fontId="27" fillId="7" borderId="46" xfId="0" applyFont="1" applyFill="1" applyBorder="1"/>
    <xf numFmtId="0" fontId="31" fillId="7" borderId="35" xfId="0" applyFont="1" applyFill="1" applyBorder="1" applyAlignment="1">
      <alignment horizontal="left" vertical="center"/>
    </xf>
    <xf numFmtId="0" fontId="31" fillId="7" borderId="40" xfId="0" applyFont="1" applyFill="1" applyBorder="1" applyAlignment="1">
      <alignment horizontal="left" vertical="center"/>
    </xf>
    <xf numFmtId="0" fontId="28" fillId="4" borderId="24" xfId="0" applyFont="1" applyFill="1" applyBorder="1"/>
    <xf numFmtId="0" fontId="28" fillId="4" borderId="0" xfId="0" applyFont="1" applyFill="1"/>
    <xf numFmtId="0" fontId="28" fillId="4" borderId="33" xfId="0" applyFont="1" applyFill="1" applyBorder="1"/>
    <xf numFmtId="0" fontId="27" fillId="5" borderId="46" xfId="0" applyFont="1" applyFill="1" applyBorder="1"/>
    <xf numFmtId="0" fontId="31" fillId="2" borderId="32" xfId="0" applyFont="1" applyFill="1" applyBorder="1" applyAlignment="1">
      <alignment horizontal="left" vertical="center"/>
    </xf>
    <xf numFmtId="0" fontId="31" fillId="2" borderId="35" xfId="0" applyFont="1" applyFill="1" applyBorder="1" applyAlignment="1">
      <alignment horizontal="left" vertical="center"/>
    </xf>
    <xf numFmtId="0" fontId="31" fillId="2" borderId="40" xfId="0" applyFont="1" applyFill="1" applyBorder="1" applyAlignment="1">
      <alignment horizontal="left" vertical="center"/>
    </xf>
    <xf numFmtId="0" fontId="30" fillId="2" borderId="10" xfId="0" applyFont="1" applyFill="1" applyBorder="1" applyAlignment="1">
      <alignment horizontal="center" vertical="center"/>
    </xf>
    <xf numFmtId="0" fontId="30" fillId="2" borderId="47" xfId="0" applyFont="1" applyFill="1" applyBorder="1" applyAlignment="1">
      <alignment horizontal="center" vertical="center"/>
    </xf>
    <xf numFmtId="0" fontId="27" fillId="2" borderId="46" xfId="0" applyFont="1" applyFill="1" applyBorder="1"/>
    <xf numFmtId="0" fontId="6" fillId="0" borderId="10" xfId="0" applyFont="1" applyBorder="1" applyAlignment="1">
      <alignment horizontal="left" vertical="center"/>
    </xf>
    <xf numFmtId="0" fontId="0" fillId="0" borderId="25" xfId="0" applyBorder="1"/>
    <xf numFmtId="0" fontId="0" fillId="0" borderId="47" xfId="0" applyBorder="1"/>
    <xf numFmtId="0" fontId="6" fillId="4" borderId="37" xfId="0" applyFont="1" applyFill="1" applyBorder="1" applyAlignment="1">
      <alignment horizontal="left" vertical="center"/>
    </xf>
    <xf numFmtId="0" fontId="6" fillId="4" borderId="46" xfId="0" applyFont="1" applyFill="1" applyBorder="1" applyAlignment="1">
      <alignment horizontal="left" vertical="center"/>
    </xf>
    <xf numFmtId="0" fontId="0" fillId="0" borderId="37" xfId="0" applyBorder="1" applyAlignment="1">
      <alignment horizontal="left" vertical="top" wrapText="1"/>
    </xf>
    <xf numFmtId="0" fontId="0" fillId="0" borderId="36" xfId="0" applyBorder="1" applyAlignment="1">
      <alignment horizontal="left" vertical="top"/>
    </xf>
    <xf numFmtId="0" fontId="0" fillId="0" borderId="32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33" xfId="0" applyBorder="1" applyAlignment="1">
      <alignment horizontal="left" vertical="top"/>
    </xf>
    <xf numFmtId="0" fontId="0" fillId="0" borderId="46" xfId="0" applyBorder="1" applyAlignment="1">
      <alignment horizontal="left" vertical="top"/>
    </xf>
    <xf numFmtId="0" fontId="0" fillId="0" borderId="35" xfId="0" applyBorder="1" applyAlignment="1">
      <alignment horizontal="left" vertical="top"/>
    </xf>
    <xf numFmtId="0" fontId="0" fillId="0" borderId="40" xfId="0" applyBorder="1" applyAlignment="1">
      <alignment horizontal="left" vertical="top"/>
    </xf>
    <xf numFmtId="0" fontId="30" fillId="2" borderId="37" xfId="0" applyFont="1" applyFill="1" applyBorder="1" applyAlignment="1">
      <alignment horizontal="left" vertical="center"/>
    </xf>
    <xf numFmtId="0" fontId="30" fillId="2" borderId="36" xfId="0" applyFont="1" applyFill="1" applyBorder="1" applyAlignment="1">
      <alignment horizontal="left" vertical="center"/>
    </xf>
    <xf numFmtId="0" fontId="0" fillId="2" borderId="36" xfId="0" applyFill="1" applyBorder="1" applyAlignment="1">
      <alignment vertical="center"/>
    </xf>
    <xf numFmtId="0" fontId="0" fillId="2" borderId="32" xfId="0" applyFill="1" applyBorder="1" applyAlignment="1">
      <alignment vertical="center"/>
    </xf>
    <xf numFmtId="0" fontId="30" fillId="2" borderId="46" xfId="0" applyFont="1" applyFill="1" applyBorder="1" applyAlignment="1">
      <alignment horizontal="left" vertical="center"/>
    </xf>
    <xf numFmtId="0" fontId="30" fillId="2" borderId="35" xfId="0" applyFont="1" applyFill="1" applyBorder="1" applyAlignment="1">
      <alignment horizontal="left" vertical="center"/>
    </xf>
    <xf numFmtId="0" fontId="0" fillId="2" borderId="35" xfId="0" applyFill="1" applyBorder="1" applyAlignment="1">
      <alignment vertical="center"/>
    </xf>
    <xf numFmtId="0" fontId="0" fillId="2" borderId="40" xfId="0" applyFill="1" applyBorder="1" applyAlignment="1">
      <alignment vertical="center"/>
    </xf>
  </cellXfs>
  <cellStyles count="2">
    <cellStyle name="Link" xfId="1" builtinId="8"/>
    <cellStyle name="Standard" xfId="0" builtinId="0"/>
  </cellStyles>
  <dxfs count="1">
    <dxf>
      <fill>
        <patternFill>
          <bgColor theme="4" tint="0.79998168889431442"/>
        </patternFill>
      </fill>
    </dxf>
  </dxfs>
  <tableStyles count="0" defaultTableStyle="TableStyleMedium9" defaultPivotStyle="PivotStyleLight16"/>
  <colors>
    <mruColors>
      <color rgb="FFEAEAEA"/>
      <color rgb="FF0099FF"/>
      <color rgb="FF99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sanitaerlernen.ch/0_Datenbank/1_Auftraege/1.Semester/1.6_Auftrag.pdf" TargetMode="External"/><Relationship Id="rId3" Type="http://schemas.openxmlformats.org/officeDocument/2006/relationships/image" Target="../media/image2.png"/><Relationship Id="rId7" Type="http://schemas.openxmlformats.org/officeDocument/2006/relationships/hyperlink" Target="https://sanitaerlernen.ch/0_Datenbank/1_Auftraege/1.Semester/1.5_Auftrag.pdf" TargetMode="External"/><Relationship Id="rId2" Type="http://schemas.openxmlformats.org/officeDocument/2006/relationships/hyperlink" Target="https://sanitaerlernen.ch/0_Datenbank/1_Auftraege/1.Semester/1.1_Auftrag.pdf" TargetMode="External"/><Relationship Id="rId1" Type="http://schemas.openxmlformats.org/officeDocument/2006/relationships/image" Target="../media/image1.png"/><Relationship Id="rId6" Type="http://schemas.openxmlformats.org/officeDocument/2006/relationships/hyperlink" Target="https://sanitaerlernen.ch/0_Datenbank/1_Auftraege/1.Semester/1.4_Auftrag.pdf" TargetMode="External"/><Relationship Id="rId11" Type="http://schemas.openxmlformats.org/officeDocument/2006/relationships/hyperlink" Target="https://sanitaerlernen.ch/0_Datenbank/1_Auftraege/1.Semester/1.12_Auftrag.pdf" TargetMode="External"/><Relationship Id="rId5" Type="http://schemas.openxmlformats.org/officeDocument/2006/relationships/hyperlink" Target="https://sanitaerlernen.ch/0_Datenbank/1_Auftraege/1.Semester/1.3_Auftrag.pdf" TargetMode="External"/><Relationship Id="rId10" Type="http://schemas.openxmlformats.org/officeDocument/2006/relationships/hyperlink" Target="https://sanitaerlernen.ch/0_Datenbank/1_Auftraege/1.Semester/1.9_Auftrag.pdf" TargetMode="External"/><Relationship Id="rId4" Type="http://schemas.openxmlformats.org/officeDocument/2006/relationships/hyperlink" Target="https://sanitaerlernen.ch/0_Datenbank/1_Auftraege/1.Semester/1.2_Auftrag.pdf" TargetMode="External"/><Relationship Id="rId9" Type="http://schemas.openxmlformats.org/officeDocument/2006/relationships/hyperlink" Target="https://sanitaerlernen.ch/0_Datenbank/1_Auftraege/1.Semester/1.8_Auftrag.pdf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s://bldsg-my.sharepoint.com/:v:/g/personal/marcel_item_gbssg_ch/EQhwPtMsrR5FnU5nhrBlvJwBSGgdaa9Lb0Hv7aLT_uMYOg?e=CGRVKK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3Pv0aVvzIoM" TargetMode="External"/><Relationship Id="rId2" Type="http://schemas.openxmlformats.org/officeDocument/2006/relationships/image" Target="../media/image3.png"/><Relationship Id="rId1" Type="http://schemas.openxmlformats.org/officeDocument/2006/relationships/hyperlink" Target="https://www.youtube.com/watch?v=2MS4GJRaLas" TargetMode="Externa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tjUqglshyp4" TargetMode="External"/><Relationship Id="rId2" Type="http://schemas.openxmlformats.org/officeDocument/2006/relationships/image" Target="../media/image3.png"/><Relationship Id="rId1" Type="http://schemas.openxmlformats.org/officeDocument/2006/relationships/hyperlink" Target="https://www.youtube.com/watch?v=eHfscq1nShY&amp;t=99s" TargetMode="Externa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0tMr5SKLkCc" TargetMode="External"/><Relationship Id="rId2" Type="http://schemas.openxmlformats.org/officeDocument/2006/relationships/image" Target="../media/image3.png"/><Relationship Id="rId1" Type="http://schemas.openxmlformats.org/officeDocument/2006/relationships/hyperlink" Target="https://www.youtube.com/watch?v=-NLJQrG4WYw" TargetMode="Externa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0tMr5SKLkCc" TargetMode="External"/><Relationship Id="rId2" Type="http://schemas.openxmlformats.org/officeDocument/2006/relationships/image" Target="../media/image3.png"/><Relationship Id="rId1" Type="http://schemas.openxmlformats.org/officeDocument/2006/relationships/hyperlink" Target="https://www.youtube.com/watch?v=-NLJQrG4WYw" TargetMode="External"/><Relationship Id="rId6" Type="http://schemas.openxmlformats.org/officeDocument/2006/relationships/image" Target="../media/image4.png"/><Relationship Id="rId5" Type="http://schemas.openxmlformats.org/officeDocument/2006/relationships/hyperlink" Target="https://sanitaerlernen.ch/0_Datenbank/6_Lernziele/1.Semester/1.4_Lernziele.pdf" TargetMode="External"/><Relationship Id="rId4" Type="http://schemas.openxmlformats.org/officeDocument/2006/relationships/hyperlink" Target="https://www.youtube.com/watch?v=4nXGyMcudjQ" TargetMode="Externa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-NLJQrG4WYw" TargetMode="External"/><Relationship Id="rId2" Type="http://schemas.openxmlformats.org/officeDocument/2006/relationships/image" Target="../media/image3.png"/><Relationship Id="rId1" Type="http://schemas.openxmlformats.org/officeDocument/2006/relationships/hyperlink" Target="https://www.youtube.com/watch?v=nbWAGgq1YHM" TargetMode="External"/><Relationship Id="rId6" Type="http://schemas.openxmlformats.org/officeDocument/2006/relationships/image" Target="../media/image4.png"/><Relationship Id="rId5" Type="http://schemas.openxmlformats.org/officeDocument/2006/relationships/hyperlink" Target="https://sanitaerlernen.ch/0_Datenbank/6_Lernziele/1.Semester/1.1_Lernziele.pdf" TargetMode="External"/><Relationship Id="rId4" Type="http://schemas.openxmlformats.org/officeDocument/2006/relationships/hyperlink" Target="https://www.youtube.com/watch?v=WvY5Inl3FFI" TargetMode="Externa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VOp_nHS0cNQ" TargetMode="External"/><Relationship Id="rId2" Type="http://schemas.openxmlformats.org/officeDocument/2006/relationships/image" Target="../media/image3.png"/><Relationship Id="rId1" Type="http://schemas.openxmlformats.org/officeDocument/2006/relationships/hyperlink" Target="https://youtu.be/VBL2XMrteFg" TargetMode="External"/><Relationship Id="rId5" Type="http://schemas.openxmlformats.org/officeDocument/2006/relationships/hyperlink" Target="https://www.youtube.com/watch?v=O-23yARhxw8" TargetMode="External"/><Relationship Id="rId4" Type="http://schemas.openxmlformats.org/officeDocument/2006/relationships/hyperlink" Target="https://www.youtube.com/watch?v=RzyMRbfao2o" TargetMode="Externa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ZTk1krpdORM" TargetMode="External"/><Relationship Id="rId2" Type="http://schemas.openxmlformats.org/officeDocument/2006/relationships/image" Target="../media/image3.png"/><Relationship Id="rId1" Type="http://schemas.openxmlformats.org/officeDocument/2006/relationships/hyperlink" Target="https://www.youtube.com/watch?v=6B6hKcF-m40" TargetMode="Externa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https://sanitaerlernen.ch/0_Datenbank/6_Lernziele/1.Semester/1.5_Lernziele.pdf" TargetMode="External"/><Relationship Id="rId2" Type="http://schemas.openxmlformats.org/officeDocument/2006/relationships/image" Target="../media/image3.png"/><Relationship Id="rId1" Type="http://schemas.openxmlformats.org/officeDocument/2006/relationships/hyperlink" Target="https://youtu.be/Ts6PFfd0Cf0" TargetMode="External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EPuiQvRkowA" TargetMode="External"/><Relationship Id="rId2" Type="http://schemas.openxmlformats.org/officeDocument/2006/relationships/image" Target="../media/image3.png"/><Relationship Id="rId1" Type="http://schemas.openxmlformats.org/officeDocument/2006/relationships/hyperlink" Target="https://youtu.be/94-kmRrmldY" TargetMode="Externa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AqC1065mWcM" TargetMode="External"/><Relationship Id="rId2" Type="http://schemas.openxmlformats.org/officeDocument/2006/relationships/image" Target="../media/image3.png"/><Relationship Id="rId1" Type="http://schemas.openxmlformats.org/officeDocument/2006/relationships/hyperlink" Target="https://www.youtube.com/watch?v=6B6hKcF-m40" TargetMode="External"/><Relationship Id="rId5" Type="http://schemas.openxmlformats.org/officeDocument/2006/relationships/hyperlink" Target="https://youtu.be/nKGCtVcCTqE" TargetMode="External"/><Relationship Id="rId4" Type="http://schemas.openxmlformats.org/officeDocument/2006/relationships/hyperlink" Target="https://youtu.be/75zpPNhX_F0" TargetMode="Externa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6TVy8EjoRD4&amp;list=PLLlESpyU2WvWmTPAjxISeQFvJb_enbaf3" TargetMode="External"/><Relationship Id="rId2" Type="http://schemas.openxmlformats.org/officeDocument/2006/relationships/image" Target="../media/image3.png"/><Relationship Id="rId1" Type="http://schemas.openxmlformats.org/officeDocument/2006/relationships/hyperlink" Target="https://youtu.be/LlpriqghMHo" TargetMode="External"/><Relationship Id="rId4" Type="http://schemas.openxmlformats.org/officeDocument/2006/relationships/hyperlink" Target="https://youtu.be/W0q4dpyTh1U" TargetMode="Externa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W0q4dpyTh1U" TargetMode="External"/><Relationship Id="rId2" Type="http://schemas.openxmlformats.org/officeDocument/2006/relationships/image" Target="../media/image3.png"/><Relationship Id="rId1" Type="http://schemas.openxmlformats.org/officeDocument/2006/relationships/hyperlink" Target="https://www.youtube.com/watch?v=6TVy8EjoRD4&amp;list=PLLlESpyU2WvWmTPAjxISeQFvJb_enbaf3" TargetMode="External"/><Relationship Id="rId5" Type="http://schemas.openxmlformats.org/officeDocument/2006/relationships/image" Target="../media/image4.png"/><Relationship Id="rId4" Type="http://schemas.openxmlformats.org/officeDocument/2006/relationships/hyperlink" Target="https://sanitaerlernen.ch/0_Datenbank/6_Lernziele/1.Semester/1.6_Lernziele.pdf" TargetMode="Externa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W0q4dpyTh1U" TargetMode="External"/><Relationship Id="rId2" Type="http://schemas.openxmlformats.org/officeDocument/2006/relationships/image" Target="../media/image3.png"/><Relationship Id="rId1" Type="http://schemas.openxmlformats.org/officeDocument/2006/relationships/hyperlink" Target="https://youtu.be/kofd4y2Q_cA" TargetMode="External"/><Relationship Id="rId4" Type="http://schemas.openxmlformats.org/officeDocument/2006/relationships/hyperlink" Target="https://youtu.be/M8AubiTJozk" TargetMode="Externa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2xaecIPAca8" TargetMode="External"/><Relationship Id="rId2" Type="http://schemas.openxmlformats.org/officeDocument/2006/relationships/image" Target="../media/image3.png"/><Relationship Id="rId1" Type="http://schemas.openxmlformats.org/officeDocument/2006/relationships/hyperlink" Target="https://www.youtube.com/watch?v=3NzaU1YL9mQ&amp;t=27s" TargetMode="Externa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bgffXeThm0w" TargetMode="External"/><Relationship Id="rId2" Type="http://schemas.openxmlformats.org/officeDocument/2006/relationships/image" Target="../media/image3.png"/><Relationship Id="rId1" Type="http://schemas.openxmlformats.org/officeDocument/2006/relationships/hyperlink" Target="https://www.youtube.com/watch?v=3NzaU1YL9mQ&amp;t=27s" TargetMode="External"/><Relationship Id="rId5" Type="http://schemas.openxmlformats.org/officeDocument/2006/relationships/image" Target="../media/image4.png"/><Relationship Id="rId4" Type="http://schemas.openxmlformats.org/officeDocument/2006/relationships/hyperlink" Target="https://sanitaerlernen.ch/0_Datenbank/6_Lernziele/1.Semester/1.2_Lernziele.pdf" TargetMode="Externa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9gN6vocdLm0&amp;list=PLLlESpyU2WvULON6Ph3bF4ESdy4S48Ig7" TargetMode="External"/><Relationship Id="rId2" Type="http://schemas.openxmlformats.org/officeDocument/2006/relationships/image" Target="../media/image3.png"/><Relationship Id="rId1" Type="http://schemas.openxmlformats.org/officeDocument/2006/relationships/hyperlink" Target="https://www.youtube.com/watch?v=3NzaU1YL9mQ&amp;t=27s" TargetMode="Externa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hyperlink" Target="https://bldsg-my.sharepoint.com/:v:/g/personal/marcel_item_gbssg_ch/EUbGSGxdX7NNinC4PQ6fN5cBuQvhwa1vzCc2x5EvW_2sNg?e=irUshz" TargetMode="External"/><Relationship Id="rId2" Type="http://schemas.openxmlformats.org/officeDocument/2006/relationships/image" Target="../media/image3.png"/><Relationship Id="rId1" Type="http://schemas.openxmlformats.org/officeDocument/2006/relationships/hyperlink" Target="https://youtu.be/L5oi42q7L9w" TargetMode="External"/><Relationship Id="rId5" Type="http://schemas.openxmlformats.org/officeDocument/2006/relationships/image" Target="../media/image2.png"/><Relationship Id="rId4" Type="http://schemas.openxmlformats.org/officeDocument/2006/relationships/hyperlink" Target="https://bldsg-my.sharepoint.com/:b:/g/personal/marcel_item_gbssg_ch/Ea_DvM4JfhtCh4OfBxwrlXsBW2b_maZgCCz4zqb3wwKBNA?e=eXC3Mi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689415</xdr:colOff>
      <xdr:row>4</xdr:row>
      <xdr:rowOff>85725</xdr:rowOff>
    </xdr:from>
    <xdr:to>
      <xdr:col>20</xdr:col>
      <xdr:colOff>1008502</xdr:colOff>
      <xdr:row>5</xdr:row>
      <xdr:rowOff>161925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9B36DE51-C77F-4741-BE06-A4B17FC1C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67467" y="808311"/>
          <a:ext cx="319087" cy="325821"/>
        </a:xfrm>
        <a:prstGeom prst="rect">
          <a:avLst/>
        </a:prstGeom>
      </xdr:spPr>
    </xdr:pic>
    <xdr:clientData/>
  </xdr:twoCellAnchor>
  <xdr:twoCellAnchor editAs="oneCell">
    <xdr:from>
      <xdr:col>4</xdr:col>
      <xdr:colOff>41714</xdr:colOff>
      <xdr:row>4</xdr:row>
      <xdr:rowOff>66676</xdr:rowOff>
    </xdr:from>
    <xdr:to>
      <xdr:col>4</xdr:col>
      <xdr:colOff>369374</xdr:colOff>
      <xdr:row>5</xdr:row>
      <xdr:rowOff>135256</xdr:rowOff>
    </xdr:to>
    <xdr:pic>
      <xdr:nvPicPr>
        <xdr:cNvPr id="21" name="Grafik 2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AB8122-2758-46E8-9705-ABD83B20D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7239" y="781051"/>
          <a:ext cx="327660" cy="316230"/>
        </a:xfrm>
        <a:prstGeom prst="rect">
          <a:avLst/>
        </a:prstGeom>
      </xdr:spPr>
    </xdr:pic>
    <xdr:clientData/>
  </xdr:twoCellAnchor>
  <xdr:twoCellAnchor editAs="oneCell">
    <xdr:from>
      <xdr:col>6</xdr:col>
      <xdr:colOff>19051</xdr:colOff>
      <xdr:row>4</xdr:row>
      <xdr:rowOff>66676</xdr:rowOff>
    </xdr:from>
    <xdr:to>
      <xdr:col>6</xdr:col>
      <xdr:colOff>342901</xdr:colOff>
      <xdr:row>5</xdr:row>
      <xdr:rowOff>135256</xdr:rowOff>
    </xdr:to>
    <xdr:pic>
      <xdr:nvPicPr>
        <xdr:cNvPr id="22" name="Grafik 2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3B94643-0402-4033-A079-8D6878AB9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19576" y="781051"/>
          <a:ext cx="323850" cy="316230"/>
        </a:xfrm>
        <a:prstGeom prst="rect">
          <a:avLst/>
        </a:prstGeom>
      </xdr:spPr>
    </xdr:pic>
    <xdr:clientData/>
  </xdr:twoCellAnchor>
  <xdr:twoCellAnchor editAs="oneCell">
    <xdr:from>
      <xdr:col>9</xdr:col>
      <xdr:colOff>28576</xdr:colOff>
      <xdr:row>4</xdr:row>
      <xdr:rowOff>47626</xdr:rowOff>
    </xdr:from>
    <xdr:to>
      <xdr:col>9</xdr:col>
      <xdr:colOff>361951</xdr:colOff>
      <xdr:row>5</xdr:row>
      <xdr:rowOff>133351</xdr:rowOff>
    </xdr:to>
    <xdr:pic>
      <xdr:nvPicPr>
        <xdr:cNvPr id="23" name="Grafik 2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9BC989B-E344-4508-B953-440B3FCA7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86601" y="762001"/>
          <a:ext cx="333375" cy="333375"/>
        </a:xfrm>
        <a:prstGeom prst="rect">
          <a:avLst/>
        </a:prstGeom>
      </xdr:spPr>
    </xdr:pic>
    <xdr:clientData/>
  </xdr:twoCellAnchor>
  <xdr:twoCellAnchor editAs="oneCell">
    <xdr:from>
      <xdr:col>4</xdr:col>
      <xdr:colOff>19051</xdr:colOff>
      <xdr:row>22</xdr:row>
      <xdr:rowOff>57151</xdr:rowOff>
    </xdr:from>
    <xdr:to>
      <xdr:col>4</xdr:col>
      <xdr:colOff>342901</xdr:colOff>
      <xdr:row>23</xdr:row>
      <xdr:rowOff>129541</xdr:rowOff>
    </xdr:to>
    <xdr:pic>
      <xdr:nvPicPr>
        <xdr:cNvPr id="24" name="Grafik 23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676F773-8F4C-4CAE-92B5-D745AFC1A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6" y="5229226"/>
          <a:ext cx="323850" cy="320040"/>
        </a:xfrm>
        <a:prstGeom prst="rect">
          <a:avLst/>
        </a:prstGeom>
      </xdr:spPr>
    </xdr:pic>
    <xdr:clientData/>
  </xdr:twoCellAnchor>
  <xdr:twoCellAnchor editAs="oneCell">
    <xdr:from>
      <xdr:col>6</xdr:col>
      <xdr:colOff>19051</xdr:colOff>
      <xdr:row>22</xdr:row>
      <xdr:rowOff>57151</xdr:rowOff>
    </xdr:from>
    <xdr:to>
      <xdr:col>6</xdr:col>
      <xdr:colOff>342901</xdr:colOff>
      <xdr:row>23</xdr:row>
      <xdr:rowOff>129541</xdr:rowOff>
    </xdr:to>
    <xdr:pic>
      <xdr:nvPicPr>
        <xdr:cNvPr id="25" name="Grafik 2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A6E771D-9029-4D88-97CE-02A6A66A2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19576" y="5229226"/>
          <a:ext cx="323850" cy="320040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31</xdr:row>
      <xdr:rowOff>47625</xdr:rowOff>
    </xdr:from>
    <xdr:to>
      <xdr:col>4</xdr:col>
      <xdr:colOff>342900</xdr:colOff>
      <xdr:row>32</xdr:row>
      <xdr:rowOff>133350</xdr:rowOff>
    </xdr:to>
    <xdr:pic>
      <xdr:nvPicPr>
        <xdr:cNvPr id="26" name="Grafik 25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CF810CD-134A-47BC-BC32-8A3CC0937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5" y="7448550"/>
          <a:ext cx="323850" cy="333375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31</xdr:row>
      <xdr:rowOff>47625</xdr:rowOff>
    </xdr:from>
    <xdr:to>
      <xdr:col>7</xdr:col>
      <xdr:colOff>325755</xdr:colOff>
      <xdr:row>32</xdr:row>
      <xdr:rowOff>133350</xdr:rowOff>
    </xdr:to>
    <xdr:pic>
      <xdr:nvPicPr>
        <xdr:cNvPr id="27" name="Grafik 26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CFAD28E-EEDA-4DB2-8DF8-E4A89B2E0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62550" y="7448550"/>
          <a:ext cx="316230" cy="333375"/>
        </a:xfrm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31</xdr:row>
      <xdr:rowOff>47625</xdr:rowOff>
    </xdr:from>
    <xdr:to>
      <xdr:col>9</xdr:col>
      <xdr:colOff>325755</xdr:colOff>
      <xdr:row>32</xdr:row>
      <xdr:rowOff>133350</xdr:rowOff>
    </xdr:to>
    <xdr:pic>
      <xdr:nvPicPr>
        <xdr:cNvPr id="28" name="Grafik 27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161B8E5-B075-401D-95EF-A2A38AFC1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67550" y="7448550"/>
          <a:ext cx="316230" cy="333375"/>
        </a:xfrm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13</xdr:row>
      <xdr:rowOff>47625</xdr:rowOff>
    </xdr:from>
    <xdr:to>
      <xdr:col>4</xdr:col>
      <xdr:colOff>325755</xdr:colOff>
      <xdr:row>14</xdr:row>
      <xdr:rowOff>133350</xdr:rowOff>
    </xdr:to>
    <xdr:pic>
      <xdr:nvPicPr>
        <xdr:cNvPr id="29" name="Grafik 28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D838AD6E-FDED-4ABF-ABF8-CB086A98C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5050" y="2990850"/>
          <a:ext cx="316230" cy="333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397406</xdr:colOff>
      <xdr:row>5</xdr:row>
      <xdr:rowOff>35456</xdr:rowOff>
    </xdr:from>
    <xdr:to>
      <xdr:col>6</xdr:col>
      <xdr:colOff>750693</xdr:colOff>
      <xdr:row>6</xdr:row>
      <xdr:rowOff>179193</xdr:rowOff>
    </xdr:to>
    <xdr:pic>
      <xdr:nvPicPr>
        <xdr:cNvPr id="21" name="Grafik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E51180-AB43-49E6-B82C-4A403C45A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2406" y="1007006"/>
          <a:ext cx="348525" cy="3485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406931</xdr:colOff>
      <xdr:row>19</xdr:row>
      <xdr:rowOff>35456</xdr:rowOff>
    </xdr:from>
    <xdr:to>
      <xdr:col>6</xdr:col>
      <xdr:colOff>760218</xdr:colOff>
      <xdr:row>20</xdr:row>
      <xdr:rowOff>179193</xdr:rowOff>
    </xdr:to>
    <xdr:pic>
      <xdr:nvPicPr>
        <xdr:cNvPr id="11" name="Grafik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35794E-1CBA-40FF-86C8-ED364F138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1931" y="3740681"/>
          <a:ext cx="348525" cy="348525"/>
        </a:xfrm>
        <a:prstGeom prst="rect">
          <a:avLst/>
        </a:prstGeom>
      </xdr:spPr>
    </xdr:pic>
    <xdr:clientData/>
  </xdr:twoCellAnchor>
  <xdr:twoCellAnchor editAs="oneCell">
    <xdr:from>
      <xdr:col>6</xdr:col>
      <xdr:colOff>406931</xdr:colOff>
      <xdr:row>5</xdr:row>
      <xdr:rowOff>35456</xdr:rowOff>
    </xdr:from>
    <xdr:to>
      <xdr:col>6</xdr:col>
      <xdr:colOff>760218</xdr:colOff>
      <xdr:row>6</xdr:row>
      <xdr:rowOff>179193</xdr:rowOff>
    </xdr:to>
    <xdr:pic>
      <xdr:nvPicPr>
        <xdr:cNvPr id="3" name="Grafik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95ED2BB-D178-4D9C-9FD9-895207861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1931" y="997481"/>
          <a:ext cx="348525" cy="3485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419101</xdr:colOff>
      <xdr:row>23</xdr:row>
      <xdr:rowOff>57151</xdr:rowOff>
    </xdr:from>
    <xdr:to>
      <xdr:col>6</xdr:col>
      <xdr:colOff>772388</xdr:colOff>
      <xdr:row>25</xdr:row>
      <xdr:rowOff>863</xdr:rowOff>
    </xdr:to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6ABE22-3030-4DEA-AD5F-5955BEB53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4101" y="3762376"/>
          <a:ext cx="348525" cy="348525"/>
        </a:xfrm>
        <a:prstGeom prst="rect">
          <a:avLst/>
        </a:prstGeom>
      </xdr:spPr>
    </xdr:pic>
    <xdr:clientData/>
  </xdr:twoCellAnchor>
  <xdr:twoCellAnchor editAs="oneCell">
    <xdr:from>
      <xdr:col>6</xdr:col>
      <xdr:colOff>419101</xdr:colOff>
      <xdr:row>5</xdr:row>
      <xdr:rowOff>38101</xdr:rowOff>
    </xdr:from>
    <xdr:to>
      <xdr:col>6</xdr:col>
      <xdr:colOff>772388</xdr:colOff>
      <xdr:row>7</xdr:row>
      <xdr:rowOff>19913</xdr:rowOff>
    </xdr:to>
    <xdr:pic>
      <xdr:nvPicPr>
        <xdr:cNvPr id="3" name="Grafik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12A351D-C136-45BC-A567-A33245216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4101" y="1000126"/>
          <a:ext cx="348525" cy="3485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419101</xdr:colOff>
      <xdr:row>19</xdr:row>
      <xdr:rowOff>57151</xdr:rowOff>
    </xdr:from>
    <xdr:to>
      <xdr:col>6</xdr:col>
      <xdr:colOff>772388</xdr:colOff>
      <xdr:row>21</xdr:row>
      <xdr:rowOff>10388</xdr:rowOff>
    </xdr:to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6F6A4A-2CC6-4AB8-A4B7-E51BBA4E4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4101" y="3762376"/>
          <a:ext cx="348525" cy="348525"/>
        </a:xfrm>
        <a:prstGeom prst="rect">
          <a:avLst/>
        </a:prstGeom>
      </xdr:spPr>
    </xdr:pic>
    <xdr:clientData/>
  </xdr:twoCellAnchor>
  <xdr:twoCellAnchor editAs="oneCell">
    <xdr:from>
      <xdr:col>6</xdr:col>
      <xdr:colOff>419101</xdr:colOff>
      <xdr:row>5</xdr:row>
      <xdr:rowOff>47626</xdr:rowOff>
    </xdr:from>
    <xdr:to>
      <xdr:col>6</xdr:col>
      <xdr:colOff>772388</xdr:colOff>
      <xdr:row>7</xdr:row>
      <xdr:rowOff>863</xdr:rowOff>
    </xdr:to>
    <xdr:pic>
      <xdr:nvPicPr>
        <xdr:cNvPr id="3" name="Grafik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B8848A4-20D0-4C0E-B371-66AF21850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4101" y="1009651"/>
          <a:ext cx="348525" cy="3485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419101</xdr:colOff>
      <xdr:row>19</xdr:row>
      <xdr:rowOff>57151</xdr:rowOff>
    </xdr:from>
    <xdr:to>
      <xdr:col>6</xdr:col>
      <xdr:colOff>772388</xdr:colOff>
      <xdr:row>21</xdr:row>
      <xdr:rowOff>10388</xdr:rowOff>
    </xdr:to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F66120-E2AA-4275-9358-5682BB2F5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2201" y="3533776"/>
          <a:ext cx="353287" cy="315187"/>
        </a:xfrm>
        <a:prstGeom prst="rect">
          <a:avLst/>
        </a:prstGeom>
      </xdr:spPr>
    </xdr:pic>
    <xdr:clientData/>
  </xdr:twoCellAnchor>
  <xdr:twoCellAnchor editAs="oneCell">
    <xdr:from>
      <xdr:col>6</xdr:col>
      <xdr:colOff>419101</xdr:colOff>
      <xdr:row>5</xdr:row>
      <xdr:rowOff>47626</xdr:rowOff>
    </xdr:from>
    <xdr:to>
      <xdr:col>6</xdr:col>
      <xdr:colOff>772388</xdr:colOff>
      <xdr:row>7</xdr:row>
      <xdr:rowOff>863</xdr:rowOff>
    </xdr:to>
    <xdr:pic>
      <xdr:nvPicPr>
        <xdr:cNvPr id="3" name="Grafik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725229E-3D67-45B9-9639-13C6F3796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2201" y="952501"/>
          <a:ext cx="353287" cy="315187"/>
        </a:xfrm>
        <a:prstGeom prst="rect">
          <a:avLst/>
        </a:prstGeom>
      </xdr:spPr>
    </xdr:pic>
    <xdr:clientData/>
  </xdr:twoCellAnchor>
  <xdr:twoCellAnchor editAs="oneCell">
    <xdr:from>
      <xdr:col>6</xdr:col>
      <xdr:colOff>419101</xdr:colOff>
      <xdr:row>5</xdr:row>
      <xdr:rowOff>47626</xdr:rowOff>
    </xdr:from>
    <xdr:to>
      <xdr:col>6</xdr:col>
      <xdr:colOff>772388</xdr:colOff>
      <xdr:row>7</xdr:row>
      <xdr:rowOff>863</xdr:rowOff>
    </xdr:to>
    <xdr:pic>
      <xdr:nvPicPr>
        <xdr:cNvPr id="4" name="Grafik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B55D502-9F37-4817-B119-1061C81E98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2201" y="952501"/>
          <a:ext cx="353287" cy="315187"/>
        </a:xfrm>
        <a:prstGeom prst="rect">
          <a:avLst/>
        </a:prstGeom>
      </xdr:spPr>
    </xdr:pic>
    <xdr:clientData/>
  </xdr:twoCellAnchor>
  <xdr:twoCellAnchor editAs="oneCell">
    <xdr:from>
      <xdr:col>6</xdr:col>
      <xdr:colOff>428625</xdr:colOff>
      <xdr:row>8</xdr:row>
      <xdr:rowOff>47625</xdr:rowOff>
    </xdr:from>
    <xdr:to>
      <xdr:col>6</xdr:col>
      <xdr:colOff>756818</xdr:colOff>
      <xdr:row>9</xdr:row>
      <xdr:rowOff>149051</xdr:rowOff>
    </xdr:to>
    <xdr:pic>
      <xdr:nvPicPr>
        <xdr:cNvPr id="5" name="Grafik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7306DC4-8A7E-4052-815D-BA8D4BC8A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4100" y="1571625"/>
          <a:ext cx="328193" cy="30145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428626</xdr:colOff>
      <xdr:row>5</xdr:row>
      <xdr:rowOff>9526</xdr:rowOff>
    </xdr:from>
    <xdr:to>
      <xdr:col>6</xdr:col>
      <xdr:colOff>781913</xdr:colOff>
      <xdr:row>6</xdr:row>
      <xdr:rowOff>162788</xdr:rowOff>
    </xdr:to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6BAA65-402C-4E7C-9526-CF92904B8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4101" y="971551"/>
          <a:ext cx="348525" cy="348525"/>
        </a:xfrm>
        <a:prstGeom prst="rect">
          <a:avLst/>
        </a:prstGeom>
      </xdr:spPr>
    </xdr:pic>
    <xdr:clientData/>
  </xdr:twoCellAnchor>
  <xdr:twoCellAnchor editAs="oneCell">
    <xdr:from>
      <xdr:col>6</xdr:col>
      <xdr:colOff>419101</xdr:colOff>
      <xdr:row>19</xdr:row>
      <xdr:rowOff>38101</xdr:rowOff>
    </xdr:from>
    <xdr:to>
      <xdr:col>6</xdr:col>
      <xdr:colOff>772388</xdr:colOff>
      <xdr:row>21</xdr:row>
      <xdr:rowOff>863</xdr:rowOff>
    </xdr:to>
    <xdr:pic>
      <xdr:nvPicPr>
        <xdr:cNvPr id="3" name="Grafik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4050B83-E7F6-437A-BCE6-D07008BF2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4101" y="3752851"/>
          <a:ext cx="348525" cy="348525"/>
        </a:xfrm>
        <a:prstGeom prst="rect">
          <a:avLst/>
        </a:prstGeom>
      </xdr:spPr>
    </xdr:pic>
    <xdr:clientData/>
  </xdr:twoCellAnchor>
  <xdr:twoCellAnchor editAs="oneCell">
    <xdr:from>
      <xdr:col>6</xdr:col>
      <xdr:colOff>428626</xdr:colOff>
      <xdr:row>7</xdr:row>
      <xdr:rowOff>1</xdr:rowOff>
    </xdr:from>
    <xdr:to>
      <xdr:col>6</xdr:col>
      <xdr:colOff>781913</xdr:colOff>
      <xdr:row>8</xdr:row>
      <xdr:rowOff>153263</xdr:rowOff>
    </xdr:to>
    <xdr:pic>
      <xdr:nvPicPr>
        <xdr:cNvPr id="4" name="Grafik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27685D0-C39B-45F1-A6A2-057D759C3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3626" y="1352551"/>
          <a:ext cx="353287" cy="353287"/>
        </a:xfrm>
        <a:prstGeom prst="rect">
          <a:avLst/>
        </a:prstGeom>
      </xdr:spPr>
    </xdr:pic>
    <xdr:clientData/>
  </xdr:twoCellAnchor>
  <xdr:oneCellAnchor>
    <xdr:from>
      <xdr:col>6</xdr:col>
      <xdr:colOff>428625</xdr:colOff>
      <xdr:row>22</xdr:row>
      <xdr:rowOff>47625</xdr:rowOff>
    </xdr:from>
    <xdr:ext cx="328193" cy="284306"/>
    <xdr:pic>
      <xdr:nvPicPr>
        <xdr:cNvPr id="5" name="Grafik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A3602B1-D452-48AA-B2A1-87A37EC0D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4100" y="4276725"/>
          <a:ext cx="328193" cy="284306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152401</xdr:colOff>
      <xdr:row>5</xdr:row>
      <xdr:rowOff>38101</xdr:rowOff>
    </xdr:from>
    <xdr:to>
      <xdr:col>6</xdr:col>
      <xdr:colOff>505688</xdr:colOff>
      <xdr:row>7</xdr:row>
      <xdr:rowOff>863</xdr:rowOff>
    </xdr:to>
    <xdr:pic>
      <xdr:nvPicPr>
        <xdr:cNvPr id="3" name="Grafik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CBE593-E6B6-426C-920C-89319FA19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57876" y="1000126"/>
          <a:ext cx="348525" cy="348525"/>
        </a:xfrm>
        <a:prstGeom prst="rect">
          <a:avLst/>
        </a:prstGeom>
      </xdr:spPr>
    </xdr:pic>
    <xdr:clientData/>
  </xdr:twoCellAnchor>
  <xdr:twoCellAnchor editAs="oneCell">
    <xdr:from>
      <xdr:col>6</xdr:col>
      <xdr:colOff>428626</xdr:colOff>
      <xdr:row>19</xdr:row>
      <xdr:rowOff>38101</xdr:rowOff>
    </xdr:from>
    <xdr:to>
      <xdr:col>6</xdr:col>
      <xdr:colOff>781913</xdr:colOff>
      <xdr:row>21</xdr:row>
      <xdr:rowOff>863</xdr:rowOff>
    </xdr:to>
    <xdr:pic>
      <xdr:nvPicPr>
        <xdr:cNvPr id="4" name="Grafik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0027C89-0AEC-42E6-BFF1-BE570D663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4101" y="3629026"/>
          <a:ext cx="353287" cy="362812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152400</xdr:colOff>
      <xdr:row>6</xdr:row>
      <xdr:rowOff>190500</xdr:rowOff>
    </xdr:from>
    <xdr:to>
      <xdr:col>6</xdr:col>
      <xdr:colOff>505687</xdr:colOff>
      <xdr:row>8</xdr:row>
      <xdr:rowOff>143737</xdr:rowOff>
    </xdr:to>
    <xdr:pic>
      <xdr:nvPicPr>
        <xdr:cNvPr id="5" name="Grafik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8185256-DD22-42E2-AEE5-9C30D28E1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57875" y="1352550"/>
          <a:ext cx="353287" cy="353287"/>
        </a:xfrm>
        <a:prstGeom prst="rect">
          <a:avLst/>
        </a:prstGeom>
      </xdr:spPr>
    </xdr:pic>
    <xdr:clientData/>
  </xdr:twoCellAnchor>
  <xdr:twoCellAnchor editAs="oneCell">
    <xdr:from>
      <xdr:col>6</xdr:col>
      <xdr:colOff>609601</xdr:colOff>
      <xdr:row>5</xdr:row>
      <xdr:rowOff>38101</xdr:rowOff>
    </xdr:from>
    <xdr:to>
      <xdr:col>6</xdr:col>
      <xdr:colOff>962888</xdr:colOff>
      <xdr:row>7</xdr:row>
      <xdr:rowOff>863</xdr:rowOff>
    </xdr:to>
    <xdr:pic>
      <xdr:nvPicPr>
        <xdr:cNvPr id="6" name="Grafik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FBF6E05-D046-44C9-9802-5DC23DDCE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15076" y="1000126"/>
          <a:ext cx="348525" cy="3485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419101</xdr:colOff>
      <xdr:row>19</xdr:row>
      <xdr:rowOff>28576</xdr:rowOff>
    </xdr:from>
    <xdr:to>
      <xdr:col>6</xdr:col>
      <xdr:colOff>772388</xdr:colOff>
      <xdr:row>21</xdr:row>
      <xdr:rowOff>863</xdr:rowOff>
    </xdr:to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4938D1-2CE8-415E-A932-93966263F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4576" y="3743326"/>
          <a:ext cx="348525" cy="348525"/>
        </a:xfrm>
        <a:prstGeom prst="rect">
          <a:avLst/>
        </a:prstGeom>
      </xdr:spPr>
    </xdr:pic>
    <xdr:clientData/>
  </xdr:twoCellAnchor>
  <xdr:twoCellAnchor editAs="oneCell">
    <xdr:from>
      <xdr:col>6</xdr:col>
      <xdr:colOff>419101</xdr:colOff>
      <xdr:row>21</xdr:row>
      <xdr:rowOff>9526</xdr:rowOff>
    </xdr:from>
    <xdr:to>
      <xdr:col>6</xdr:col>
      <xdr:colOff>772388</xdr:colOff>
      <xdr:row>22</xdr:row>
      <xdr:rowOff>162788</xdr:rowOff>
    </xdr:to>
    <xdr:pic>
      <xdr:nvPicPr>
        <xdr:cNvPr id="3" name="Grafik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1ADEF12-4ED8-47C8-A111-A57300949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4576" y="4114801"/>
          <a:ext cx="348525" cy="34852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419100</xdr:colOff>
      <xdr:row>5</xdr:row>
      <xdr:rowOff>38100</xdr:rowOff>
    </xdr:from>
    <xdr:to>
      <xdr:col>6</xdr:col>
      <xdr:colOff>772387</xdr:colOff>
      <xdr:row>7</xdr:row>
      <xdr:rowOff>862</xdr:rowOff>
    </xdr:to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5D0A6D-0762-4A10-B2FD-792B2FA061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4575" y="1000125"/>
          <a:ext cx="353287" cy="362812"/>
        </a:xfrm>
        <a:prstGeom prst="rect">
          <a:avLst/>
        </a:prstGeom>
      </xdr:spPr>
    </xdr:pic>
    <xdr:clientData/>
  </xdr:twoCellAnchor>
  <xdr:twoCellAnchor editAs="oneCell">
    <xdr:from>
      <xdr:col>6</xdr:col>
      <xdr:colOff>428625</xdr:colOff>
      <xdr:row>8</xdr:row>
      <xdr:rowOff>47625</xdr:rowOff>
    </xdr:from>
    <xdr:to>
      <xdr:col>6</xdr:col>
      <xdr:colOff>756818</xdr:colOff>
      <xdr:row>9</xdr:row>
      <xdr:rowOff>158576</xdr:rowOff>
    </xdr:to>
    <xdr:pic>
      <xdr:nvPicPr>
        <xdr:cNvPr id="3" name="Grafik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949DBE4-AFA5-42DA-A404-A65FA7026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4100" y="1571625"/>
          <a:ext cx="328193" cy="30145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428625</xdr:colOff>
      <xdr:row>5</xdr:row>
      <xdr:rowOff>38100</xdr:rowOff>
    </xdr:from>
    <xdr:to>
      <xdr:col>6</xdr:col>
      <xdr:colOff>781912</xdr:colOff>
      <xdr:row>7</xdr:row>
      <xdr:rowOff>862</xdr:rowOff>
    </xdr:to>
    <xdr:pic>
      <xdr:nvPicPr>
        <xdr:cNvPr id="5" name="Grafik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826384-1B66-4ABF-A354-D639E1244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3625" y="1000125"/>
          <a:ext cx="353287" cy="353287"/>
        </a:xfrm>
        <a:prstGeom prst="rect">
          <a:avLst/>
        </a:prstGeom>
      </xdr:spPr>
    </xdr:pic>
    <xdr:clientData/>
  </xdr:twoCellAnchor>
  <xdr:twoCellAnchor editAs="oneCell">
    <xdr:from>
      <xdr:col>6</xdr:col>
      <xdr:colOff>438150</xdr:colOff>
      <xdr:row>7</xdr:row>
      <xdr:rowOff>19050</xdr:rowOff>
    </xdr:from>
    <xdr:to>
      <xdr:col>6</xdr:col>
      <xdr:colOff>791437</xdr:colOff>
      <xdr:row>8</xdr:row>
      <xdr:rowOff>172312</xdr:rowOff>
    </xdr:to>
    <xdr:pic>
      <xdr:nvPicPr>
        <xdr:cNvPr id="6" name="Grafik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CF3703A-E324-4DE4-8697-9FE83F37D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53150" y="1343025"/>
          <a:ext cx="353287" cy="33423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21</xdr:row>
      <xdr:rowOff>9525</xdr:rowOff>
    </xdr:from>
    <xdr:to>
      <xdr:col>6</xdr:col>
      <xdr:colOff>762862</xdr:colOff>
      <xdr:row>23</xdr:row>
      <xdr:rowOff>862</xdr:rowOff>
    </xdr:to>
    <xdr:pic>
      <xdr:nvPicPr>
        <xdr:cNvPr id="4" name="Grafik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15452B-3A00-46E3-970A-7E9D34725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4575" y="3724275"/>
          <a:ext cx="353287" cy="372337"/>
        </a:xfrm>
        <a:prstGeom prst="rect">
          <a:avLst/>
        </a:prstGeom>
      </xdr:spPr>
    </xdr:pic>
    <xdr:clientData/>
  </xdr:twoCellAnchor>
  <xdr:twoCellAnchor editAs="oneCell">
    <xdr:from>
      <xdr:col>6</xdr:col>
      <xdr:colOff>409575</xdr:colOff>
      <xdr:row>23</xdr:row>
      <xdr:rowOff>9525</xdr:rowOff>
    </xdr:from>
    <xdr:to>
      <xdr:col>6</xdr:col>
      <xdr:colOff>762862</xdr:colOff>
      <xdr:row>24</xdr:row>
      <xdr:rowOff>162787</xdr:rowOff>
    </xdr:to>
    <xdr:pic>
      <xdr:nvPicPr>
        <xdr:cNvPr id="5" name="Grafik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A70C678-705D-4B56-AA34-A029FE343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4575" y="4105275"/>
          <a:ext cx="353287" cy="353287"/>
        </a:xfrm>
        <a:prstGeom prst="rect">
          <a:avLst/>
        </a:prstGeom>
      </xdr:spPr>
    </xdr:pic>
    <xdr:clientData/>
  </xdr:twoCellAnchor>
  <xdr:twoCellAnchor editAs="oneCell">
    <xdr:from>
      <xdr:col>6</xdr:col>
      <xdr:colOff>404812</xdr:colOff>
      <xdr:row>4</xdr:row>
      <xdr:rowOff>176213</xdr:rowOff>
    </xdr:from>
    <xdr:to>
      <xdr:col>6</xdr:col>
      <xdr:colOff>762861</xdr:colOff>
      <xdr:row>6</xdr:row>
      <xdr:rowOff>172312</xdr:rowOff>
    </xdr:to>
    <xdr:pic>
      <xdr:nvPicPr>
        <xdr:cNvPr id="6" name="Grafik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5514AE7-28B2-4A04-8863-CABBE93EE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5050" y="900113"/>
          <a:ext cx="353287" cy="353287"/>
        </a:xfrm>
        <a:prstGeom prst="rect">
          <a:avLst/>
        </a:prstGeom>
      </xdr:spPr>
    </xdr:pic>
    <xdr:clientData/>
  </xdr:twoCellAnchor>
  <xdr:twoCellAnchor editAs="oneCell">
    <xdr:from>
      <xdr:col>6</xdr:col>
      <xdr:colOff>404812</xdr:colOff>
      <xdr:row>6</xdr:row>
      <xdr:rowOff>176213</xdr:rowOff>
    </xdr:from>
    <xdr:to>
      <xdr:col>6</xdr:col>
      <xdr:colOff>762861</xdr:colOff>
      <xdr:row>8</xdr:row>
      <xdr:rowOff>153262</xdr:rowOff>
    </xdr:to>
    <xdr:pic>
      <xdr:nvPicPr>
        <xdr:cNvPr id="7" name="Grafik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433D390-4AA1-40A3-B4B5-709385A12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5050" y="1262063"/>
          <a:ext cx="353287" cy="33423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428625</xdr:colOff>
      <xdr:row>5</xdr:row>
      <xdr:rowOff>9525</xdr:rowOff>
    </xdr:from>
    <xdr:to>
      <xdr:col>6</xdr:col>
      <xdr:colOff>781912</xdr:colOff>
      <xdr:row>7</xdr:row>
      <xdr:rowOff>862</xdr:rowOff>
    </xdr:to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65B3FE-5E30-4B47-85F9-70DCFA427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4100" y="971550"/>
          <a:ext cx="353287" cy="391387"/>
        </a:xfrm>
        <a:prstGeom prst="rect">
          <a:avLst/>
        </a:prstGeom>
      </xdr:spPr>
    </xdr:pic>
    <xdr:clientData/>
  </xdr:twoCellAnchor>
  <xdr:twoCellAnchor editAs="oneCell">
    <xdr:from>
      <xdr:col>6</xdr:col>
      <xdr:colOff>419100</xdr:colOff>
      <xdr:row>7</xdr:row>
      <xdr:rowOff>9525</xdr:rowOff>
    </xdr:from>
    <xdr:to>
      <xdr:col>6</xdr:col>
      <xdr:colOff>772387</xdr:colOff>
      <xdr:row>8</xdr:row>
      <xdr:rowOff>162787</xdr:rowOff>
    </xdr:to>
    <xdr:pic>
      <xdr:nvPicPr>
        <xdr:cNvPr id="3" name="Grafik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B517F43-4E25-4553-B0BC-E0217EADF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4575" y="1371600"/>
          <a:ext cx="353287" cy="353287"/>
        </a:xfrm>
        <a:prstGeom prst="rect">
          <a:avLst/>
        </a:prstGeom>
      </xdr:spPr>
    </xdr:pic>
    <xdr:clientData/>
  </xdr:twoCellAnchor>
  <xdr:twoCellAnchor editAs="oneCell">
    <xdr:from>
      <xdr:col>6</xdr:col>
      <xdr:colOff>419100</xdr:colOff>
      <xdr:row>19</xdr:row>
      <xdr:rowOff>19050</xdr:rowOff>
    </xdr:from>
    <xdr:to>
      <xdr:col>6</xdr:col>
      <xdr:colOff>772387</xdr:colOff>
      <xdr:row>20</xdr:row>
      <xdr:rowOff>172312</xdr:rowOff>
    </xdr:to>
    <xdr:pic>
      <xdr:nvPicPr>
        <xdr:cNvPr id="5" name="Grafik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206E214-BADD-413E-9AA4-905067DE3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4575" y="3733800"/>
          <a:ext cx="353287" cy="35328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419100</xdr:colOff>
      <xdr:row>5</xdr:row>
      <xdr:rowOff>28575</xdr:rowOff>
    </xdr:from>
    <xdr:to>
      <xdr:col>6</xdr:col>
      <xdr:colOff>772387</xdr:colOff>
      <xdr:row>6</xdr:row>
      <xdr:rowOff>181837</xdr:rowOff>
    </xdr:to>
    <xdr:pic>
      <xdr:nvPicPr>
        <xdr:cNvPr id="3" name="Grafik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4B1703-FA87-4A31-9E0E-37533F6C1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4575" y="990600"/>
          <a:ext cx="353287" cy="353287"/>
        </a:xfrm>
        <a:prstGeom prst="rect">
          <a:avLst/>
        </a:prstGeom>
      </xdr:spPr>
    </xdr:pic>
    <xdr:clientData/>
  </xdr:twoCellAnchor>
  <xdr:twoCellAnchor editAs="oneCell">
    <xdr:from>
      <xdr:col>6</xdr:col>
      <xdr:colOff>419100</xdr:colOff>
      <xdr:row>19</xdr:row>
      <xdr:rowOff>19050</xdr:rowOff>
    </xdr:from>
    <xdr:to>
      <xdr:col>6</xdr:col>
      <xdr:colOff>772387</xdr:colOff>
      <xdr:row>20</xdr:row>
      <xdr:rowOff>181837</xdr:rowOff>
    </xdr:to>
    <xdr:pic>
      <xdr:nvPicPr>
        <xdr:cNvPr id="4" name="Grafik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744CEEB-679E-440F-B51E-50156397D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4575" y="3733800"/>
          <a:ext cx="353287" cy="353287"/>
        </a:xfrm>
        <a:prstGeom prst="rect">
          <a:avLst/>
        </a:prstGeom>
      </xdr:spPr>
    </xdr:pic>
    <xdr:clientData/>
  </xdr:twoCellAnchor>
  <xdr:twoCellAnchor editAs="oneCell">
    <xdr:from>
      <xdr:col>6</xdr:col>
      <xdr:colOff>428625</xdr:colOff>
      <xdr:row>8</xdr:row>
      <xdr:rowOff>47625</xdr:rowOff>
    </xdr:from>
    <xdr:to>
      <xdr:col>6</xdr:col>
      <xdr:colOff>756818</xdr:colOff>
      <xdr:row>9</xdr:row>
      <xdr:rowOff>158576</xdr:rowOff>
    </xdr:to>
    <xdr:pic>
      <xdr:nvPicPr>
        <xdr:cNvPr id="5" name="Grafik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6BDACD4-A3BE-41C3-AEB2-040813D277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4100" y="1609725"/>
          <a:ext cx="328193" cy="301451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419100</xdr:colOff>
      <xdr:row>5</xdr:row>
      <xdr:rowOff>57150</xdr:rowOff>
    </xdr:from>
    <xdr:to>
      <xdr:col>6</xdr:col>
      <xdr:colOff>772387</xdr:colOff>
      <xdr:row>7</xdr:row>
      <xdr:rowOff>10387</xdr:rowOff>
    </xdr:to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89BDB2-D427-4C4D-ACAD-C00E8942C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4100" y="1019175"/>
          <a:ext cx="353287" cy="353287"/>
        </a:xfrm>
        <a:prstGeom prst="rect">
          <a:avLst/>
        </a:prstGeom>
      </xdr:spPr>
    </xdr:pic>
    <xdr:clientData/>
  </xdr:twoCellAnchor>
  <xdr:twoCellAnchor editAs="oneCell">
    <xdr:from>
      <xdr:col>6</xdr:col>
      <xdr:colOff>404812</xdr:colOff>
      <xdr:row>19</xdr:row>
      <xdr:rowOff>42863</xdr:rowOff>
    </xdr:from>
    <xdr:to>
      <xdr:col>6</xdr:col>
      <xdr:colOff>758099</xdr:colOff>
      <xdr:row>21</xdr:row>
      <xdr:rowOff>5625</xdr:rowOff>
    </xdr:to>
    <xdr:pic>
      <xdr:nvPicPr>
        <xdr:cNvPr id="4" name="Grafik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89990CB-1B8B-48C2-8349-51ECE1C62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0287" y="3757613"/>
          <a:ext cx="353287" cy="362812"/>
        </a:xfrm>
        <a:prstGeom prst="rect">
          <a:avLst/>
        </a:prstGeom>
      </xdr:spPr>
    </xdr:pic>
    <xdr:clientData/>
  </xdr:twoCellAnchor>
  <xdr:twoCellAnchor editAs="oneCell">
    <xdr:from>
      <xdr:col>6</xdr:col>
      <xdr:colOff>409575</xdr:colOff>
      <xdr:row>7</xdr:row>
      <xdr:rowOff>28575</xdr:rowOff>
    </xdr:from>
    <xdr:to>
      <xdr:col>6</xdr:col>
      <xdr:colOff>762862</xdr:colOff>
      <xdr:row>8</xdr:row>
      <xdr:rowOff>181837</xdr:rowOff>
    </xdr:to>
    <xdr:pic>
      <xdr:nvPicPr>
        <xdr:cNvPr id="5" name="Grafik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69B5CE5-6BF8-4EF5-8418-99E54F290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4575" y="1390650"/>
          <a:ext cx="353287" cy="35328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19</xdr:row>
      <xdr:rowOff>47625</xdr:rowOff>
    </xdr:from>
    <xdr:to>
      <xdr:col>6</xdr:col>
      <xdr:colOff>762862</xdr:colOff>
      <xdr:row>21</xdr:row>
      <xdr:rowOff>10387</xdr:rowOff>
    </xdr:to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9F4D0A-2F5F-4687-82D2-AE0C46FD0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5050" y="3762375"/>
          <a:ext cx="353287" cy="362812"/>
        </a:xfrm>
        <a:prstGeom prst="rect">
          <a:avLst/>
        </a:prstGeom>
      </xdr:spPr>
    </xdr:pic>
    <xdr:clientData/>
  </xdr:twoCellAnchor>
  <xdr:twoCellAnchor editAs="oneCell">
    <xdr:from>
      <xdr:col>6</xdr:col>
      <xdr:colOff>400050</xdr:colOff>
      <xdr:row>5</xdr:row>
      <xdr:rowOff>38100</xdr:rowOff>
    </xdr:from>
    <xdr:to>
      <xdr:col>6</xdr:col>
      <xdr:colOff>753337</xdr:colOff>
      <xdr:row>6</xdr:row>
      <xdr:rowOff>191362</xdr:rowOff>
    </xdr:to>
    <xdr:pic>
      <xdr:nvPicPr>
        <xdr:cNvPr id="3" name="Grafik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CED35DB-371E-4898-9359-2C68C89B9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05525" y="1000125"/>
          <a:ext cx="353287" cy="353287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400050</xdr:colOff>
      <xdr:row>19</xdr:row>
      <xdr:rowOff>19050</xdr:rowOff>
    </xdr:from>
    <xdr:to>
      <xdr:col>6</xdr:col>
      <xdr:colOff>753337</xdr:colOff>
      <xdr:row>21</xdr:row>
      <xdr:rowOff>862</xdr:rowOff>
    </xdr:to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4770B5-ABBE-4F0A-8862-1D6E95C47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5050" y="3733800"/>
          <a:ext cx="353287" cy="381862"/>
        </a:xfrm>
        <a:prstGeom prst="rect">
          <a:avLst/>
        </a:prstGeom>
      </xdr:spPr>
    </xdr:pic>
    <xdr:clientData/>
  </xdr:twoCellAnchor>
  <xdr:twoCellAnchor editAs="oneCell">
    <xdr:from>
      <xdr:col>6</xdr:col>
      <xdr:colOff>400050</xdr:colOff>
      <xdr:row>5</xdr:row>
      <xdr:rowOff>57150</xdr:rowOff>
    </xdr:from>
    <xdr:to>
      <xdr:col>6</xdr:col>
      <xdr:colOff>753337</xdr:colOff>
      <xdr:row>7</xdr:row>
      <xdr:rowOff>38962</xdr:rowOff>
    </xdr:to>
    <xdr:pic>
      <xdr:nvPicPr>
        <xdr:cNvPr id="3" name="Grafik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88A1FE-A446-42A5-B3D6-2304C2F88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5050" y="1019175"/>
          <a:ext cx="353287" cy="381862"/>
        </a:xfrm>
        <a:prstGeom prst="rect">
          <a:avLst/>
        </a:prstGeom>
      </xdr:spPr>
    </xdr:pic>
    <xdr:clientData/>
  </xdr:twoCellAnchor>
  <xdr:twoCellAnchor editAs="oneCell">
    <xdr:from>
      <xdr:col>6</xdr:col>
      <xdr:colOff>428625</xdr:colOff>
      <xdr:row>22</xdr:row>
      <xdr:rowOff>47625</xdr:rowOff>
    </xdr:from>
    <xdr:to>
      <xdr:col>6</xdr:col>
      <xdr:colOff>756818</xdr:colOff>
      <xdr:row>23</xdr:row>
      <xdr:rowOff>149051</xdr:rowOff>
    </xdr:to>
    <xdr:pic>
      <xdr:nvPicPr>
        <xdr:cNvPr id="4" name="Grafik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6FE64EA-BE67-4CD6-8109-E76C2B775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3625" y="4362450"/>
          <a:ext cx="328193" cy="301451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19</xdr:row>
      <xdr:rowOff>19050</xdr:rowOff>
    </xdr:from>
    <xdr:to>
      <xdr:col>6</xdr:col>
      <xdr:colOff>762862</xdr:colOff>
      <xdr:row>21</xdr:row>
      <xdr:rowOff>862</xdr:rowOff>
    </xdr:to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FEFFF2-D0A8-4F8E-A6D2-5EBEFAE582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5050" y="3733800"/>
          <a:ext cx="353287" cy="381862"/>
        </a:xfrm>
        <a:prstGeom prst="rect">
          <a:avLst/>
        </a:prstGeom>
      </xdr:spPr>
    </xdr:pic>
    <xdr:clientData/>
  </xdr:twoCellAnchor>
  <xdr:twoCellAnchor editAs="oneCell">
    <xdr:from>
      <xdr:col>6</xdr:col>
      <xdr:colOff>409575</xdr:colOff>
      <xdr:row>5</xdr:row>
      <xdr:rowOff>47625</xdr:rowOff>
    </xdr:from>
    <xdr:to>
      <xdr:col>6</xdr:col>
      <xdr:colOff>762862</xdr:colOff>
      <xdr:row>7</xdr:row>
      <xdr:rowOff>29437</xdr:rowOff>
    </xdr:to>
    <xdr:pic>
      <xdr:nvPicPr>
        <xdr:cNvPr id="3" name="Grafik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1987DFC-CCCA-4872-A44E-55FC85EDBF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5050" y="1009650"/>
          <a:ext cx="353287" cy="381862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5</xdr:row>
      <xdr:rowOff>114300</xdr:rowOff>
    </xdr:from>
    <xdr:to>
      <xdr:col>6</xdr:col>
      <xdr:colOff>762862</xdr:colOff>
      <xdr:row>7</xdr:row>
      <xdr:rowOff>96112</xdr:rowOff>
    </xdr:to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572BF3-7E27-4E0C-8433-1F4C6F08E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5050" y="1076325"/>
          <a:ext cx="353287" cy="381862"/>
        </a:xfrm>
        <a:prstGeom prst="rect">
          <a:avLst/>
        </a:prstGeom>
      </xdr:spPr>
    </xdr:pic>
    <xdr:clientData/>
  </xdr:twoCellAnchor>
  <xdr:twoCellAnchor editAs="oneCell">
    <xdr:from>
      <xdr:col>6</xdr:col>
      <xdr:colOff>390525</xdr:colOff>
      <xdr:row>19</xdr:row>
      <xdr:rowOff>123825</xdr:rowOff>
    </xdr:from>
    <xdr:to>
      <xdr:col>6</xdr:col>
      <xdr:colOff>743812</xdr:colOff>
      <xdr:row>21</xdr:row>
      <xdr:rowOff>105637</xdr:rowOff>
    </xdr:to>
    <xdr:pic>
      <xdr:nvPicPr>
        <xdr:cNvPr id="3" name="Grafik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095DF14-25F6-4E2A-A587-3CA783ADE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0" y="3829050"/>
          <a:ext cx="353287" cy="381862"/>
        </a:xfrm>
        <a:prstGeom prst="rect">
          <a:avLst/>
        </a:prstGeom>
      </xdr:spPr>
    </xdr:pic>
    <xdr:clientData/>
  </xdr:twoCellAnchor>
  <xdr:twoCellAnchor editAs="oneCell">
    <xdr:from>
      <xdr:col>5</xdr:col>
      <xdr:colOff>409575</xdr:colOff>
      <xdr:row>19</xdr:row>
      <xdr:rowOff>161925</xdr:rowOff>
    </xdr:from>
    <xdr:to>
      <xdr:col>5</xdr:col>
      <xdr:colOff>733425</xdr:colOff>
      <xdr:row>21</xdr:row>
      <xdr:rowOff>85725</xdr:rowOff>
    </xdr:to>
    <xdr:pic>
      <xdr:nvPicPr>
        <xdr:cNvPr id="6" name="Grafik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13B9435-1EE8-49CC-B868-8B713CD9D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3867150"/>
          <a:ext cx="323850" cy="3238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marcel_item_gbssg_ch/Documents/1_Sanit&#228;rinstallateure/2_Unterrichtsmaterial_EFZ/1_Word_Vorlagen/3.Semester/3.Semester_Master.xlsx" TargetMode="External"/><Relationship Id="rId2" Type="http://schemas.openxmlformats.org/officeDocument/2006/relationships/externalLinkPath" Target="https://bldsg-my.sharepoint.com/personal/marcel_item_gbssg_ch/Documents/1_Sanit&#228;rinstallateure/2_Unterrichtsmaterial_EFZ/1_Word_Vorlagen/3.Semester/3.Semester_Master.xlsx" TargetMode="External"/><Relationship Id="rId1" Type="http://schemas.openxmlformats.org/officeDocument/2006/relationships/externalLinkPath" Target="/personal/marcel_item_gbssg_ch/Documents/1_Sanit&#228;rinstallateure/2_Unterrichtsmaterial_EFZ/1_Word_Vorlagen/3.Semester/3.Semester_Ma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ompetenzraster"/>
      <sheetName val="Aufgaben_Teams"/>
      <sheetName val="ST_1_KW_33"/>
      <sheetName val="ST_2_KW_34"/>
      <sheetName val="ST_3_KW_35"/>
      <sheetName val="ST_4_KW_36"/>
      <sheetName val="ST_5_KW_37"/>
      <sheetName val="ST_6_KW_38"/>
      <sheetName val="ST_7_KW_39"/>
      <sheetName val="ST_8_KW_43"/>
      <sheetName val="ST_9_KW_44"/>
      <sheetName val="ST_10_KW_45"/>
      <sheetName val="ST_11_KW_46"/>
      <sheetName val="ST_12_KW_47"/>
      <sheetName val="ST_13_KW_48"/>
      <sheetName val="ST_14_KW_49"/>
      <sheetName val="ST_15_KW_50"/>
      <sheetName val="ST_16_KW_1"/>
      <sheetName val="ST_17_KW_2"/>
      <sheetName val="ST_18_KW_3"/>
    </sheetNames>
    <sheetDataSet>
      <sheetData sheetId="0">
        <row r="14">
          <cell r="N14"/>
        </row>
        <row r="15">
          <cell r="N15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2"/>
  <dimension ref="A1:U44"/>
  <sheetViews>
    <sheetView showWhiteSpace="0" view="pageLayout" topLeftCell="A33" zoomScaleNormal="100" workbookViewId="0">
      <selection activeCell="J15" sqref="J15"/>
    </sheetView>
  </sheetViews>
  <sheetFormatPr baseColWidth="10" defaultColWidth="11.42578125" defaultRowHeight="15" customHeight="1" x14ac:dyDescent="0.3"/>
  <cols>
    <col min="1" max="1" width="3.28515625" style="1" customWidth="1"/>
    <col min="2" max="2" width="8.28515625" style="1" customWidth="1"/>
    <col min="3" max="3" width="9.85546875" style="1" customWidth="1"/>
    <col min="4" max="4" width="10.7109375" style="1" customWidth="1"/>
    <col min="5" max="11" width="13.28515625" style="1" customWidth="1"/>
    <col min="12" max="12" width="3.28515625" style="1" customWidth="1"/>
    <col min="13" max="13" width="13.28515625" style="1" customWidth="1"/>
    <col min="14" max="15" width="4.85546875" style="1" customWidth="1"/>
    <col min="16" max="16" width="3.28515625" style="1" customWidth="1"/>
    <col min="17" max="17" width="10.28515625" style="13" customWidth="1"/>
    <col min="18" max="20" width="8.28515625" style="1" customWidth="1"/>
    <col min="21" max="21" width="15" style="1" customWidth="1"/>
    <col min="22" max="16384" width="11.42578125" style="1"/>
  </cols>
  <sheetData>
    <row r="1" spans="1:21" ht="28.35" customHeight="1" thickBot="1" x14ac:dyDescent="0.35">
      <c r="B1" s="24" t="s">
        <v>0</v>
      </c>
      <c r="C1" s="25"/>
      <c r="D1" s="25"/>
      <c r="E1" s="25"/>
      <c r="F1" s="25"/>
      <c r="G1" s="25"/>
      <c r="H1" s="25"/>
      <c r="I1" s="26" t="s">
        <v>1</v>
      </c>
      <c r="J1" s="27">
        <v>46248</v>
      </c>
      <c r="K1" s="26" t="s">
        <v>2</v>
      </c>
      <c r="L1" s="28" t="s">
        <v>3</v>
      </c>
      <c r="M1" s="28"/>
      <c r="N1" s="28"/>
      <c r="O1" s="29"/>
      <c r="P1" s="25"/>
      <c r="Q1" s="238" t="s">
        <v>259</v>
      </c>
      <c r="R1" s="239"/>
      <c r="S1" s="239"/>
      <c r="T1" s="239"/>
      <c r="U1" s="240"/>
    </row>
    <row r="2" spans="1:21" ht="5.0999999999999996" customHeight="1" thickBot="1" x14ac:dyDescent="0.35">
      <c r="C2" s="5"/>
      <c r="D2"/>
      <c r="E2"/>
      <c r="F2"/>
      <c r="G2"/>
      <c r="H2" s="12"/>
      <c r="I2" s="12"/>
      <c r="J2" s="12"/>
      <c r="K2" s="12"/>
    </row>
    <row r="3" spans="1:21" ht="19.5" customHeight="1" thickBot="1" x14ac:dyDescent="0.35">
      <c r="B3" s="259" t="s">
        <v>4</v>
      </c>
      <c r="C3" s="260"/>
      <c r="D3" s="260"/>
      <c r="E3" s="260"/>
      <c r="F3" s="260"/>
      <c r="G3" s="260"/>
      <c r="H3" s="251"/>
      <c r="I3" s="251"/>
      <c r="J3" s="251"/>
      <c r="K3" s="252"/>
      <c r="L3" s="9"/>
      <c r="M3" s="120" t="s">
        <v>5</v>
      </c>
      <c r="N3" s="121"/>
      <c r="O3" s="122"/>
      <c r="P3" s="9"/>
      <c r="Q3" s="18" t="s">
        <v>6</v>
      </c>
      <c r="R3" s="19"/>
      <c r="S3" s="20"/>
      <c r="T3" s="20"/>
      <c r="U3" s="21"/>
    </row>
    <row r="4" spans="1:21" ht="5.0999999999999996" customHeight="1" thickBot="1" x14ac:dyDescent="0.35">
      <c r="C4" s="2"/>
      <c r="D4" s="2"/>
      <c r="E4" s="2"/>
      <c r="F4" s="2"/>
      <c r="G4" s="2"/>
      <c r="H4" s="2"/>
      <c r="I4" s="2"/>
      <c r="J4" s="2"/>
      <c r="K4" s="2"/>
      <c r="M4" s="110"/>
      <c r="N4" s="110"/>
      <c r="O4" s="110"/>
      <c r="Q4" s="15"/>
      <c r="R4" s="8"/>
      <c r="S4" s="8"/>
      <c r="T4" s="7"/>
    </row>
    <row r="5" spans="1:21" ht="20.100000000000001" customHeight="1" x14ac:dyDescent="0.3">
      <c r="B5" s="155" t="s">
        <v>272</v>
      </c>
      <c r="C5" s="156"/>
      <c r="D5" s="157"/>
      <c r="E5" s="178" t="s">
        <v>7</v>
      </c>
      <c r="F5" s="180"/>
      <c r="G5" s="178" t="s">
        <v>8</v>
      </c>
      <c r="H5" s="179"/>
      <c r="I5" s="180"/>
      <c r="J5" s="179" t="s">
        <v>9</v>
      </c>
      <c r="K5" s="180"/>
      <c r="M5" s="129" t="s">
        <v>59</v>
      </c>
      <c r="N5" s="130"/>
      <c r="O5" s="131"/>
      <c r="Q5" s="22">
        <f>J1+0</f>
        <v>46248</v>
      </c>
      <c r="R5" s="253" t="s">
        <v>10</v>
      </c>
      <c r="S5" s="254"/>
      <c r="T5" s="254"/>
      <c r="U5" s="255"/>
    </row>
    <row r="6" spans="1:21" ht="20.100000000000001" customHeight="1" thickBot="1" x14ac:dyDescent="0.35">
      <c r="B6" s="158"/>
      <c r="C6" s="159"/>
      <c r="D6" s="160"/>
      <c r="E6" s="262" t="s">
        <v>11</v>
      </c>
      <c r="F6" s="264"/>
      <c r="G6" s="265" t="s">
        <v>12</v>
      </c>
      <c r="H6" s="266"/>
      <c r="I6" s="267"/>
      <c r="J6" s="170" t="s">
        <v>13</v>
      </c>
      <c r="K6" s="171"/>
      <c r="M6" s="303" t="s">
        <v>278</v>
      </c>
      <c r="N6" s="304"/>
      <c r="O6" s="305"/>
      <c r="Q6" s="23">
        <v>1.1200000000000001</v>
      </c>
      <c r="R6" s="256"/>
      <c r="S6" s="257"/>
      <c r="T6" s="257"/>
      <c r="U6" s="258"/>
    </row>
    <row r="7" spans="1:21" ht="20.100000000000001" customHeight="1" x14ac:dyDescent="0.3">
      <c r="B7" s="161" t="s">
        <v>273</v>
      </c>
      <c r="C7" s="162"/>
      <c r="D7" s="163"/>
      <c r="E7" s="175" t="s">
        <v>14</v>
      </c>
      <c r="F7" s="172" t="s">
        <v>15</v>
      </c>
      <c r="G7" s="175" t="s">
        <v>16</v>
      </c>
      <c r="H7" s="273" t="s">
        <v>17</v>
      </c>
      <c r="I7" s="172" t="s">
        <v>18</v>
      </c>
      <c r="J7" s="184" t="s">
        <v>19</v>
      </c>
      <c r="K7" s="172" t="s">
        <v>20</v>
      </c>
      <c r="L7" s="10"/>
      <c r="M7" s="306"/>
      <c r="N7" s="307"/>
      <c r="O7" s="308"/>
      <c r="Q7" s="22">
        <f>Q5+7</f>
        <v>46255</v>
      </c>
      <c r="R7" s="153" t="s">
        <v>21</v>
      </c>
      <c r="S7" s="153"/>
      <c r="T7" s="153"/>
      <c r="U7" s="154"/>
    </row>
    <row r="8" spans="1:21" ht="20.100000000000001" customHeight="1" thickBot="1" x14ac:dyDescent="0.35">
      <c r="B8" s="164"/>
      <c r="C8" s="165"/>
      <c r="D8" s="166"/>
      <c r="E8" s="176"/>
      <c r="F8" s="173"/>
      <c r="G8" s="176"/>
      <c r="H8" s="274"/>
      <c r="I8" s="173"/>
      <c r="J8" s="185"/>
      <c r="K8" s="241"/>
      <c r="L8" s="10"/>
      <c r="M8" s="306"/>
      <c r="N8" s="307"/>
      <c r="O8" s="308"/>
      <c r="Q8" s="23" t="s">
        <v>22</v>
      </c>
      <c r="R8" s="132" t="s">
        <v>23</v>
      </c>
      <c r="S8" s="132"/>
      <c r="T8" s="132"/>
      <c r="U8" s="133"/>
    </row>
    <row r="9" spans="1:21" ht="20.100000000000001" customHeight="1" x14ac:dyDescent="0.3">
      <c r="B9" s="164"/>
      <c r="C9" s="165"/>
      <c r="D9" s="166"/>
      <c r="E9" s="177"/>
      <c r="F9" s="188"/>
      <c r="G9" s="176"/>
      <c r="H9" s="274"/>
      <c r="I9" s="173"/>
      <c r="J9" s="184" t="s">
        <v>24</v>
      </c>
      <c r="K9" s="242"/>
      <c r="L9" s="10"/>
      <c r="M9" s="309"/>
      <c r="N9" s="310"/>
      <c r="O9" s="311"/>
      <c r="Q9" s="22">
        <f>Q7+7</f>
        <v>46262</v>
      </c>
      <c r="R9" s="153" t="s">
        <v>21</v>
      </c>
      <c r="S9" s="153"/>
      <c r="T9" s="153"/>
      <c r="U9" s="154"/>
    </row>
    <row r="10" spans="1:21" ht="20.100000000000001" customHeight="1" thickBot="1" x14ac:dyDescent="0.35">
      <c r="A10" s="6"/>
      <c r="B10" s="164"/>
      <c r="C10" s="165"/>
      <c r="D10" s="166"/>
      <c r="E10" s="175" t="s">
        <v>25</v>
      </c>
      <c r="F10" s="172" t="s">
        <v>26</v>
      </c>
      <c r="G10" s="176"/>
      <c r="H10" s="274"/>
      <c r="I10" s="173"/>
      <c r="J10" s="185"/>
      <c r="K10" s="181" t="s">
        <v>27</v>
      </c>
      <c r="L10" s="10"/>
      <c r="M10" s="309"/>
      <c r="N10" s="310"/>
      <c r="O10" s="311"/>
      <c r="Q10" s="23" t="s">
        <v>29</v>
      </c>
      <c r="R10" s="132" t="s">
        <v>23</v>
      </c>
      <c r="S10" s="132"/>
      <c r="T10" s="132"/>
      <c r="U10" s="133"/>
    </row>
    <row r="11" spans="1:21" ht="20.100000000000001" customHeight="1" x14ac:dyDescent="0.3">
      <c r="A11" s="6"/>
      <c r="B11" s="164"/>
      <c r="C11" s="165"/>
      <c r="D11" s="166"/>
      <c r="E11" s="176"/>
      <c r="F11" s="173"/>
      <c r="G11" s="176"/>
      <c r="H11" s="274"/>
      <c r="I11" s="173"/>
      <c r="J11" s="186" t="s">
        <v>30</v>
      </c>
      <c r="K11" s="182"/>
      <c r="L11" s="10"/>
      <c r="M11" s="309"/>
      <c r="N11" s="310"/>
      <c r="O11" s="311"/>
      <c r="Q11" s="22">
        <f>Q9+7</f>
        <v>46269</v>
      </c>
      <c r="R11" s="153" t="s">
        <v>21</v>
      </c>
      <c r="S11" s="153"/>
      <c r="T11" s="153"/>
      <c r="U11" s="154"/>
    </row>
    <row r="12" spans="1:21" ht="20.100000000000001" customHeight="1" thickBot="1" x14ac:dyDescent="0.35">
      <c r="B12" s="167"/>
      <c r="C12" s="168"/>
      <c r="D12" s="169"/>
      <c r="E12" s="261"/>
      <c r="F12" s="174"/>
      <c r="G12" s="261"/>
      <c r="H12" s="275"/>
      <c r="I12" s="174"/>
      <c r="J12" s="187"/>
      <c r="K12" s="183"/>
      <c r="L12" s="10"/>
      <c r="M12" s="312"/>
      <c r="N12" s="313"/>
      <c r="O12" s="314"/>
      <c r="Q12" s="23" t="s">
        <v>29</v>
      </c>
      <c r="R12" s="132" t="s">
        <v>23</v>
      </c>
      <c r="S12" s="132"/>
      <c r="T12" s="132"/>
      <c r="U12" s="133"/>
    </row>
    <row r="13" spans="1:21" ht="19.5" customHeight="1" thickBot="1" x14ac:dyDescent="0.35">
      <c r="C13" s="3"/>
      <c r="D13" s="4"/>
      <c r="E13" s="268"/>
      <c r="F13" s="268"/>
      <c r="G13" s="269"/>
      <c r="H13" s="270"/>
      <c r="I13" s="270"/>
      <c r="J13" s="14"/>
      <c r="K13" s="15"/>
      <c r="Q13" s="22">
        <f>Q11+7</f>
        <v>46276</v>
      </c>
      <c r="R13" s="153" t="s">
        <v>21</v>
      </c>
      <c r="S13" s="153"/>
      <c r="T13" s="153"/>
      <c r="U13" s="154"/>
    </row>
    <row r="14" spans="1:21" ht="20.100000000000001" customHeight="1" thickBot="1" x14ac:dyDescent="0.35">
      <c r="B14" s="155" t="s">
        <v>272</v>
      </c>
      <c r="C14" s="156"/>
      <c r="D14" s="157"/>
      <c r="E14" s="271" t="s">
        <v>45</v>
      </c>
      <c r="F14" s="272"/>
      <c r="L14" s="9"/>
      <c r="M14" s="189" t="s">
        <v>280</v>
      </c>
      <c r="N14" s="190"/>
      <c r="O14" s="191"/>
      <c r="Q14" s="23" t="s">
        <v>29</v>
      </c>
      <c r="R14" s="132" t="s">
        <v>23</v>
      </c>
      <c r="S14" s="132"/>
      <c r="T14" s="132"/>
      <c r="U14" s="133"/>
    </row>
    <row r="15" spans="1:21" ht="20.100000000000001" customHeight="1" x14ac:dyDescent="0.3">
      <c r="B15" s="158"/>
      <c r="C15" s="159"/>
      <c r="D15" s="160"/>
      <c r="E15" s="262" t="s">
        <v>66</v>
      </c>
      <c r="F15" s="263"/>
      <c r="M15" s="296" t="s">
        <v>279</v>
      </c>
      <c r="N15" s="297"/>
      <c r="O15" s="298"/>
      <c r="Q15" s="22">
        <f>Q13+7</f>
        <v>46283</v>
      </c>
      <c r="R15" s="153" t="s">
        <v>35</v>
      </c>
      <c r="S15" s="153"/>
      <c r="T15" s="153"/>
      <c r="U15" s="154"/>
    </row>
    <row r="16" spans="1:21" ht="20.100000000000001" customHeight="1" thickBot="1" x14ac:dyDescent="0.35">
      <c r="B16" s="161" t="s">
        <v>273</v>
      </c>
      <c r="C16" s="162"/>
      <c r="D16" s="163"/>
      <c r="E16" s="192" t="s">
        <v>69</v>
      </c>
      <c r="F16" s="193"/>
      <c r="M16" s="299"/>
      <c r="N16" s="297"/>
      <c r="O16" s="298"/>
      <c r="Q16" s="23" t="s">
        <v>42</v>
      </c>
      <c r="R16" s="132" t="s">
        <v>43</v>
      </c>
      <c r="S16" s="132"/>
      <c r="T16" s="132"/>
      <c r="U16" s="133"/>
    </row>
    <row r="17" spans="2:21" ht="20.100000000000001" customHeight="1" thickBot="1" x14ac:dyDescent="0.35">
      <c r="B17" s="164"/>
      <c r="C17" s="165"/>
      <c r="D17" s="166"/>
      <c r="E17" s="194"/>
      <c r="F17" s="195"/>
      <c r="M17" s="300"/>
      <c r="N17" s="301"/>
      <c r="O17" s="302"/>
      <c r="Q17" s="22">
        <f>Q15+7</f>
        <v>46290</v>
      </c>
      <c r="R17" s="153" t="s">
        <v>35</v>
      </c>
      <c r="S17" s="153"/>
      <c r="T17" s="153"/>
      <c r="U17" s="154"/>
    </row>
    <row r="18" spans="2:21" ht="20.100000000000001" customHeight="1" thickBot="1" x14ac:dyDescent="0.35">
      <c r="B18" s="164"/>
      <c r="C18" s="165"/>
      <c r="D18" s="166"/>
      <c r="E18" s="194"/>
      <c r="F18" s="195"/>
      <c r="L18"/>
      <c r="Q18" s="23" t="s">
        <v>46</v>
      </c>
      <c r="R18" s="132" t="s">
        <v>43</v>
      </c>
      <c r="S18" s="132"/>
      <c r="T18" s="132"/>
      <c r="U18" s="133"/>
    </row>
    <row r="19" spans="2:21" ht="20.100000000000001" customHeight="1" x14ac:dyDescent="0.3">
      <c r="B19" s="164"/>
      <c r="C19" s="165"/>
      <c r="D19" s="166"/>
      <c r="E19" s="194"/>
      <c r="F19" s="195"/>
      <c r="M19" s="293" t="s">
        <v>276</v>
      </c>
      <c r="N19" s="294"/>
      <c r="O19" s="295"/>
      <c r="Q19" s="22">
        <f>Q17+28</f>
        <v>46318</v>
      </c>
      <c r="R19" s="153" t="s">
        <v>35</v>
      </c>
      <c r="S19" s="153"/>
      <c r="T19" s="153"/>
      <c r="U19" s="154"/>
    </row>
    <row r="20" spans="2:21" ht="20.100000000000001" customHeight="1" thickBot="1" x14ac:dyDescent="0.35">
      <c r="B20" s="164"/>
      <c r="C20" s="165"/>
      <c r="D20" s="166"/>
      <c r="E20" s="194"/>
      <c r="F20" s="195"/>
      <c r="M20" s="111" t="s">
        <v>28</v>
      </c>
      <c r="N20" s="243">
        <v>2</v>
      </c>
      <c r="O20" s="244"/>
      <c r="Q20" s="23" t="s">
        <v>46</v>
      </c>
      <c r="R20" s="132" t="s">
        <v>43</v>
      </c>
      <c r="S20" s="132"/>
      <c r="T20" s="132"/>
      <c r="U20" s="133"/>
    </row>
    <row r="21" spans="2:21" ht="20.100000000000001" customHeight="1" thickBot="1" x14ac:dyDescent="0.35">
      <c r="B21" s="167"/>
      <c r="C21" s="168"/>
      <c r="D21" s="169"/>
      <c r="E21" s="196"/>
      <c r="F21" s="197"/>
      <c r="M21" s="109" t="s">
        <v>8</v>
      </c>
      <c r="N21" s="245">
        <v>3</v>
      </c>
      <c r="O21" s="246"/>
      <c r="Q21" s="22">
        <f>Q19+7</f>
        <v>46325</v>
      </c>
      <c r="R21" s="153" t="s">
        <v>35</v>
      </c>
      <c r="S21" s="153"/>
      <c r="T21" s="153"/>
      <c r="U21" s="154"/>
    </row>
    <row r="22" spans="2:21" ht="19.5" customHeight="1" thickBot="1" x14ac:dyDescent="0.35">
      <c r="M22" s="109" t="s">
        <v>9</v>
      </c>
      <c r="N22" s="245">
        <v>1</v>
      </c>
      <c r="O22" s="246"/>
      <c r="Q22" s="23" t="s">
        <v>50</v>
      </c>
      <c r="R22" s="132" t="s">
        <v>51</v>
      </c>
      <c r="S22" s="132"/>
      <c r="T22" s="132"/>
      <c r="U22" s="133"/>
    </row>
    <row r="23" spans="2:21" ht="20.100000000000001" customHeight="1" x14ac:dyDescent="0.3">
      <c r="B23" s="134" t="s">
        <v>274</v>
      </c>
      <c r="C23" s="135"/>
      <c r="D23" s="207"/>
      <c r="E23" s="276" t="s">
        <v>31</v>
      </c>
      <c r="F23" s="277"/>
      <c r="G23" s="276" t="s">
        <v>32</v>
      </c>
      <c r="H23" s="277"/>
      <c r="I23" s="278"/>
      <c r="L23" s="9"/>
      <c r="M23" s="112" t="s">
        <v>45</v>
      </c>
      <c r="N23" s="315">
        <v>1</v>
      </c>
      <c r="O23" s="316"/>
      <c r="Q23" s="22">
        <f>Q21+7</f>
        <v>46332</v>
      </c>
      <c r="R23" s="153" t="s">
        <v>52</v>
      </c>
      <c r="S23" s="153"/>
      <c r="T23" s="153"/>
      <c r="U23" s="154"/>
    </row>
    <row r="24" spans="2:21" ht="20.100000000000001" customHeight="1" thickBot="1" x14ac:dyDescent="0.35">
      <c r="B24" s="136"/>
      <c r="C24" s="137"/>
      <c r="D24" s="208"/>
      <c r="E24" s="223" t="s">
        <v>33</v>
      </c>
      <c r="F24" s="279"/>
      <c r="G24" s="280" t="s">
        <v>33</v>
      </c>
      <c r="H24" s="281"/>
      <c r="I24" s="282"/>
      <c r="M24" s="108" t="s">
        <v>277</v>
      </c>
      <c r="N24" s="317">
        <f>SUM(N20:O23)</f>
        <v>7</v>
      </c>
      <c r="O24" s="318"/>
      <c r="Q24" s="23" t="s">
        <v>54</v>
      </c>
      <c r="R24" s="132" t="s">
        <v>51</v>
      </c>
      <c r="S24" s="132"/>
      <c r="T24" s="132"/>
      <c r="U24" s="133"/>
    </row>
    <row r="25" spans="2:21" s="9" customFormat="1" ht="20.100000000000001" customHeight="1" thickBot="1" x14ac:dyDescent="0.35">
      <c r="B25" s="138" t="s">
        <v>281</v>
      </c>
      <c r="C25" s="199"/>
      <c r="D25" s="200"/>
      <c r="E25" s="213" t="s">
        <v>36</v>
      </c>
      <c r="F25" s="209" t="s">
        <v>37</v>
      </c>
      <c r="G25" s="144" t="s">
        <v>38</v>
      </c>
      <c r="H25" s="283" t="s">
        <v>39</v>
      </c>
      <c r="I25" s="286" t="s">
        <v>40</v>
      </c>
      <c r="L25" s="11"/>
      <c r="Q25" s="22">
        <f>Q23+7</f>
        <v>46339</v>
      </c>
      <c r="R25" s="153" t="s">
        <v>52</v>
      </c>
      <c r="S25" s="153"/>
      <c r="T25" s="153"/>
      <c r="U25" s="154"/>
    </row>
    <row r="26" spans="2:21" s="9" customFormat="1" ht="20.100000000000001" customHeight="1" thickBot="1" x14ac:dyDescent="0.35">
      <c r="B26" s="201"/>
      <c r="C26" s="202"/>
      <c r="D26" s="203"/>
      <c r="E26" s="214"/>
      <c r="F26" s="210"/>
      <c r="G26" s="216"/>
      <c r="H26" s="284"/>
      <c r="I26" s="287"/>
      <c r="L26" s="11"/>
      <c r="M26" s="113" t="s">
        <v>281</v>
      </c>
      <c r="N26" s="114"/>
      <c r="O26" s="115"/>
      <c r="Q26" s="23" t="s">
        <v>54</v>
      </c>
      <c r="R26" s="132" t="s">
        <v>51</v>
      </c>
      <c r="S26" s="132"/>
      <c r="T26" s="132"/>
      <c r="U26" s="133"/>
    </row>
    <row r="27" spans="2:21" s="9" customFormat="1" ht="20.100000000000001" customHeight="1" x14ac:dyDescent="0.3">
      <c r="B27" s="201"/>
      <c r="C27" s="202"/>
      <c r="D27" s="203"/>
      <c r="E27" s="214"/>
      <c r="F27" s="210"/>
      <c r="G27" s="216"/>
      <c r="H27" s="284"/>
      <c r="I27" s="287"/>
      <c r="L27" s="11"/>
      <c r="M27" s="116" t="s">
        <v>31</v>
      </c>
      <c r="N27" s="249">
        <v>1.5</v>
      </c>
      <c r="O27" s="250"/>
      <c r="Q27" s="22">
        <f>Q25+7</f>
        <v>46346</v>
      </c>
      <c r="R27" s="153" t="s">
        <v>52</v>
      </c>
      <c r="S27" s="153"/>
      <c r="T27" s="153"/>
      <c r="U27" s="154"/>
    </row>
    <row r="28" spans="2:21" s="9" customFormat="1" ht="20.100000000000001" customHeight="1" thickBot="1" x14ac:dyDescent="0.35">
      <c r="B28" s="201"/>
      <c r="C28" s="202"/>
      <c r="D28" s="203"/>
      <c r="E28" s="213" t="s">
        <v>47</v>
      </c>
      <c r="F28" s="209" t="s">
        <v>48</v>
      </c>
      <c r="G28" s="217" t="s">
        <v>49</v>
      </c>
      <c r="H28" s="284"/>
      <c r="I28" s="287"/>
      <c r="L28" s="11"/>
      <c r="M28" s="117" t="s">
        <v>32</v>
      </c>
      <c r="N28" s="247">
        <v>1.5</v>
      </c>
      <c r="O28" s="248"/>
      <c r="Q28" s="23" t="s">
        <v>54</v>
      </c>
      <c r="R28" s="132" t="s">
        <v>51</v>
      </c>
      <c r="S28" s="132"/>
      <c r="T28" s="132"/>
      <c r="U28" s="133"/>
    </row>
    <row r="29" spans="2:21" s="9" customFormat="1" ht="20.100000000000001" customHeight="1" x14ac:dyDescent="0.3">
      <c r="B29" s="201"/>
      <c r="C29" s="202"/>
      <c r="D29" s="203"/>
      <c r="E29" s="214"/>
      <c r="F29" s="211"/>
      <c r="G29" s="218"/>
      <c r="H29" s="284"/>
      <c r="I29" s="287"/>
      <c r="L29" s="11"/>
      <c r="M29" s="117" t="s">
        <v>34</v>
      </c>
      <c r="N29" s="247">
        <v>1.5</v>
      </c>
      <c r="O29" s="248"/>
      <c r="Q29" s="22">
        <f>Q27+7</f>
        <v>46353</v>
      </c>
      <c r="R29" s="153" t="s">
        <v>52</v>
      </c>
      <c r="S29" s="153"/>
      <c r="T29" s="153"/>
      <c r="U29" s="154"/>
    </row>
    <row r="30" spans="2:21" s="9" customFormat="1" ht="20.100000000000001" customHeight="1" thickBot="1" x14ac:dyDescent="0.35">
      <c r="B30" s="204"/>
      <c r="C30" s="205"/>
      <c r="D30" s="206"/>
      <c r="E30" s="215"/>
      <c r="F30" s="212"/>
      <c r="G30" s="219"/>
      <c r="H30" s="285"/>
      <c r="I30" s="288"/>
      <c r="L30" s="11"/>
      <c r="M30" s="117" t="s">
        <v>41</v>
      </c>
      <c r="N30" s="247">
        <v>2</v>
      </c>
      <c r="O30" s="248"/>
      <c r="Q30" s="23" t="s">
        <v>54</v>
      </c>
      <c r="R30" s="132" t="s">
        <v>51</v>
      </c>
      <c r="S30" s="132"/>
      <c r="T30" s="132"/>
      <c r="U30" s="133"/>
    </row>
    <row r="31" spans="2:21" s="9" customFormat="1" ht="19.5" customHeight="1" thickBot="1" x14ac:dyDescent="0.35">
      <c r="M31" s="118" t="s">
        <v>44</v>
      </c>
      <c r="N31" s="319">
        <v>2</v>
      </c>
      <c r="O31" s="320"/>
      <c r="Q31" s="22">
        <f>Q29+7</f>
        <v>46360</v>
      </c>
      <c r="R31" s="153" t="s">
        <v>63</v>
      </c>
      <c r="S31" s="153"/>
      <c r="T31" s="153"/>
      <c r="U31" s="154"/>
    </row>
    <row r="32" spans="2:21" s="9" customFormat="1" ht="20.100000000000001" customHeight="1" thickBot="1" x14ac:dyDescent="0.35">
      <c r="B32" s="134" t="s">
        <v>275</v>
      </c>
      <c r="C32" s="135"/>
      <c r="D32" s="135"/>
      <c r="E32" s="289" t="s">
        <v>34</v>
      </c>
      <c r="F32" s="290"/>
      <c r="G32" s="291"/>
      <c r="H32" s="277" t="s">
        <v>41</v>
      </c>
      <c r="I32" s="292"/>
      <c r="J32" s="276" t="s">
        <v>44</v>
      </c>
      <c r="K32" s="278"/>
      <c r="L32"/>
      <c r="M32" s="119" t="s">
        <v>277</v>
      </c>
      <c r="N32" s="321">
        <f>SUM(N27:O31)</f>
        <v>8.5</v>
      </c>
      <c r="O32" s="322"/>
      <c r="Q32" s="23" t="s">
        <v>64</v>
      </c>
      <c r="R32" s="132" t="s">
        <v>51</v>
      </c>
      <c r="S32" s="132"/>
      <c r="T32" s="132"/>
      <c r="U32" s="133"/>
    </row>
    <row r="33" spans="2:21" ht="20.100000000000001" customHeight="1" x14ac:dyDescent="0.3">
      <c r="B33" s="136"/>
      <c r="C33" s="137"/>
      <c r="D33" s="137"/>
      <c r="E33" s="220" t="s">
        <v>33</v>
      </c>
      <c r="F33" s="221"/>
      <c r="G33" s="222"/>
      <c r="H33" s="223" t="s">
        <v>53</v>
      </c>
      <c r="I33" s="224"/>
      <c r="J33" s="225" t="s">
        <v>65</v>
      </c>
      <c r="K33" s="224"/>
      <c r="L33" s="85"/>
      <c r="Q33" s="22">
        <f>Q31+7</f>
        <v>46367</v>
      </c>
      <c r="R33" s="153" t="s">
        <v>63</v>
      </c>
      <c r="S33" s="153"/>
      <c r="T33" s="153"/>
      <c r="U33" s="154"/>
    </row>
    <row r="34" spans="2:21" ht="20.100000000000001" customHeight="1" thickBot="1" x14ac:dyDescent="0.35">
      <c r="B34" s="138" t="s">
        <v>281</v>
      </c>
      <c r="C34" s="139"/>
      <c r="D34" s="139"/>
      <c r="E34" s="144" t="s">
        <v>55</v>
      </c>
      <c r="F34" s="147" t="s">
        <v>56</v>
      </c>
      <c r="G34" s="150" t="s">
        <v>57</v>
      </c>
      <c r="H34" s="228" t="s">
        <v>58</v>
      </c>
      <c r="I34" s="229"/>
      <c r="J34" s="213" t="s">
        <v>67</v>
      </c>
      <c r="K34" s="235" t="s">
        <v>68</v>
      </c>
      <c r="L34" s="85"/>
      <c r="Q34" s="23" t="s">
        <v>64</v>
      </c>
      <c r="R34" s="132" t="s">
        <v>51</v>
      </c>
      <c r="S34" s="132"/>
      <c r="T34" s="132"/>
      <c r="U34" s="133"/>
    </row>
    <row r="35" spans="2:21" ht="20.100000000000001" customHeight="1" x14ac:dyDescent="0.3">
      <c r="B35" s="140"/>
      <c r="C35" s="141"/>
      <c r="D35" s="141"/>
      <c r="E35" s="145"/>
      <c r="F35" s="226"/>
      <c r="G35" s="227"/>
      <c r="H35" s="230"/>
      <c r="I35" s="231"/>
      <c r="J35" s="214"/>
      <c r="K35" s="236"/>
      <c r="L35" s="85"/>
      <c r="Q35" s="22">
        <f>Q33+7</f>
        <v>46374</v>
      </c>
      <c r="R35" s="153" t="s">
        <v>63</v>
      </c>
      <c r="S35" s="153"/>
      <c r="T35" s="153"/>
      <c r="U35" s="154"/>
    </row>
    <row r="36" spans="2:21" ht="20.100000000000001" customHeight="1" thickBot="1" x14ac:dyDescent="0.35">
      <c r="B36" s="140"/>
      <c r="C36" s="141"/>
      <c r="D36" s="141"/>
      <c r="E36" s="145"/>
      <c r="F36" s="226"/>
      <c r="G36" s="227"/>
      <c r="H36" s="230"/>
      <c r="I36" s="231"/>
      <c r="J36" s="234"/>
      <c r="K36" s="236"/>
      <c r="L36" s="86"/>
      <c r="Q36" s="23" t="s">
        <v>64</v>
      </c>
      <c r="R36" s="132" t="s">
        <v>51</v>
      </c>
      <c r="S36" s="132"/>
      <c r="T36" s="132"/>
      <c r="U36" s="133"/>
    </row>
    <row r="37" spans="2:21" ht="20.100000000000001" customHeight="1" x14ac:dyDescent="0.3">
      <c r="B37" s="140"/>
      <c r="C37" s="141"/>
      <c r="D37" s="141"/>
      <c r="E37" s="144" t="s">
        <v>60</v>
      </c>
      <c r="F37" s="147" t="s">
        <v>61</v>
      </c>
      <c r="G37" s="150" t="s">
        <v>62</v>
      </c>
      <c r="H37" s="230"/>
      <c r="I37" s="231"/>
      <c r="J37" s="213" t="s">
        <v>70</v>
      </c>
      <c r="K37" s="236"/>
      <c r="L37" s="86"/>
      <c r="Q37" s="22">
        <f>Q35+21</f>
        <v>46395</v>
      </c>
      <c r="R37" s="153" t="s">
        <v>71</v>
      </c>
      <c r="S37" s="153"/>
      <c r="T37" s="153"/>
      <c r="U37" s="154"/>
    </row>
    <row r="38" spans="2:21" ht="19.5" customHeight="1" thickBot="1" x14ac:dyDescent="0.35">
      <c r="B38" s="140"/>
      <c r="C38" s="141"/>
      <c r="D38" s="141"/>
      <c r="E38" s="145"/>
      <c r="F38" s="148"/>
      <c r="G38" s="151"/>
      <c r="H38" s="230"/>
      <c r="I38" s="231"/>
      <c r="J38" s="323"/>
      <c r="K38" s="236"/>
      <c r="L38" s="86"/>
      <c r="Q38" s="81" t="s">
        <v>72</v>
      </c>
      <c r="R38" s="153" t="s">
        <v>51</v>
      </c>
      <c r="S38" s="153"/>
      <c r="T38" s="153"/>
      <c r="U38" s="154"/>
    </row>
    <row r="39" spans="2:21" ht="19.5" customHeight="1" thickBot="1" x14ac:dyDescent="0.35">
      <c r="B39" s="142"/>
      <c r="C39" s="143"/>
      <c r="D39" s="143"/>
      <c r="E39" s="146"/>
      <c r="F39" s="149"/>
      <c r="G39" s="152"/>
      <c r="H39" s="232"/>
      <c r="I39" s="233"/>
      <c r="J39" s="324"/>
      <c r="K39" s="237"/>
      <c r="L39" s="86"/>
      <c r="Q39" s="84">
        <f>Q37+7</f>
        <v>46402</v>
      </c>
      <c r="R39" s="82" t="s">
        <v>73</v>
      </c>
      <c r="S39" s="82"/>
      <c r="T39" s="82"/>
      <c r="U39" s="83"/>
    </row>
    <row r="40" spans="2:21" ht="19.5" customHeight="1" thickBot="1" x14ac:dyDescent="0.35">
      <c r="B40" s="17"/>
      <c r="C40" s="17"/>
      <c r="D40" s="17"/>
      <c r="E40" s="79"/>
      <c r="F40" s="80"/>
      <c r="G40" s="80"/>
      <c r="H40" s="80"/>
      <c r="I40"/>
      <c r="L40"/>
      <c r="Q40" s="81" t="s">
        <v>74</v>
      </c>
      <c r="R40" s="153" t="s">
        <v>75</v>
      </c>
      <c r="S40" s="153"/>
      <c r="T40" s="153"/>
      <c r="U40" s="154"/>
    </row>
    <row r="41" spans="2:21" ht="19.5" customHeight="1" x14ac:dyDescent="0.3">
      <c r="Q41" s="88">
        <f>Q39+7</f>
        <v>46409</v>
      </c>
      <c r="R41" s="90" t="s">
        <v>76</v>
      </c>
      <c r="S41" s="82"/>
      <c r="T41" s="82"/>
      <c r="U41" s="91"/>
    </row>
    <row r="42" spans="2:21" ht="19.5" customHeight="1" thickBot="1" x14ac:dyDescent="0.35">
      <c r="M42"/>
      <c r="N42"/>
      <c r="O42"/>
      <c r="Q42" s="89"/>
      <c r="R42" s="198" t="s">
        <v>75</v>
      </c>
      <c r="S42" s="132"/>
      <c r="T42" s="132"/>
      <c r="U42" s="133"/>
    </row>
    <row r="43" spans="2:21" ht="5.0999999999999996" customHeight="1" thickBot="1" x14ac:dyDescent="0.35">
      <c r="C43" s="2"/>
      <c r="D43" s="2"/>
      <c r="E43" s="2"/>
      <c r="F43" s="2"/>
      <c r="G43" s="2"/>
      <c r="H43" s="2"/>
      <c r="I43" s="2"/>
      <c r="J43" s="2"/>
      <c r="K43" s="2"/>
      <c r="Q43" s="15"/>
      <c r="R43" s="8"/>
      <c r="S43" s="8"/>
      <c r="T43" s="7"/>
    </row>
    <row r="44" spans="2:21" ht="19.5" customHeight="1" thickBot="1" x14ac:dyDescent="0.35">
      <c r="B44" s="73" t="s">
        <v>77</v>
      </c>
      <c r="C44" s="74"/>
      <c r="D44" s="74"/>
      <c r="E44" s="74"/>
      <c r="F44" s="74"/>
      <c r="G44" s="75"/>
      <c r="H44" s="74"/>
      <c r="I44" s="74"/>
      <c r="J44" s="76"/>
      <c r="K44" s="74" t="s">
        <v>78</v>
      </c>
      <c r="L44" s="75"/>
      <c r="M44" s="74"/>
      <c r="N44" s="74"/>
      <c r="O44" s="74"/>
      <c r="P44" s="74"/>
      <c r="Q44" s="78" t="s">
        <v>79</v>
      </c>
      <c r="R44" s="74"/>
      <c r="S44" s="74"/>
      <c r="T44" s="74"/>
      <c r="U44" s="77"/>
    </row>
  </sheetData>
  <mergeCells count="114">
    <mergeCell ref="M15:O17"/>
    <mergeCell ref="M6:O12"/>
    <mergeCell ref="N22:O22"/>
    <mergeCell ref="N23:O23"/>
    <mergeCell ref="N24:O24"/>
    <mergeCell ref="N31:O31"/>
    <mergeCell ref="N32:O32"/>
    <mergeCell ref="J37:J39"/>
    <mergeCell ref="J32:K32"/>
    <mergeCell ref="E23:F23"/>
    <mergeCell ref="G23:I23"/>
    <mergeCell ref="E24:F24"/>
    <mergeCell ref="G24:I24"/>
    <mergeCell ref="H25:H30"/>
    <mergeCell ref="I25:I30"/>
    <mergeCell ref="E32:G32"/>
    <mergeCell ref="H32:I32"/>
    <mergeCell ref="M19:O19"/>
    <mergeCell ref="H3:I3"/>
    <mergeCell ref="B3:G3"/>
    <mergeCell ref="E10:E12"/>
    <mergeCell ref="E15:F15"/>
    <mergeCell ref="I7:I12"/>
    <mergeCell ref="R30:U30"/>
    <mergeCell ref="R31:U31"/>
    <mergeCell ref="R32:U32"/>
    <mergeCell ref="R16:U16"/>
    <mergeCell ref="R17:U17"/>
    <mergeCell ref="R28:U28"/>
    <mergeCell ref="N28:O28"/>
    <mergeCell ref="E6:F6"/>
    <mergeCell ref="G6:I6"/>
    <mergeCell ref="N30:O30"/>
    <mergeCell ref="E13:G13"/>
    <mergeCell ref="H13:I13"/>
    <mergeCell ref="E14:F14"/>
    <mergeCell ref="G7:G12"/>
    <mergeCell ref="H7:H12"/>
    <mergeCell ref="R11:U11"/>
    <mergeCell ref="R12:U12"/>
    <mergeCell ref="R13:U13"/>
    <mergeCell ref="R14:U14"/>
    <mergeCell ref="Q1:U1"/>
    <mergeCell ref="K7:K9"/>
    <mergeCell ref="R29:U29"/>
    <mergeCell ref="R7:U7"/>
    <mergeCell ref="R8:U8"/>
    <mergeCell ref="R9:U9"/>
    <mergeCell ref="R10:U10"/>
    <mergeCell ref="R23:U23"/>
    <mergeCell ref="R24:U24"/>
    <mergeCell ref="R25:U25"/>
    <mergeCell ref="R26:U26"/>
    <mergeCell ref="N20:O20"/>
    <mergeCell ref="N21:O21"/>
    <mergeCell ref="N29:O29"/>
    <mergeCell ref="N27:O27"/>
    <mergeCell ref="R18:U18"/>
    <mergeCell ref="J3:K3"/>
    <mergeCell ref="R15:U15"/>
    <mergeCell ref="R21:U21"/>
    <mergeCell ref="R22:U22"/>
    <mergeCell ref="R5:U6"/>
    <mergeCell ref="R27:U27"/>
    <mergeCell ref="R19:U19"/>
    <mergeCell ref="R20:U20"/>
    <mergeCell ref="R42:U42"/>
    <mergeCell ref="R38:U38"/>
    <mergeCell ref="R37:U37"/>
    <mergeCell ref="R33:U33"/>
    <mergeCell ref="R34:U34"/>
    <mergeCell ref="R35:U35"/>
    <mergeCell ref="B25:D30"/>
    <mergeCell ref="B14:D15"/>
    <mergeCell ref="B23:D24"/>
    <mergeCell ref="F25:F27"/>
    <mergeCell ref="F28:F30"/>
    <mergeCell ref="E25:E27"/>
    <mergeCell ref="E28:E30"/>
    <mergeCell ref="G25:G27"/>
    <mergeCell ref="B16:D21"/>
    <mergeCell ref="G28:G30"/>
    <mergeCell ref="E33:G33"/>
    <mergeCell ref="H33:I33"/>
    <mergeCell ref="J33:K33"/>
    <mergeCell ref="F34:F36"/>
    <mergeCell ref="G34:G36"/>
    <mergeCell ref="H34:I39"/>
    <mergeCell ref="J34:J36"/>
    <mergeCell ref="K34:K39"/>
    <mergeCell ref="M5:O5"/>
    <mergeCell ref="R36:U36"/>
    <mergeCell ref="B32:D33"/>
    <mergeCell ref="B34:D39"/>
    <mergeCell ref="E37:E39"/>
    <mergeCell ref="E34:E36"/>
    <mergeCell ref="F37:F39"/>
    <mergeCell ref="G37:G39"/>
    <mergeCell ref="R40:U40"/>
    <mergeCell ref="B5:D6"/>
    <mergeCell ref="B7:D12"/>
    <mergeCell ref="J6:K6"/>
    <mergeCell ref="F10:F12"/>
    <mergeCell ref="E7:E9"/>
    <mergeCell ref="G5:I5"/>
    <mergeCell ref="J5:K5"/>
    <mergeCell ref="K10:K12"/>
    <mergeCell ref="J7:J8"/>
    <mergeCell ref="J9:J10"/>
    <mergeCell ref="J11:J12"/>
    <mergeCell ref="E5:F5"/>
    <mergeCell ref="F7:F9"/>
    <mergeCell ref="M14:O14"/>
    <mergeCell ref="E16:F21"/>
  </mergeCells>
  <phoneticPr fontId="24" type="noConversion"/>
  <conditionalFormatting sqref="Q7:U38 Q40:U40 R42:U42">
    <cfRule type="expression" dxfId="0" priority="201">
      <formula>$Q$7=#REF!</formula>
    </cfRule>
  </conditionalFormatting>
  <pageMargins left="3.937007874015748E-2" right="3.937007874015748E-2" top="0.19685039370078741" bottom="0.19685039370078741" header="0" footer="0"/>
  <pageSetup paperSize="8" orientation="landscape" r:id="rId1"/>
  <headerFooter>
    <oddHeader xml:space="preserve">&amp;L
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070BD-D265-4642-9DE0-DE3E56D9FAD6}">
  <dimension ref="B1:G47"/>
  <sheetViews>
    <sheetView showWhiteSpace="0" view="pageLayout" zoomScale="85" zoomScaleNormal="100" zoomScalePageLayoutView="85" workbookViewId="0">
      <selection activeCell="G3" sqref="G3:G4"/>
    </sheetView>
  </sheetViews>
  <sheetFormatPr baseColWidth="10" defaultColWidth="11.42578125" defaultRowHeight="15" x14ac:dyDescent="0.25"/>
  <cols>
    <col min="1" max="1" width="4.85546875" customWidth="1"/>
    <col min="2" max="2" width="10" customWidth="1"/>
    <col min="3" max="7" width="16.28515625" customWidth="1"/>
  </cols>
  <sheetData>
    <row r="1" spans="2:7" x14ac:dyDescent="0.25">
      <c r="B1" s="340" t="s">
        <v>80</v>
      </c>
      <c r="C1" s="341"/>
      <c r="D1" s="341"/>
      <c r="E1" s="336">
        <f>Kompetenzraster!Q5</f>
        <v>46248</v>
      </c>
      <c r="F1" s="337"/>
      <c r="G1" s="334">
        <v>1</v>
      </c>
    </row>
    <row r="2" spans="2:7" x14ac:dyDescent="0.25">
      <c r="B2" s="342"/>
      <c r="C2" s="343"/>
      <c r="D2" s="343"/>
      <c r="E2" s="338"/>
      <c r="F2" s="339"/>
      <c r="G2" s="335"/>
    </row>
    <row r="3" spans="2:7" ht="15.75" customHeight="1" x14ac:dyDescent="0.25">
      <c r="B3" s="344" t="s">
        <v>81</v>
      </c>
      <c r="C3" s="345"/>
      <c r="D3" s="345"/>
      <c r="E3" s="345"/>
      <c r="F3" s="346"/>
      <c r="G3" s="350">
        <v>1.1200000000000001</v>
      </c>
    </row>
    <row r="4" spans="2:7" x14ac:dyDescent="0.25">
      <c r="B4" s="347"/>
      <c r="C4" s="348"/>
      <c r="D4" s="348"/>
      <c r="E4" s="348"/>
      <c r="F4" s="349"/>
      <c r="G4" s="351"/>
    </row>
    <row r="5" spans="2:7" ht="15.75" x14ac:dyDescent="0.3">
      <c r="B5" s="352" t="s">
        <v>82</v>
      </c>
      <c r="C5" s="40" t="s">
        <v>83</v>
      </c>
      <c r="D5" s="41"/>
      <c r="E5" s="41"/>
      <c r="F5" s="41"/>
      <c r="G5" s="50" t="s">
        <v>84</v>
      </c>
    </row>
    <row r="6" spans="2:7" ht="15.75" x14ac:dyDescent="0.3">
      <c r="B6" s="353"/>
      <c r="C6" s="43" t="s">
        <v>85</v>
      </c>
      <c r="G6" s="47"/>
    </row>
    <row r="7" spans="2:7" ht="15.75" x14ac:dyDescent="0.3">
      <c r="B7" s="353"/>
      <c r="C7" s="43" t="s">
        <v>86</v>
      </c>
      <c r="G7" s="47"/>
    </row>
    <row r="8" spans="2:7" ht="15.75" x14ac:dyDescent="0.3">
      <c r="B8" s="353"/>
      <c r="C8" s="43" t="s">
        <v>87</v>
      </c>
      <c r="D8" s="38"/>
      <c r="E8" s="38"/>
      <c r="F8" s="38"/>
      <c r="G8" s="48"/>
    </row>
    <row r="9" spans="2:7" ht="15.75" x14ac:dyDescent="0.3">
      <c r="B9" s="353"/>
      <c r="C9" s="44"/>
      <c r="D9" s="33"/>
      <c r="E9" s="33"/>
      <c r="F9" s="33"/>
      <c r="G9" s="49"/>
    </row>
    <row r="10" spans="2:7" x14ac:dyDescent="0.25">
      <c r="B10" s="354"/>
      <c r="C10" s="362" t="s">
        <v>88</v>
      </c>
      <c r="D10" s="363"/>
      <c r="E10" s="363"/>
      <c r="F10" s="363"/>
      <c r="G10" s="364"/>
    </row>
    <row r="11" spans="2:7" ht="15.75" x14ac:dyDescent="0.3">
      <c r="B11" s="354"/>
      <c r="C11" s="45" t="s">
        <v>89</v>
      </c>
      <c r="G11" s="31"/>
    </row>
    <row r="12" spans="2:7" ht="15.75" x14ac:dyDescent="0.3">
      <c r="B12" s="354"/>
      <c r="C12" s="46" t="s">
        <v>90</v>
      </c>
      <c r="D12" s="38"/>
      <c r="E12" s="38"/>
      <c r="F12" s="38"/>
      <c r="G12" s="39"/>
    </row>
    <row r="13" spans="2:7" ht="15.75" x14ac:dyDescent="0.3">
      <c r="B13" s="354"/>
      <c r="C13" s="43"/>
      <c r="D13" s="38"/>
      <c r="E13" s="38"/>
      <c r="F13" s="38"/>
      <c r="G13" s="39"/>
    </row>
    <row r="14" spans="2:7" x14ac:dyDescent="0.25">
      <c r="B14" s="355"/>
      <c r="C14" s="32"/>
      <c r="D14" s="33"/>
      <c r="E14" s="33"/>
      <c r="F14" s="33"/>
      <c r="G14" s="34"/>
    </row>
    <row r="15" spans="2:7" x14ac:dyDescent="0.25">
      <c r="B15" s="356" t="s">
        <v>91</v>
      </c>
      <c r="C15" s="357"/>
      <c r="D15" s="357"/>
      <c r="E15" s="357"/>
      <c r="F15" s="357"/>
      <c r="G15" s="358"/>
    </row>
    <row r="16" spans="2:7" x14ac:dyDescent="0.25">
      <c r="B16" s="359"/>
      <c r="C16" s="360"/>
      <c r="D16" s="360"/>
      <c r="E16" s="360"/>
      <c r="F16" s="360"/>
      <c r="G16" s="361"/>
    </row>
    <row r="17" spans="2:7" ht="15.75" customHeight="1" x14ac:dyDescent="0.25">
      <c r="B17" s="344" t="s">
        <v>81</v>
      </c>
      <c r="C17" s="345"/>
      <c r="D17" s="345"/>
      <c r="E17" s="345"/>
      <c r="F17" s="345"/>
      <c r="G17" s="366">
        <v>1.1200000000000001</v>
      </c>
    </row>
    <row r="18" spans="2:7" x14ac:dyDescent="0.25">
      <c r="B18" s="347"/>
      <c r="C18" s="365"/>
      <c r="D18" s="365"/>
      <c r="E18" s="365"/>
      <c r="F18" s="365"/>
      <c r="G18" s="367"/>
    </row>
    <row r="19" spans="2:7" ht="15.75" customHeight="1" x14ac:dyDescent="0.3">
      <c r="B19" s="368" t="s">
        <v>92</v>
      </c>
      <c r="C19" s="40" t="s">
        <v>93</v>
      </c>
      <c r="D19" s="41"/>
      <c r="E19" s="41"/>
      <c r="F19" s="42"/>
      <c r="G19" s="50"/>
    </row>
    <row r="20" spans="2:7" ht="15.75" customHeight="1" x14ac:dyDescent="0.3">
      <c r="B20" s="353"/>
      <c r="C20" s="43" t="s">
        <v>262</v>
      </c>
      <c r="F20" s="31"/>
      <c r="G20" s="47"/>
    </row>
    <row r="21" spans="2:7" ht="15.75" x14ac:dyDescent="0.3">
      <c r="B21" s="353"/>
      <c r="C21" s="43" t="s">
        <v>94</v>
      </c>
      <c r="D21" s="38"/>
      <c r="E21" s="38"/>
      <c r="F21" s="39"/>
      <c r="G21" s="48"/>
    </row>
    <row r="22" spans="2:7" ht="15.75" customHeight="1" x14ac:dyDescent="0.3">
      <c r="B22" s="353"/>
      <c r="C22" s="43"/>
      <c r="F22" s="31"/>
      <c r="G22" s="47"/>
    </row>
    <row r="23" spans="2:7" ht="15.75" customHeight="1" x14ac:dyDescent="0.3">
      <c r="B23" s="353"/>
      <c r="C23" s="44"/>
      <c r="D23" s="51"/>
      <c r="E23" s="51"/>
      <c r="F23" s="52"/>
      <c r="G23" s="48"/>
    </row>
    <row r="24" spans="2:7" ht="15.75" customHeight="1" x14ac:dyDescent="0.25">
      <c r="B24" s="354"/>
      <c r="C24" s="362" t="s">
        <v>88</v>
      </c>
      <c r="D24" s="363"/>
      <c r="E24" s="363"/>
      <c r="F24" s="363"/>
      <c r="G24" s="364"/>
    </row>
    <row r="25" spans="2:7" ht="15.75" customHeight="1" x14ac:dyDescent="0.3">
      <c r="B25" s="354"/>
      <c r="C25" s="43" t="s">
        <v>95</v>
      </c>
      <c r="D25" s="38"/>
      <c r="E25" s="38"/>
      <c r="F25" s="38"/>
      <c r="G25" s="39"/>
    </row>
    <row r="26" spans="2:7" ht="15.75" customHeight="1" x14ac:dyDescent="0.3">
      <c r="B26" s="354"/>
      <c r="C26" s="43" t="s">
        <v>96</v>
      </c>
      <c r="G26" s="31"/>
    </row>
    <row r="27" spans="2:7" ht="15.75" customHeight="1" x14ac:dyDescent="0.25">
      <c r="B27" s="369"/>
      <c r="C27" s="32"/>
      <c r="D27" s="33"/>
      <c r="E27" s="33"/>
      <c r="F27" s="33"/>
      <c r="G27" s="34"/>
    </row>
    <row r="28" spans="2:7" ht="15.75" customHeight="1" x14ac:dyDescent="0.25">
      <c r="B28" s="328" t="s">
        <v>97</v>
      </c>
      <c r="C28" s="329"/>
      <c r="D28" s="329"/>
      <c r="E28" s="328" t="s">
        <v>98</v>
      </c>
      <c r="F28" s="329"/>
      <c r="G28" s="332"/>
    </row>
    <row r="29" spans="2:7" ht="15.75" customHeight="1" x14ac:dyDescent="0.25">
      <c r="B29" s="330"/>
      <c r="C29" s="331"/>
      <c r="D29" s="331"/>
      <c r="E29" s="330"/>
      <c r="F29" s="331"/>
      <c r="G29" s="333"/>
    </row>
    <row r="30" spans="2:7" ht="15.75" customHeight="1" x14ac:dyDescent="0.25">
      <c r="B30" s="35"/>
      <c r="C30" s="36"/>
      <c r="D30" s="37"/>
      <c r="E30" s="35"/>
      <c r="F30" s="36"/>
      <c r="G30" s="37"/>
    </row>
    <row r="31" spans="2:7" ht="15.75" customHeight="1" x14ac:dyDescent="0.3">
      <c r="B31" s="30"/>
      <c r="C31" s="38"/>
      <c r="D31" s="31"/>
      <c r="E31" s="325" t="s">
        <v>99</v>
      </c>
      <c r="F31" s="326"/>
      <c r="G31" s="327"/>
    </row>
    <row r="32" spans="2:7" ht="15.75" customHeight="1" x14ac:dyDescent="0.25">
      <c r="B32" s="30"/>
      <c r="D32" s="31"/>
      <c r="E32" s="30"/>
      <c r="G32" s="31"/>
    </row>
    <row r="33" spans="2:7" ht="15.75" customHeight="1" x14ac:dyDescent="0.25">
      <c r="B33" s="30"/>
      <c r="D33" s="31"/>
      <c r="E33" s="30"/>
      <c r="F33" s="54"/>
      <c r="G33" s="31"/>
    </row>
    <row r="34" spans="2:7" ht="15.75" customHeight="1" x14ac:dyDescent="0.25">
      <c r="B34" s="30"/>
      <c r="D34" s="31"/>
      <c r="E34" s="30"/>
      <c r="G34" s="31"/>
    </row>
    <row r="35" spans="2:7" ht="15.75" customHeight="1" x14ac:dyDescent="0.25">
      <c r="B35" s="30"/>
      <c r="D35" s="31"/>
      <c r="E35" s="30"/>
      <c r="G35" s="31"/>
    </row>
    <row r="36" spans="2:7" ht="15.75" customHeight="1" x14ac:dyDescent="0.25">
      <c r="B36" s="30"/>
      <c r="D36" s="31"/>
      <c r="E36" s="30"/>
      <c r="G36" s="31"/>
    </row>
    <row r="37" spans="2:7" ht="15.75" customHeight="1" x14ac:dyDescent="0.25">
      <c r="B37" s="30"/>
      <c r="D37" s="31"/>
      <c r="E37" s="30"/>
      <c r="G37" s="31"/>
    </row>
    <row r="38" spans="2:7" ht="15.75" customHeight="1" x14ac:dyDescent="0.25">
      <c r="B38" s="30"/>
      <c r="D38" s="31"/>
      <c r="E38" s="30"/>
      <c r="G38" s="31"/>
    </row>
    <row r="39" spans="2:7" ht="15.75" customHeight="1" x14ac:dyDescent="0.25">
      <c r="B39" s="30"/>
      <c r="D39" s="31"/>
      <c r="E39" s="30"/>
      <c r="G39" s="31"/>
    </row>
    <row r="40" spans="2:7" ht="15.75" customHeight="1" x14ac:dyDescent="0.25">
      <c r="B40" s="30"/>
      <c r="D40" s="31"/>
      <c r="E40" s="30"/>
      <c r="G40" s="31"/>
    </row>
    <row r="41" spans="2:7" ht="15.75" customHeight="1" x14ac:dyDescent="0.25">
      <c r="B41" s="30"/>
      <c r="D41" s="31"/>
      <c r="E41" s="30"/>
      <c r="G41" s="31"/>
    </row>
    <row r="42" spans="2:7" ht="15.75" customHeight="1" x14ac:dyDescent="0.25">
      <c r="B42" s="30"/>
      <c r="D42" s="31"/>
      <c r="E42" s="30"/>
      <c r="G42" s="31"/>
    </row>
    <row r="43" spans="2:7" ht="15.75" customHeight="1" x14ac:dyDescent="0.25">
      <c r="B43" s="30"/>
      <c r="D43" s="31"/>
      <c r="E43" s="30"/>
      <c r="G43" s="31"/>
    </row>
    <row r="44" spans="2:7" ht="15.75" customHeight="1" x14ac:dyDescent="0.25">
      <c r="B44" s="30"/>
      <c r="D44" s="31"/>
      <c r="E44" s="30"/>
      <c r="G44" s="31"/>
    </row>
    <row r="45" spans="2:7" ht="15.75" customHeight="1" x14ac:dyDescent="0.25">
      <c r="B45" s="30"/>
      <c r="D45" s="31"/>
      <c r="E45" s="30"/>
      <c r="G45" s="31"/>
    </row>
    <row r="46" spans="2:7" ht="15.75" customHeight="1" x14ac:dyDescent="0.25">
      <c r="B46" s="30"/>
      <c r="D46" s="31"/>
      <c r="E46" s="30"/>
      <c r="G46" s="31"/>
    </row>
    <row r="47" spans="2:7" x14ac:dyDescent="0.25">
      <c r="B47" s="32"/>
      <c r="C47" s="33"/>
      <c r="D47" s="34"/>
      <c r="E47" s="32"/>
      <c r="F47" s="33"/>
      <c r="G47" s="34"/>
    </row>
  </sheetData>
  <mergeCells count="15">
    <mergeCell ref="E31:G31"/>
    <mergeCell ref="B28:D29"/>
    <mergeCell ref="E28:G29"/>
    <mergeCell ref="G1:G2"/>
    <mergeCell ref="E1:F2"/>
    <mergeCell ref="B1:D2"/>
    <mergeCell ref="B3:F4"/>
    <mergeCell ref="G3:G4"/>
    <mergeCell ref="B5:B14"/>
    <mergeCell ref="B15:G16"/>
    <mergeCell ref="C10:G10"/>
    <mergeCell ref="B17:F18"/>
    <mergeCell ref="G17:G18"/>
    <mergeCell ref="B19:B27"/>
    <mergeCell ref="C24:G24"/>
  </mergeCells>
  <phoneticPr fontId="24" type="noConversion"/>
  <pageMargins left="0.25" right="0.25" top="0.75" bottom="0.75" header="0.3" footer="0.3"/>
  <pageSetup paperSize="9" orientation="portrait" r:id="rId1"/>
  <headerFooter>
    <oddFooter>&amp;R&amp;"Century Gothic,Standard"&amp;9itm I &amp;D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89FD0-873A-42C1-AEE6-99D5065C32D1}">
  <dimension ref="B1:G49"/>
  <sheetViews>
    <sheetView showWhiteSpace="0" view="pageLayout" zoomScaleNormal="100" workbookViewId="0">
      <selection activeCell="G3" sqref="G3:G4"/>
    </sheetView>
  </sheetViews>
  <sheetFormatPr baseColWidth="10" defaultColWidth="11.42578125" defaultRowHeight="15" x14ac:dyDescent="0.25"/>
  <cols>
    <col min="1" max="1" width="4.85546875" customWidth="1"/>
    <col min="2" max="2" width="10" customWidth="1"/>
    <col min="3" max="7" width="16.28515625" customWidth="1"/>
  </cols>
  <sheetData>
    <row r="1" spans="2:7" ht="15" customHeight="1" x14ac:dyDescent="0.25">
      <c r="B1" s="340" t="s">
        <v>80</v>
      </c>
      <c r="C1" s="341"/>
      <c r="D1" s="341"/>
      <c r="E1" s="336">
        <f>Kompetenzraster!Q7</f>
        <v>46255</v>
      </c>
      <c r="F1" s="337"/>
      <c r="G1" s="334">
        <v>2</v>
      </c>
    </row>
    <row r="2" spans="2:7" ht="15" customHeight="1" x14ac:dyDescent="0.25">
      <c r="B2" s="342"/>
      <c r="C2" s="343"/>
      <c r="D2" s="343"/>
      <c r="E2" s="338"/>
      <c r="F2" s="339"/>
      <c r="G2" s="335"/>
    </row>
    <row r="3" spans="2:7" ht="15" customHeight="1" x14ac:dyDescent="0.25">
      <c r="B3" s="370" t="s">
        <v>21</v>
      </c>
      <c r="C3" s="371"/>
      <c r="D3" s="371"/>
      <c r="E3" s="371"/>
      <c r="F3" s="372"/>
      <c r="G3" s="376">
        <v>1.4</v>
      </c>
    </row>
    <row r="4" spans="2:7" ht="15" customHeight="1" x14ac:dyDescent="0.25">
      <c r="B4" s="373"/>
      <c r="C4" s="374"/>
      <c r="D4" s="374"/>
      <c r="E4" s="374"/>
      <c r="F4" s="375"/>
      <c r="G4" s="377"/>
    </row>
    <row r="5" spans="2:7" ht="15.75" customHeight="1" x14ac:dyDescent="0.3">
      <c r="B5" s="378" t="s">
        <v>82</v>
      </c>
      <c r="C5" s="95" t="s">
        <v>100</v>
      </c>
      <c r="D5" s="41"/>
      <c r="E5" s="41"/>
      <c r="F5" s="42"/>
      <c r="G5" s="50" t="s">
        <v>84</v>
      </c>
    </row>
    <row r="6" spans="2:7" ht="15.75" x14ac:dyDescent="0.3">
      <c r="B6" s="379"/>
      <c r="C6" s="43" t="s">
        <v>101</v>
      </c>
      <c r="D6" s="63"/>
      <c r="E6" s="63"/>
      <c r="F6" s="96"/>
      <c r="G6" s="47"/>
    </row>
    <row r="7" spans="2:7" x14ac:dyDescent="0.25">
      <c r="B7" s="379"/>
      <c r="C7" s="97" t="s">
        <v>102</v>
      </c>
      <c r="D7" s="63"/>
      <c r="E7" s="63"/>
      <c r="F7" s="96"/>
      <c r="G7" s="47"/>
    </row>
    <row r="8" spans="2:7" ht="15.75" x14ac:dyDescent="0.3">
      <c r="B8" s="379"/>
      <c r="C8" s="43" t="s">
        <v>103</v>
      </c>
      <c r="D8" s="38"/>
      <c r="E8" s="38"/>
      <c r="F8" s="39"/>
      <c r="G8" s="48"/>
    </row>
    <row r="9" spans="2:7" ht="15.75" x14ac:dyDescent="0.3">
      <c r="B9" s="379"/>
      <c r="C9" s="43" t="s">
        <v>104</v>
      </c>
      <c r="D9" s="38"/>
      <c r="E9" s="38"/>
      <c r="F9" s="39"/>
      <c r="G9" s="47"/>
    </row>
    <row r="10" spans="2:7" ht="15.75" x14ac:dyDescent="0.3">
      <c r="B10" s="379"/>
      <c r="C10" s="43" t="s">
        <v>105</v>
      </c>
      <c r="F10" s="31"/>
      <c r="G10" s="47"/>
    </row>
    <row r="11" spans="2:7" x14ac:dyDescent="0.25">
      <c r="B11" s="379"/>
      <c r="C11" s="32"/>
      <c r="D11" s="33"/>
      <c r="E11" s="33"/>
      <c r="F11" s="34"/>
      <c r="G11" s="49"/>
    </row>
    <row r="12" spans="2:7" x14ac:dyDescent="0.25">
      <c r="B12" s="380"/>
      <c r="C12" s="362" t="s">
        <v>88</v>
      </c>
      <c r="D12" s="363"/>
      <c r="E12" s="363"/>
      <c r="F12" s="363"/>
      <c r="G12" s="364"/>
    </row>
    <row r="13" spans="2:7" ht="15.75" x14ac:dyDescent="0.3">
      <c r="B13" s="380"/>
      <c r="C13" s="43" t="s">
        <v>106</v>
      </c>
      <c r="D13" s="63"/>
      <c r="E13" s="63"/>
      <c r="F13" s="63"/>
      <c r="G13" s="31"/>
    </row>
    <row r="14" spans="2:7" ht="15" customHeight="1" x14ac:dyDescent="0.3">
      <c r="B14" s="381"/>
      <c r="C14" s="38" t="s">
        <v>107</v>
      </c>
      <c r="D14" s="38"/>
      <c r="E14" s="38"/>
      <c r="F14" s="38"/>
      <c r="G14" s="39"/>
    </row>
    <row r="15" spans="2:7" ht="15" customHeight="1" x14ac:dyDescent="0.25">
      <c r="B15" s="356" t="s">
        <v>91</v>
      </c>
      <c r="C15" s="357"/>
      <c r="D15" s="357"/>
      <c r="E15" s="357"/>
      <c r="F15" s="357"/>
      <c r="G15" s="358"/>
    </row>
    <row r="16" spans="2:7" ht="15" customHeight="1" x14ac:dyDescent="0.25">
      <c r="B16" s="359"/>
      <c r="C16" s="360"/>
      <c r="D16" s="360"/>
      <c r="E16" s="360"/>
      <c r="F16" s="360"/>
      <c r="G16" s="361"/>
    </row>
    <row r="17" spans="2:7" ht="15" customHeight="1" x14ac:dyDescent="0.25">
      <c r="B17" s="382" t="s">
        <v>23</v>
      </c>
      <c r="C17" s="383"/>
      <c r="D17" s="383"/>
      <c r="E17" s="383"/>
      <c r="F17" s="383"/>
      <c r="G17" s="386">
        <v>1.1000000000000001</v>
      </c>
    </row>
    <row r="18" spans="2:7" ht="15" customHeight="1" x14ac:dyDescent="0.25">
      <c r="B18" s="384"/>
      <c r="C18" s="385"/>
      <c r="D18" s="385"/>
      <c r="E18" s="385"/>
      <c r="F18" s="385"/>
      <c r="G18" s="387"/>
    </row>
    <row r="19" spans="2:7" ht="15.75" customHeight="1" x14ac:dyDescent="0.3">
      <c r="B19" s="388" t="s">
        <v>92</v>
      </c>
      <c r="C19" s="95" t="s">
        <v>108</v>
      </c>
      <c r="D19" s="41"/>
      <c r="E19" s="41"/>
      <c r="F19" s="42"/>
      <c r="G19" s="53" t="s">
        <v>84</v>
      </c>
    </row>
    <row r="20" spans="2:7" ht="15.75" x14ac:dyDescent="0.3">
      <c r="B20" s="389"/>
      <c r="C20" s="43" t="s">
        <v>109</v>
      </c>
      <c r="D20" s="63"/>
      <c r="E20" s="63"/>
      <c r="F20" s="31"/>
      <c r="G20" s="31"/>
    </row>
    <row r="21" spans="2:7" ht="15.75" x14ac:dyDescent="0.3">
      <c r="B21" s="390"/>
      <c r="C21" s="43" t="s">
        <v>110</v>
      </c>
      <c r="F21" s="31"/>
      <c r="G21" s="31"/>
    </row>
    <row r="22" spans="2:7" ht="15.75" x14ac:dyDescent="0.3">
      <c r="B22" s="390"/>
      <c r="C22" s="43" t="s">
        <v>111</v>
      </c>
      <c r="F22" s="31"/>
      <c r="G22" s="39"/>
    </row>
    <row r="23" spans="2:7" ht="15.75" x14ac:dyDescent="0.3">
      <c r="B23" s="390"/>
      <c r="C23" s="44"/>
      <c r="D23" s="51"/>
      <c r="E23" s="51"/>
      <c r="F23" s="52"/>
      <c r="G23" s="34"/>
    </row>
    <row r="24" spans="2:7" x14ac:dyDescent="0.25">
      <c r="B24" s="391"/>
      <c r="C24" s="393" t="s">
        <v>88</v>
      </c>
      <c r="D24" s="394"/>
      <c r="E24" s="394"/>
      <c r="F24" s="394"/>
      <c r="G24" s="364"/>
    </row>
    <row r="25" spans="2:7" ht="15.75" x14ac:dyDescent="0.3">
      <c r="B25" s="391"/>
      <c r="C25" s="43" t="s">
        <v>112</v>
      </c>
      <c r="D25" s="38"/>
      <c r="E25" s="38"/>
      <c r="F25" s="38"/>
      <c r="G25" s="39"/>
    </row>
    <row r="26" spans="2:7" ht="15.75" x14ac:dyDescent="0.3">
      <c r="B26" s="391"/>
      <c r="C26" s="43" t="s">
        <v>113</v>
      </c>
      <c r="G26" s="31"/>
    </row>
    <row r="27" spans="2:7" x14ac:dyDescent="0.25">
      <c r="B27" s="392"/>
      <c r="C27" s="32"/>
      <c r="D27" s="33"/>
      <c r="E27" s="33"/>
      <c r="F27" s="33"/>
      <c r="G27" s="34"/>
    </row>
    <row r="28" spans="2:7" ht="15" customHeight="1" x14ac:dyDescent="0.25">
      <c r="B28" s="328" t="s">
        <v>97</v>
      </c>
      <c r="C28" s="329"/>
      <c r="D28" s="329"/>
      <c r="E28" s="328" t="s">
        <v>98</v>
      </c>
      <c r="F28" s="329"/>
      <c r="G28" s="332"/>
    </row>
    <row r="29" spans="2:7" ht="15" customHeight="1" x14ac:dyDescent="0.25">
      <c r="B29" s="330"/>
      <c r="C29" s="331"/>
      <c r="D29" s="331"/>
      <c r="E29" s="330"/>
      <c r="F29" s="331"/>
      <c r="G29" s="333"/>
    </row>
    <row r="30" spans="2:7" x14ac:dyDescent="0.25">
      <c r="B30" s="35"/>
      <c r="C30" s="36"/>
      <c r="D30" s="37"/>
      <c r="E30" s="35"/>
      <c r="F30" s="36"/>
      <c r="G30" s="37"/>
    </row>
    <row r="31" spans="2:7" ht="15.75" x14ac:dyDescent="0.3">
      <c r="B31" s="30"/>
      <c r="C31" s="57"/>
      <c r="D31" s="56"/>
      <c r="E31" s="30"/>
      <c r="G31" s="31"/>
    </row>
    <row r="32" spans="2:7" x14ac:dyDescent="0.25">
      <c r="B32" s="30"/>
      <c r="D32" s="31"/>
      <c r="E32" s="30"/>
      <c r="G32" s="31"/>
    </row>
    <row r="33" spans="2:7" x14ac:dyDescent="0.25">
      <c r="B33" s="30"/>
      <c r="D33" s="31"/>
      <c r="E33" s="30"/>
      <c r="G33" s="31"/>
    </row>
    <row r="34" spans="2:7" x14ac:dyDescent="0.25">
      <c r="B34" s="30"/>
      <c r="D34" s="31"/>
      <c r="E34" s="30"/>
      <c r="G34" s="31"/>
    </row>
    <row r="35" spans="2:7" x14ac:dyDescent="0.25">
      <c r="B35" s="30"/>
      <c r="D35" s="31"/>
      <c r="E35" s="30"/>
      <c r="G35" s="31"/>
    </row>
    <row r="36" spans="2:7" x14ac:dyDescent="0.25">
      <c r="B36" s="30"/>
      <c r="D36" s="31"/>
      <c r="E36" s="30"/>
      <c r="G36" s="31"/>
    </row>
    <row r="37" spans="2:7" x14ac:dyDescent="0.25">
      <c r="B37" s="30"/>
      <c r="D37" s="31"/>
      <c r="E37" s="30"/>
      <c r="G37" s="31"/>
    </row>
    <row r="38" spans="2:7" x14ac:dyDescent="0.25">
      <c r="B38" s="30"/>
      <c r="D38" s="31"/>
      <c r="E38" s="30"/>
      <c r="G38" s="31"/>
    </row>
    <row r="39" spans="2:7" x14ac:dyDescent="0.25">
      <c r="B39" s="30"/>
      <c r="D39" s="31"/>
      <c r="E39" s="30"/>
      <c r="G39" s="31"/>
    </row>
    <row r="40" spans="2:7" x14ac:dyDescent="0.25">
      <c r="B40" s="30"/>
      <c r="D40" s="31"/>
      <c r="E40" s="30"/>
      <c r="G40" s="31"/>
    </row>
    <row r="41" spans="2:7" x14ac:dyDescent="0.25">
      <c r="B41" s="30"/>
      <c r="D41" s="31"/>
      <c r="E41" s="30"/>
      <c r="G41" s="31"/>
    </row>
    <row r="42" spans="2:7" x14ac:dyDescent="0.25">
      <c r="B42" s="30"/>
      <c r="D42" s="31"/>
      <c r="E42" s="30"/>
      <c r="G42" s="31"/>
    </row>
    <row r="43" spans="2:7" x14ac:dyDescent="0.25">
      <c r="B43" s="30"/>
      <c r="D43" s="31"/>
      <c r="E43" s="30"/>
      <c r="G43" s="31"/>
    </row>
    <row r="44" spans="2:7" x14ac:dyDescent="0.25">
      <c r="B44" s="30"/>
      <c r="D44" s="31"/>
      <c r="E44" s="30"/>
      <c r="G44" s="31"/>
    </row>
    <row r="45" spans="2:7" x14ac:dyDescent="0.25">
      <c r="B45" s="30"/>
      <c r="D45" s="31"/>
      <c r="E45" s="30"/>
      <c r="G45" s="31"/>
    </row>
    <row r="46" spans="2:7" x14ac:dyDescent="0.25">
      <c r="B46" s="30"/>
      <c r="D46" s="31"/>
      <c r="E46" s="30"/>
      <c r="G46" s="31"/>
    </row>
    <row r="47" spans="2:7" x14ac:dyDescent="0.25">
      <c r="B47" s="30"/>
      <c r="D47" s="31"/>
      <c r="E47" s="30"/>
      <c r="G47" s="31"/>
    </row>
    <row r="48" spans="2:7" x14ac:dyDescent="0.25">
      <c r="B48" s="30"/>
      <c r="D48" s="31"/>
      <c r="E48" s="30"/>
      <c r="G48" s="31"/>
    </row>
    <row r="49" spans="2:7" x14ac:dyDescent="0.25">
      <c r="B49" s="32"/>
      <c r="C49" s="33"/>
      <c r="D49" s="34"/>
      <c r="E49" s="32"/>
      <c r="F49" s="33"/>
      <c r="G49" s="34"/>
    </row>
  </sheetData>
  <mergeCells count="14">
    <mergeCell ref="B28:D29"/>
    <mergeCell ref="E28:G29"/>
    <mergeCell ref="B1:D2"/>
    <mergeCell ref="E1:F2"/>
    <mergeCell ref="G1:G2"/>
    <mergeCell ref="B3:F4"/>
    <mergeCell ref="G3:G4"/>
    <mergeCell ref="B5:B14"/>
    <mergeCell ref="C12:G12"/>
    <mergeCell ref="B15:G16"/>
    <mergeCell ref="B17:F18"/>
    <mergeCell ref="G17:G18"/>
    <mergeCell ref="B19:B27"/>
    <mergeCell ref="C24:G24"/>
  </mergeCells>
  <pageMargins left="0.25" right="0.25" top="0.75" bottom="0.75" header="0.3" footer="0.3"/>
  <pageSetup paperSize="9" orientation="portrait" r:id="rId1"/>
  <headerFooter>
    <oddFooter>&amp;R&amp;"Century Gothic,Standard"&amp;9itm I &amp;D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905A3-526B-402B-A3C2-C79876443044}">
  <dimension ref="B1:G50"/>
  <sheetViews>
    <sheetView showWhiteSpace="0" view="pageLayout" zoomScaleNormal="100" workbookViewId="0">
      <selection activeCell="C12" sqref="C12"/>
    </sheetView>
  </sheetViews>
  <sheetFormatPr baseColWidth="10" defaultColWidth="11.42578125" defaultRowHeight="15" x14ac:dyDescent="0.25"/>
  <cols>
    <col min="1" max="1" width="4.85546875" customWidth="1"/>
    <col min="2" max="2" width="10" customWidth="1"/>
    <col min="3" max="7" width="16.28515625" customWidth="1"/>
  </cols>
  <sheetData>
    <row r="1" spans="2:7" x14ac:dyDescent="0.25">
      <c r="B1" s="340" t="s">
        <v>80</v>
      </c>
      <c r="C1" s="341"/>
      <c r="D1" s="341"/>
      <c r="E1" s="336">
        <f>Kompetenzraster!Q9</f>
        <v>46262</v>
      </c>
      <c r="F1" s="337"/>
      <c r="G1" s="334">
        <v>3</v>
      </c>
    </row>
    <row r="2" spans="2:7" x14ac:dyDescent="0.25">
      <c r="B2" s="342"/>
      <c r="C2" s="343"/>
      <c r="D2" s="343"/>
      <c r="E2" s="338"/>
      <c r="F2" s="339"/>
      <c r="G2" s="335"/>
    </row>
    <row r="3" spans="2:7" x14ac:dyDescent="0.25">
      <c r="B3" s="370" t="s">
        <v>21</v>
      </c>
      <c r="C3" s="371"/>
      <c r="D3" s="371"/>
      <c r="E3" s="371"/>
      <c r="F3" s="372"/>
      <c r="G3" s="376">
        <v>1.4</v>
      </c>
    </row>
    <row r="4" spans="2:7" x14ac:dyDescent="0.25">
      <c r="B4" s="373"/>
      <c r="C4" s="374"/>
      <c r="D4" s="374"/>
      <c r="E4" s="374"/>
      <c r="F4" s="375"/>
      <c r="G4" s="400"/>
    </row>
    <row r="5" spans="2:7" ht="15.75" x14ac:dyDescent="0.3">
      <c r="B5" s="401" t="s">
        <v>82</v>
      </c>
      <c r="C5" s="40" t="s">
        <v>282</v>
      </c>
      <c r="D5" s="36"/>
      <c r="E5" s="36"/>
      <c r="F5" s="37"/>
      <c r="G5" s="53" t="s">
        <v>84</v>
      </c>
    </row>
    <row r="6" spans="2:7" x14ac:dyDescent="0.25">
      <c r="B6" s="379"/>
      <c r="C6" s="30"/>
      <c r="F6" s="31"/>
      <c r="G6" s="31"/>
    </row>
    <row r="7" spans="2:7" x14ac:dyDescent="0.25">
      <c r="B7" s="379"/>
      <c r="C7" s="97" t="s">
        <v>114</v>
      </c>
      <c r="F7" s="31"/>
      <c r="G7" s="31"/>
    </row>
    <row r="8" spans="2:7" ht="15.75" x14ac:dyDescent="0.3">
      <c r="B8" s="379"/>
      <c r="C8" s="43" t="s">
        <v>115</v>
      </c>
      <c r="D8" s="38"/>
      <c r="F8" s="31"/>
      <c r="G8" s="31"/>
    </row>
    <row r="9" spans="2:7" ht="15.75" x14ac:dyDescent="0.3">
      <c r="B9" s="379"/>
      <c r="C9" s="43" t="s">
        <v>116</v>
      </c>
      <c r="E9" s="38"/>
      <c r="F9" s="39"/>
      <c r="G9" s="39"/>
    </row>
    <row r="10" spans="2:7" ht="15.75" x14ac:dyDescent="0.3">
      <c r="B10" s="379"/>
      <c r="C10" s="43" t="s">
        <v>117</v>
      </c>
      <c r="E10" s="38"/>
      <c r="F10" s="39"/>
      <c r="G10" s="39"/>
    </row>
    <row r="11" spans="2:7" ht="15.75" x14ac:dyDescent="0.3">
      <c r="B11" s="379"/>
      <c r="C11" s="125" t="s">
        <v>285</v>
      </c>
      <c r="D11" s="126"/>
      <c r="E11" s="127"/>
      <c r="F11" s="128"/>
      <c r="G11" s="39"/>
    </row>
    <row r="12" spans="2:7" x14ac:dyDescent="0.25">
      <c r="B12" s="379"/>
      <c r="C12" s="97" t="s">
        <v>120</v>
      </c>
      <c r="F12" s="31"/>
      <c r="G12" s="31"/>
    </row>
    <row r="13" spans="2:7" ht="15.75" x14ac:dyDescent="0.3">
      <c r="B13" s="379"/>
      <c r="C13" s="43" t="s">
        <v>283</v>
      </c>
      <c r="F13" s="31"/>
      <c r="G13" s="31"/>
    </row>
    <row r="14" spans="2:7" x14ac:dyDescent="0.25">
      <c r="B14" s="379"/>
      <c r="C14" s="32"/>
      <c r="D14" s="33"/>
      <c r="E14" s="33"/>
      <c r="F14" s="34"/>
      <c r="G14" s="34"/>
    </row>
    <row r="15" spans="2:7" x14ac:dyDescent="0.25">
      <c r="B15" s="380"/>
      <c r="C15" s="363" t="s">
        <v>88</v>
      </c>
      <c r="D15" s="363"/>
      <c r="E15" s="363"/>
      <c r="F15" s="363"/>
      <c r="G15" s="402"/>
    </row>
    <row r="16" spans="2:7" ht="15.75" x14ac:dyDescent="0.3">
      <c r="B16" s="380"/>
      <c r="C16" s="38" t="s">
        <v>118</v>
      </c>
      <c r="G16" s="31"/>
    </row>
    <row r="17" spans="2:7" ht="15.75" x14ac:dyDescent="0.3">
      <c r="B17" s="380"/>
      <c r="C17" s="38" t="s">
        <v>119</v>
      </c>
      <c r="D17" s="38"/>
      <c r="E17" s="38"/>
      <c r="F17" s="38"/>
      <c r="G17" s="39"/>
    </row>
    <row r="18" spans="2:7" x14ac:dyDescent="0.25">
      <c r="B18" s="381"/>
      <c r="C18" s="33"/>
      <c r="D18" s="33"/>
      <c r="E18" s="33"/>
      <c r="F18" s="33"/>
      <c r="G18" s="34"/>
    </row>
    <row r="19" spans="2:7" x14ac:dyDescent="0.25">
      <c r="B19" s="356" t="s">
        <v>91</v>
      </c>
      <c r="C19" s="357"/>
      <c r="D19" s="357"/>
      <c r="E19" s="357"/>
      <c r="F19" s="357"/>
      <c r="G19" s="358"/>
    </row>
    <row r="20" spans="2:7" x14ac:dyDescent="0.25">
      <c r="B20" s="359"/>
      <c r="C20" s="360"/>
      <c r="D20" s="360"/>
      <c r="E20" s="360"/>
      <c r="F20" s="360"/>
      <c r="G20" s="361"/>
    </row>
    <row r="21" spans="2:7" ht="15" customHeight="1" x14ac:dyDescent="0.25">
      <c r="B21" s="382" t="s">
        <v>23</v>
      </c>
      <c r="C21" s="383"/>
      <c r="D21" s="383"/>
      <c r="E21" s="383"/>
      <c r="F21" s="383"/>
      <c r="G21" s="386">
        <v>1.1000000000000001</v>
      </c>
    </row>
    <row r="22" spans="2:7" ht="15" customHeight="1" x14ac:dyDescent="0.25">
      <c r="B22" s="384"/>
      <c r="C22" s="385"/>
      <c r="D22" s="385"/>
      <c r="E22" s="385"/>
      <c r="F22" s="385"/>
      <c r="G22" s="387"/>
    </row>
    <row r="23" spans="2:7" ht="15.75" customHeight="1" x14ac:dyDescent="0.3">
      <c r="B23" s="388" t="s">
        <v>92</v>
      </c>
      <c r="C23" s="95" t="s">
        <v>120</v>
      </c>
      <c r="D23" s="41"/>
      <c r="E23" s="41"/>
      <c r="F23" s="42"/>
      <c r="G23" s="53" t="s">
        <v>84</v>
      </c>
    </row>
    <row r="24" spans="2:7" ht="15.75" x14ac:dyDescent="0.3">
      <c r="B24" s="390"/>
      <c r="C24" s="43" t="s">
        <v>121</v>
      </c>
      <c r="F24" s="31"/>
      <c r="G24" s="31"/>
    </row>
    <row r="25" spans="2:7" ht="15.75" x14ac:dyDescent="0.3">
      <c r="B25" s="390"/>
      <c r="C25" s="43"/>
      <c r="F25" s="31"/>
      <c r="G25" s="31"/>
    </row>
    <row r="26" spans="2:7" x14ac:dyDescent="0.25">
      <c r="B26" s="390"/>
      <c r="C26" s="97" t="s">
        <v>122</v>
      </c>
      <c r="F26" s="31"/>
      <c r="G26" s="31"/>
    </row>
    <row r="27" spans="2:7" ht="15.75" x14ac:dyDescent="0.3">
      <c r="B27" s="390"/>
      <c r="C27" s="43" t="s">
        <v>123</v>
      </c>
      <c r="F27" s="31"/>
      <c r="G27" s="31"/>
    </row>
    <row r="28" spans="2:7" ht="15.75" x14ac:dyDescent="0.3">
      <c r="B28" s="390"/>
      <c r="C28" s="30"/>
      <c r="F28" s="31"/>
      <c r="G28" s="39"/>
    </row>
    <row r="29" spans="2:7" ht="15.75" x14ac:dyDescent="0.3">
      <c r="B29" s="390"/>
      <c r="C29" s="123" t="s">
        <v>284</v>
      </c>
      <c r="D29" s="124"/>
      <c r="E29" s="124"/>
      <c r="F29" s="52"/>
      <c r="G29" s="31"/>
    </row>
    <row r="30" spans="2:7" x14ac:dyDescent="0.25">
      <c r="B30" s="391"/>
      <c r="C30" s="393" t="s">
        <v>88</v>
      </c>
      <c r="D30" s="394"/>
      <c r="E30" s="394"/>
      <c r="F30" s="394"/>
      <c r="G30" s="364"/>
    </row>
    <row r="31" spans="2:7" ht="15.75" x14ac:dyDescent="0.3">
      <c r="B31" s="391"/>
      <c r="C31" s="43" t="s">
        <v>124</v>
      </c>
      <c r="D31" s="38"/>
      <c r="E31" s="38"/>
      <c r="F31" s="38"/>
      <c r="G31" s="39"/>
    </row>
    <row r="32" spans="2:7" ht="15.75" x14ac:dyDescent="0.3">
      <c r="B32" s="391"/>
      <c r="C32" s="43"/>
      <c r="G32" s="31"/>
    </row>
    <row r="33" spans="2:7" x14ac:dyDescent="0.25">
      <c r="B33" s="392"/>
      <c r="C33" s="32"/>
      <c r="D33" s="33"/>
      <c r="E33" s="33"/>
      <c r="F33" s="33"/>
      <c r="G33" s="34"/>
    </row>
    <row r="34" spans="2:7" x14ac:dyDescent="0.25">
      <c r="B34" s="328" t="s">
        <v>97</v>
      </c>
      <c r="C34" s="395"/>
      <c r="D34" s="395"/>
      <c r="E34" s="395"/>
      <c r="F34" s="395"/>
      <c r="G34" s="396"/>
    </row>
    <row r="35" spans="2:7" x14ac:dyDescent="0.25">
      <c r="B35" s="397"/>
      <c r="C35" s="398"/>
      <c r="D35" s="398"/>
      <c r="E35" s="398"/>
      <c r="F35" s="398"/>
      <c r="G35" s="399"/>
    </row>
    <row r="36" spans="2:7" x14ac:dyDescent="0.25">
      <c r="B36" s="35"/>
      <c r="C36" s="36"/>
      <c r="D36" s="37"/>
      <c r="E36" s="35"/>
      <c r="F36" s="36"/>
      <c r="G36" s="37"/>
    </row>
    <row r="37" spans="2:7" x14ac:dyDescent="0.25">
      <c r="B37" s="30"/>
      <c r="D37" s="31"/>
      <c r="E37" s="30"/>
      <c r="G37" s="31"/>
    </row>
    <row r="38" spans="2:7" x14ac:dyDescent="0.25">
      <c r="B38" s="30"/>
      <c r="D38" s="31"/>
      <c r="E38" s="30"/>
      <c r="G38" s="31"/>
    </row>
    <row r="39" spans="2:7" x14ac:dyDescent="0.25">
      <c r="B39" s="30"/>
      <c r="D39" s="31"/>
      <c r="E39" s="30"/>
      <c r="G39" s="31"/>
    </row>
    <row r="40" spans="2:7" x14ac:dyDescent="0.25">
      <c r="B40" s="30"/>
      <c r="D40" s="31"/>
      <c r="E40" s="30"/>
      <c r="G40" s="31"/>
    </row>
    <row r="41" spans="2:7" x14ac:dyDescent="0.25">
      <c r="B41" s="30"/>
      <c r="D41" s="31"/>
      <c r="E41" s="30"/>
      <c r="G41" s="31"/>
    </row>
    <row r="42" spans="2:7" x14ac:dyDescent="0.25">
      <c r="B42" s="30"/>
      <c r="D42" s="31"/>
      <c r="E42" s="30"/>
      <c r="G42" s="31"/>
    </row>
    <row r="43" spans="2:7" x14ac:dyDescent="0.25">
      <c r="B43" s="30"/>
      <c r="D43" s="31"/>
      <c r="E43" s="30"/>
      <c r="G43" s="31"/>
    </row>
    <row r="44" spans="2:7" x14ac:dyDescent="0.25">
      <c r="B44" s="30"/>
      <c r="D44" s="31"/>
      <c r="E44" s="30"/>
      <c r="G44" s="31"/>
    </row>
    <row r="45" spans="2:7" x14ac:dyDescent="0.25">
      <c r="B45" s="30"/>
      <c r="D45" s="31"/>
      <c r="E45" s="30"/>
      <c r="G45" s="31"/>
    </row>
    <row r="46" spans="2:7" x14ac:dyDescent="0.25">
      <c r="B46" s="30"/>
      <c r="D46" s="31"/>
      <c r="E46" s="30"/>
      <c r="G46" s="31"/>
    </row>
    <row r="47" spans="2:7" x14ac:dyDescent="0.25">
      <c r="B47" s="30"/>
      <c r="D47" s="31"/>
      <c r="E47" s="30"/>
      <c r="G47" s="31"/>
    </row>
    <row r="48" spans="2:7" x14ac:dyDescent="0.25">
      <c r="B48" s="30"/>
      <c r="D48" s="31"/>
      <c r="E48" s="30"/>
      <c r="G48" s="31"/>
    </row>
    <row r="49" spans="2:7" x14ac:dyDescent="0.25">
      <c r="B49" s="30"/>
      <c r="D49" s="31"/>
      <c r="E49" s="30"/>
      <c r="G49" s="31"/>
    </row>
    <row r="50" spans="2:7" x14ac:dyDescent="0.25">
      <c r="B50" s="32"/>
      <c r="C50" s="33"/>
      <c r="D50" s="34"/>
      <c r="E50" s="32"/>
      <c r="F50" s="33"/>
      <c r="G50" s="34"/>
    </row>
  </sheetData>
  <mergeCells count="13">
    <mergeCell ref="B34:G35"/>
    <mergeCell ref="B1:D2"/>
    <mergeCell ref="E1:F2"/>
    <mergeCell ref="G1:G2"/>
    <mergeCell ref="B3:F4"/>
    <mergeCell ref="G3:G4"/>
    <mergeCell ref="B5:B18"/>
    <mergeCell ref="C15:G15"/>
    <mergeCell ref="B19:G20"/>
    <mergeCell ref="B21:F22"/>
    <mergeCell ref="G21:G22"/>
    <mergeCell ref="B23:B33"/>
    <mergeCell ref="C30:G30"/>
  </mergeCells>
  <pageMargins left="0.25" right="0.25" top="0.75" bottom="0.75" header="0.3" footer="0.3"/>
  <pageSetup paperSize="9" orientation="portrait" r:id="rId1"/>
  <headerFooter>
    <oddFooter>&amp;R&amp;"Century Gothic,Standard"&amp;9itm I &amp;D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55331-61CA-4749-8F1D-CE22D00CCDDA}">
  <dimension ref="B1:G49"/>
  <sheetViews>
    <sheetView showWhiteSpace="0" view="pageLayout" zoomScaleNormal="100" workbookViewId="0">
      <selection activeCell="C6" sqref="C6"/>
    </sheetView>
  </sheetViews>
  <sheetFormatPr baseColWidth="10" defaultColWidth="11.42578125" defaultRowHeight="15" x14ac:dyDescent="0.25"/>
  <cols>
    <col min="1" max="1" width="4.85546875" customWidth="1"/>
    <col min="2" max="2" width="10" customWidth="1"/>
    <col min="3" max="7" width="16.28515625" customWidth="1"/>
  </cols>
  <sheetData>
    <row r="1" spans="2:7" x14ac:dyDescent="0.25">
      <c r="B1" s="340" t="s">
        <v>80</v>
      </c>
      <c r="C1" s="341"/>
      <c r="D1" s="341"/>
      <c r="E1" s="336">
        <f>Kompetenzraster!Q11</f>
        <v>46269</v>
      </c>
      <c r="F1" s="337"/>
      <c r="G1" s="334">
        <v>4</v>
      </c>
    </row>
    <row r="2" spans="2:7" x14ac:dyDescent="0.25">
      <c r="B2" s="342"/>
      <c r="C2" s="343"/>
      <c r="D2" s="343"/>
      <c r="E2" s="338"/>
      <c r="F2" s="339"/>
      <c r="G2" s="335"/>
    </row>
    <row r="3" spans="2:7" x14ac:dyDescent="0.25">
      <c r="B3" s="370" t="s">
        <v>21</v>
      </c>
      <c r="C3" s="371"/>
      <c r="D3" s="371"/>
      <c r="E3" s="371"/>
      <c r="F3" s="372"/>
      <c r="G3" s="376">
        <v>1.4</v>
      </c>
    </row>
    <row r="4" spans="2:7" x14ac:dyDescent="0.25">
      <c r="B4" s="373"/>
      <c r="C4" s="403"/>
      <c r="D4" s="403"/>
      <c r="E4" s="403"/>
      <c r="F4" s="404"/>
      <c r="G4" s="377"/>
    </row>
    <row r="5" spans="2:7" ht="15.75" x14ac:dyDescent="0.3">
      <c r="B5" s="405" t="s">
        <v>82</v>
      </c>
      <c r="C5" s="95" t="s">
        <v>120</v>
      </c>
      <c r="D5" s="41"/>
      <c r="E5" s="41"/>
      <c r="F5" s="41"/>
      <c r="G5" s="50" t="s">
        <v>125</v>
      </c>
    </row>
    <row r="6" spans="2:7" ht="15.75" x14ac:dyDescent="0.3">
      <c r="B6" s="380"/>
      <c r="C6" s="38" t="s">
        <v>126</v>
      </c>
      <c r="G6" s="47"/>
    </row>
    <row r="7" spans="2:7" ht="15.75" x14ac:dyDescent="0.3">
      <c r="B7" s="380"/>
      <c r="C7" s="38"/>
      <c r="G7" s="47"/>
    </row>
    <row r="8" spans="2:7" ht="15.75" x14ac:dyDescent="0.3">
      <c r="B8" s="380"/>
      <c r="C8" s="38"/>
      <c r="D8" s="38"/>
      <c r="E8" s="38"/>
      <c r="F8" s="38"/>
      <c r="G8" s="48"/>
    </row>
    <row r="9" spans="2:7" ht="15.75" x14ac:dyDescent="0.3">
      <c r="B9" s="380"/>
      <c r="C9" s="51"/>
      <c r="D9" s="33"/>
      <c r="E9" s="33"/>
      <c r="F9" s="33"/>
      <c r="G9" s="49"/>
    </row>
    <row r="10" spans="2:7" x14ac:dyDescent="0.25">
      <c r="B10" s="380"/>
      <c r="C10" s="363" t="s">
        <v>88</v>
      </c>
      <c r="D10" s="363"/>
      <c r="E10" s="363"/>
      <c r="F10" s="363"/>
      <c r="G10" s="364"/>
    </row>
    <row r="11" spans="2:7" ht="15.75" x14ac:dyDescent="0.3">
      <c r="B11" s="380"/>
      <c r="C11" s="38" t="s">
        <v>127</v>
      </c>
      <c r="G11" s="31"/>
    </row>
    <row r="12" spans="2:7" ht="15.75" x14ac:dyDescent="0.3">
      <c r="B12" s="380"/>
      <c r="C12" s="46"/>
      <c r="D12" s="38"/>
      <c r="E12" s="38"/>
      <c r="F12" s="38"/>
      <c r="G12" s="39"/>
    </row>
    <row r="13" spans="2:7" ht="15.75" x14ac:dyDescent="0.3">
      <c r="B13" s="380"/>
      <c r="C13" s="38"/>
      <c r="D13" s="38"/>
      <c r="E13" s="38"/>
      <c r="F13" s="38"/>
      <c r="G13" s="39"/>
    </row>
    <row r="14" spans="2:7" x14ac:dyDescent="0.25">
      <c r="B14" s="381"/>
      <c r="C14" s="33"/>
      <c r="D14" s="33"/>
      <c r="E14" s="33"/>
      <c r="F14" s="33"/>
      <c r="G14" s="34"/>
    </row>
    <row r="15" spans="2:7" x14ac:dyDescent="0.25">
      <c r="B15" s="356" t="s">
        <v>91</v>
      </c>
      <c r="C15" s="357"/>
      <c r="D15" s="357"/>
      <c r="E15" s="357"/>
      <c r="F15" s="357"/>
      <c r="G15" s="358"/>
    </row>
    <row r="16" spans="2:7" x14ac:dyDescent="0.25">
      <c r="B16" s="359"/>
      <c r="C16" s="360"/>
      <c r="D16" s="360"/>
      <c r="E16" s="360"/>
      <c r="F16" s="360"/>
      <c r="G16" s="361"/>
    </row>
    <row r="17" spans="2:7" ht="15" customHeight="1" x14ac:dyDescent="0.25">
      <c r="B17" s="382" t="s">
        <v>23</v>
      </c>
      <c r="C17" s="383"/>
      <c r="D17" s="383"/>
      <c r="E17" s="383"/>
      <c r="F17" s="383"/>
      <c r="G17" s="386">
        <v>1.1000000000000001</v>
      </c>
    </row>
    <row r="18" spans="2:7" ht="15" customHeight="1" x14ac:dyDescent="0.25">
      <c r="B18" s="384"/>
      <c r="C18" s="385"/>
      <c r="D18" s="385"/>
      <c r="E18" s="385"/>
      <c r="F18" s="385"/>
      <c r="G18" s="387"/>
    </row>
    <row r="19" spans="2:7" ht="15.75" customHeight="1" x14ac:dyDescent="0.3">
      <c r="B19" s="388" t="s">
        <v>92</v>
      </c>
      <c r="C19" s="95" t="s">
        <v>128</v>
      </c>
      <c r="D19" s="41"/>
      <c r="E19" s="41"/>
      <c r="F19" s="42"/>
      <c r="G19" s="53" t="s">
        <v>125</v>
      </c>
    </row>
    <row r="20" spans="2:7" ht="15.75" x14ac:dyDescent="0.3">
      <c r="B20" s="390"/>
      <c r="C20" s="43" t="s">
        <v>129</v>
      </c>
      <c r="F20" s="31"/>
      <c r="G20" s="31"/>
    </row>
    <row r="21" spans="2:7" ht="15.75" x14ac:dyDescent="0.3">
      <c r="B21" s="390"/>
      <c r="C21" s="43" t="s">
        <v>130</v>
      </c>
      <c r="F21" s="31"/>
      <c r="G21" s="31"/>
    </row>
    <row r="22" spans="2:7" ht="15.75" x14ac:dyDescent="0.3">
      <c r="B22" s="390"/>
      <c r="C22" s="43" t="s">
        <v>131</v>
      </c>
      <c r="F22" s="31"/>
      <c r="G22" s="39"/>
    </row>
    <row r="23" spans="2:7" ht="15.75" x14ac:dyDescent="0.3">
      <c r="B23" s="390"/>
      <c r="C23" s="44"/>
      <c r="D23" s="51"/>
      <c r="E23" s="51"/>
      <c r="F23" s="52"/>
      <c r="G23" s="34"/>
    </row>
    <row r="24" spans="2:7" x14ac:dyDescent="0.25">
      <c r="B24" s="391"/>
      <c r="C24" s="393" t="s">
        <v>88</v>
      </c>
      <c r="D24" s="394"/>
      <c r="E24" s="394"/>
      <c r="F24" s="394"/>
      <c r="G24" s="364"/>
    </row>
    <row r="25" spans="2:7" ht="15.75" x14ac:dyDescent="0.3">
      <c r="B25" s="391"/>
      <c r="C25" s="43" t="s">
        <v>132</v>
      </c>
      <c r="D25" s="38"/>
      <c r="E25" s="38"/>
      <c r="F25" s="38"/>
      <c r="G25" s="39"/>
    </row>
    <row r="26" spans="2:7" ht="15.75" x14ac:dyDescent="0.3">
      <c r="B26" s="391"/>
      <c r="C26" s="43"/>
      <c r="G26" s="31"/>
    </row>
    <row r="27" spans="2:7" x14ac:dyDescent="0.25">
      <c r="B27" s="392"/>
      <c r="C27" s="32"/>
      <c r="D27" s="33"/>
      <c r="E27" s="33"/>
      <c r="F27" s="33"/>
      <c r="G27" s="34"/>
    </row>
    <row r="28" spans="2:7" x14ac:dyDescent="0.25">
      <c r="B28" s="328" t="s">
        <v>97</v>
      </c>
      <c r="C28" s="395"/>
      <c r="D28" s="395"/>
      <c r="E28" s="395"/>
      <c r="F28" s="395"/>
      <c r="G28" s="396"/>
    </row>
    <row r="29" spans="2:7" x14ac:dyDescent="0.25">
      <c r="B29" s="397"/>
      <c r="C29" s="398"/>
      <c r="D29" s="398"/>
      <c r="E29" s="398"/>
      <c r="F29" s="398"/>
      <c r="G29" s="399"/>
    </row>
    <row r="30" spans="2:7" x14ac:dyDescent="0.25">
      <c r="B30" s="35"/>
      <c r="C30" s="36"/>
      <c r="D30" s="37"/>
      <c r="E30" s="35"/>
      <c r="F30" s="36"/>
      <c r="G30" s="37"/>
    </row>
    <row r="31" spans="2:7" x14ac:dyDescent="0.25">
      <c r="B31" s="30"/>
      <c r="D31" s="31"/>
      <c r="E31" s="30"/>
      <c r="G31" s="31"/>
    </row>
    <row r="32" spans="2:7" x14ac:dyDescent="0.25">
      <c r="B32" s="30"/>
      <c r="D32" s="31"/>
      <c r="E32" s="30"/>
      <c r="G32" s="31"/>
    </row>
    <row r="33" spans="2:7" x14ac:dyDescent="0.25">
      <c r="B33" s="30"/>
      <c r="D33" s="31"/>
      <c r="E33" s="30"/>
      <c r="G33" s="31"/>
    </row>
    <row r="34" spans="2:7" x14ac:dyDescent="0.25">
      <c r="B34" s="30"/>
      <c r="D34" s="31"/>
      <c r="E34" s="30"/>
      <c r="G34" s="31"/>
    </row>
    <row r="35" spans="2:7" x14ac:dyDescent="0.25">
      <c r="B35" s="30"/>
      <c r="D35" s="31"/>
      <c r="E35" s="30"/>
      <c r="G35" s="31"/>
    </row>
    <row r="36" spans="2:7" x14ac:dyDescent="0.25">
      <c r="B36" s="30"/>
      <c r="D36" s="31"/>
      <c r="E36" s="30"/>
      <c r="G36" s="31"/>
    </row>
    <row r="37" spans="2:7" x14ac:dyDescent="0.25">
      <c r="B37" s="30"/>
      <c r="D37" s="31"/>
      <c r="E37" s="30"/>
      <c r="G37" s="31"/>
    </row>
    <row r="38" spans="2:7" x14ac:dyDescent="0.25">
      <c r="B38" s="30"/>
      <c r="D38" s="31"/>
      <c r="E38" s="30"/>
      <c r="G38" s="31"/>
    </row>
    <row r="39" spans="2:7" x14ac:dyDescent="0.25">
      <c r="B39" s="30"/>
      <c r="D39" s="31"/>
      <c r="E39" s="30"/>
      <c r="G39" s="31"/>
    </row>
    <row r="40" spans="2:7" x14ac:dyDescent="0.25">
      <c r="B40" s="30"/>
      <c r="D40" s="31"/>
      <c r="E40" s="30"/>
      <c r="G40" s="31"/>
    </row>
    <row r="41" spans="2:7" x14ac:dyDescent="0.25">
      <c r="B41" s="30"/>
      <c r="D41" s="31"/>
      <c r="E41" s="30"/>
      <c r="G41" s="31"/>
    </row>
    <row r="42" spans="2:7" x14ac:dyDescent="0.25">
      <c r="B42" s="30"/>
      <c r="D42" s="31"/>
      <c r="E42" s="30"/>
      <c r="G42" s="31"/>
    </row>
    <row r="43" spans="2:7" x14ac:dyDescent="0.25">
      <c r="B43" s="30"/>
      <c r="D43" s="31"/>
      <c r="E43" s="30"/>
      <c r="G43" s="31"/>
    </row>
    <row r="44" spans="2:7" x14ac:dyDescent="0.25">
      <c r="B44" s="30"/>
      <c r="D44" s="31"/>
      <c r="E44" s="30"/>
      <c r="G44" s="31"/>
    </row>
    <row r="45" spans="2:7" x14ac:dyDescent="0.25">
      <c r="B45" s="30"/>
      <c r="D45" s="31"/>
      <c r="E45" s="30"/>
      <c r="G45" s="31"/>
    </row>
    <row r="46" spans="2:7" x14ac:dyDescent="0.25">
      <c r="B46" s="30"/>
      <c r="D46" s="31"/>
      <c r="E46" s="30"/>
      <c r="G46" s="31"/>
    </row>
    <row r="47" spans="2:7" x14ac:dyDescent="0.25">
      <c r="B47" s="30"/>
      <c r="D47" s="31"/>
      <c r="E47" s="30"/>
      <c r="G47" s="31"/>
    </row>
    <row r="48" spans="2:7" x14ac:dyDescent="0.25">
      <c r="B48" s="30"/>
      <c r="D48" s="31"/>
      <c r="E48" s="30"/>
      <c r="G48" s="31"/>
    </row>
    <row r="49" spans="2:7" x14ac:dyDescent="0.25">
      <c r="B49" s="32"/>
      <c r="C49" s="33"/>
      <c r="D49" s="34"/>
      <c r="E49" s="32"/>
      <c r="F49" s="33"/>
      <c r="G49" s="34"/>
    </row>
  </sheetData>
  <mergeCells count="13">
    <mergeCell ref="B28:G29"/>
    <mergeCell ref="B1:D2"/>
    <mergeCell ref="E1:F2"/>
    <mergeCell ref="G1:G2"/>
    <mergeCell ref="B3:F4"/>
    <mergeCell ref="G3:G4"/>
    <mergeCell ref="B5:B14"/>
    <mergeCell ref="C10:G10"/>
    <mergeCell ref="B15:G16"/>
    <mergeCell ref="B17:F18"/>
    <mergeCell ref="G17:G18"/>
    <mergeCell ref="B19:B27"/>
    <mergeCell ref="C24:G24"/>
  </mergeCells>
  <pageMargins left="0.25" right="0.25" top="0.75" bottom="0.75" header="0.3" footer="0.3"/>
  <pageSetup paperSize="9" orientation="portrait" r:id="rId1"/>
  <headerFooter>
    <oddFooter>&amp;R&amp;"Century Gothic,Standard"&amp;9itm I &amp;D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03D32-8CD8-474B-B727-4A2892092D4D}">
  <dimension ref="B1:G50"/>
  <sheetViews>
    <sheetView showWhiteSpace="0" view="pageLayout" zoomScaleNormal="100" workbookViewId="0">
      <selection activeCell="G8" sqref="G8:G10"/>
    </sheetView>
  </sheetViews>
  <sheetFormatPr baseColWidth="10" defaultColWidth="11.42578125" defaultRowHeight="15" x14ac:dyDescent="0.25"/>
  <cols>
    <col min="1" max="1" width="4.85546875" customWidth="1"/>
    <col min="2" max="2" width="10" customWidth="1"/>
    <col min="3" max="7" width="16.28515625" customWidth="1"/>
  </cols>
  <sheetData>
    <row r="1" spans="2:7" x14ac:dyDescent="0.25">
      <c r="B1" s="340" t="s">
        <v>80</v>
      </c>
      <c r="C1" s="341"/>
      <c r="D1" s="341"/>
      <c r="E1" s="336">
        <f>Kompetenzraster!Q13</f>
        <v>46276</v>
      </c>
      <c r="F1" s="337"/>
      <c r="G1" s="334">
        <v>5</v>
      </c>
    </row>
    <row r="2" spans="2:7" x14ac:dyDescent="0.25">
      <c r="B2" s="342"/>
      <c r="C2" s="343"/>
      <c r="D2" s="343"/>
      <c r="E2" s="338"/>
      <c r="F2" s="339"/>
      <c r="G2" s="335"/>
    </row>
    <row r="3" spans="2:7" ht="14.25" customHeight="1" x14ac:dyDescent="0.25">
      <c r="B3" s="370" t="s">
        <v>21</v>
      </c>
      <c r="C3" s="371"/>
      <c r="D3" s="371"/>
      <c r="E3" s="371"/>
      <c r="F3" s="372"/>
      <c r="G3" s="376">
        <v>1.4</v>
      </c>
    </row>
    <row r="4" spans="2:7" ht="14.25" customHeight="1" x14ac:dyDescent="0.25">
      <c r="B4" s="373"/>
      <c r="C4" s="374"/>
      <c r="D4" s="374"/>
      <c r="E4" s="374"/>
      <c r="F4" s="375"/>
      <c r="G4" s="377"/>
    </row>
    <row r="5" spans="2:7" ht="14.25" customHeight="1" x14ac:dyDescent="0.3">
      <c r="B5" s="378" t="s">
        <v>82</v>
      </c>
      <c r="C5" s="40" t="s">
        <v>133</v>
      </c>
      <c r="D5" s="41"/>
      <c r="E5" s="41"/>
      <c r="F5" s="42"/>
      <c r="G5" s="50" t="s">
        <v>125</v>
      </c>
    </row>
    <row r="6" spans="2:7" ht="15.75" x14ac:dyDescent="0.3">
      <c r="B6" s="379"/>
      <c r="C6" s="43" t="s">
        <v>134</v>
      </c>
      <c r="F6" s="31"/>
      <c r="G6" s="47"/>
    </row>
    <row r="7" spans="2:7" ht="15.75" x14ac:dyDescent="0.3">
      <c r="B7" s="379"/>
      <c r="C7" s="43" t="s">
        <v>135</v>
      </c>
      <c r="F7" s="31"/>
      <c r="G7" s="47"/>
    </row>
    <row r="8" spans="2:7" ht="15.75" x14ac:dyDescent="0.3">
      <c r="B8" s="379"/>
      <c r="C8" s="66" t="s">
        <v>136</v>
      </c>
      <c r="D8" s="38"/>
      <c r="E8" s="38"/>
      <c r="F8" s="39"/>
      <c r="G8" s="103" t="s">
        <v>137</v>
      </c>
    </row>
    <row r="9" spans="2:7" ht="15.75" x14ac:dyDescent="0.3">
      <c r="B9" s="379"/>
      <c r="C9" s="43"/>
      <c r="F9" s="31"/>
      <c r="G9" s="47"/>
    </row>
    <row r="10" spans="2:7" x14ac:dyDescent="0.25">
      <c r="B10" s="379"/>
      <c r="C10" s="32"/>
      <c r="D10" s="33"/>
      <c r="E10" s="33"/>
      <c r="F10" s="34"/>
      <c r="G10" s="49"/>
    </row>
    <row r="11" spans="2:7" x14ac:dyDescent="0.25">
      <c r="B11" s="379"/>
      <c r="C11" s="393" t="s">
        <v>88</v>
      </c>
      <c r="D11" s="394"/>
      <c r="E11" s="394"/>
      <c r="F11" s="394"/>
      <c r="G11" s="402"/>
    </row>
    <row r="12" spans="2:7" ht="15.75" x14ac:dyDescent="0.3">
      <c r="B12" s="379"/>
      <c r="C12" s="40" t="s">
        <v>138</v>
      </c>
      <c r="D12" s="36"/>
      <c r="E12" s="36"/>
      <c r="F12" s="36"/>
      <c r="G12" s="37"/>
    </row>
    <row r="13" spans="2:7" ht="15.75" x14ac:dyDescent="0.3">
      <c r="B13" s="379"/>
      <c r="C13" s="43"/>
      <c r="D13" s="38"/>
      <c r="E13" s="38"/>
      <c r="F13" s="38"/>
      <c r="G13" s="39"/>
    </row>
    <row r="14" spans="2:7" ht="14.25" customHeight="1" x14ac:dyDescent="0.3">
      <c r="B14" s="406"/>
      <c r="C14" s="44"/>
      <c r="D14" s="33"/>
      <c r="E14" s="33"/>
      <c r="F14" s="33"/>
      <c r="G14" s="34"/>
    </row>
    <row r="15" spans="2:7" ht="14.25" customHeight="1" x14ac:dyDescent="0.25">
      <c r="B15" s="356" t="s">
        <v>91</v>
      </c>
      <c r="C15" s="407"/>
      <c r="D15" s="407"/>
      <c r="E15" s="407"/>
      <c r="F15" s="407"/>
      <c r="G15" s="408"/>
    </row>
    <row r="16" spans="2:7" ht="14.25" customHeight="1" x14ac:dyDescent="0.25">
      <c r="B16" s="359"/>
      <c r="C16" s="360"/>
      <c r="D16" s="360"/>
      <c r="E16" s="360"/>
      <c r="F16" s="360"/>
      <c r="G16" s="361"/>
    </row>
    <row r="17" spans="2:7" ht="15" customHeight="1" x14ac:dyDescent="0.25">
      <c r="B17" s="382" t="s">
        <v>23</v>
      </c>
      <c r="C17" s="383"/>
      <c r="D17" s="383"/>
      <c r="E17" s="383"/>
      <c r="F17" s="383"/>
      <c r="G17" s="386">
        <v>1.1000000000000001</v>
      </c>
    </row>
    <row r="18" spans="2:7" ht="15" customHeight="1" x14ac:dyDescent="0.25">
      <c r="B18" s="384"/>
      <c r="C18" s="385"/>
      <c r="D18" s="385"/>
      <c r="E18" s="385"/>
      <c r="F18" s="385"/>
      <c r="G18" s="387"/>
    </row>
    <row r="19" spans="2:7" ht="15.75" customHeight="1" x14ac:dyDescent="0.3">
      <c r="B19" s="388" t="s">
        <v>92</v>
      </c>
      <c r="C19" s="95" t="s">
        <v>139</v>
      </c>
      <c r="D19" s="41"/>
      <c r="E19" s="41"/>
      <c r="F19" s="42"/>
      <c r="G19" s="50" t="s">
        <v>125</v>
      </c>
    </row>
    <row r="20" spans="2:7" ht="15.75" x14ac:dyDescent="0.3">
      <c r="B20" s="390"/>
      <c r="C20" s="43" t="s">
        <v>140</v>
      </c>
      <c r="F20" s="31"/>
      <c r="G20" s="47"/>
    </row>
    <row r="21" spans="2:7" ht="15.75" x14ac:dyDescent="0.3">
      <c r="B21" s="390"/>
      <c r="C21" s="43" t="s">
        <v>141</v>
      </c>
      <c r="F21" s="31"/>
      <c r="G21" s="47"/>
    </row>
    <row r="22" spans="2:7" ht="15.75" x14ac:dyDescent="0.3">
      <c r="B22" s="390"/>
      <c r="C22" s="43"/>
      <c r="F22" s="31"/>
      <c r="G22" s="48"/>
    </row>
    <row r="23" spans="2:7" ht="15.75" x14ac:dyDescent="0.3">
      <c r="B23" s="390"/>
      <c r="C23" s="43"/>
      <c r="D23" s="38"/>
      <c r="E23" s="38"/>
      <c r="F23" s="39"/>
      <c r="G23" s="47"/>
    </row>
    <row r="24" spans="2:7" x14ac:dyDescent="0.25">
      <c r="B24" s="390"/>
      <c r="C24" s="32"/>
      <c r="D24" s="33"/>
      <c r="E24" s="33"/>
      <c r="F24" s="34"/>
      <c r="G24" s="49"/>
    </row>
    <row r="25" spans="2:7" x14ac:dyDescent="0.25">
      <c r="B25" s="391"/>
      <c r="C25" s="393" t="s">
        <v>88</v>
      </c>
      <c r="D25" s="394"/>
      <c r="E25" s="394"/>
      <c r="F25" s="394"/>
      <c r="G25" s="402"/>
    </row>
    <row r="26" spans="2:7" ht="15.75" x14ac:dyDescent="0.3">
      <c r="B26" s="391"/>
      <c r="C26" s="43" t="s">
        <v>132</v>
      </c>
      <c r="D26" s="38"/>
      <c r="E26" s="38"/>
      <c r="F26" s="38"/>
      <c r="G26" s="39"/>
    </row>
    <row r="27" spans="2:7" x14ac:dyDescent="0.25">
      <c r="B27" s="392"/>
      <c r="C27" s="32"/>
      <c r="D27" s="33"/>
      <c r="E27" s="33"/>
      <c r="F27" s="33"/>
      <c r="G27" s="34"/>
    </row>
    <row r="28" spans="2:7" ht="14.25" customHeight="1" x14ac:dyDescent="0.25">
      <c r="B28" s="328" t="s">
        <v>97</v>
      </c>
      <c r="C28" s="395"/>
      <c r="D28" s="395"/>
      <c r="E28" s="395"/>
      <c r="F28" s="395"/>
      <c r="G28" s="396"/>
    </row>
    <row r="29" spans="2:7" ht="14.25" customHeight="1" x14ac:dyDescent="0.25">
      <c r="B29" s="397"/>
      <c r="C29" s="398"/>
      <c r="D29" s="398"/>
      <c r="E29" s="398"/>
      <c r="F29" s="398"/>
      <c r="G29" s="399"/>
    </row>
    <row r="30" spans="2:7" x14ac:dyDescent="0.25">
      <c r="B30" s="35"/>
      <c r="C30" s="36"/>
      <c r="D30" s="37"/>
      <c r="E30" s="35"/>
      <c r="F30" s="36"/>
      <c r="G30" s="37"/>
    </row>
    <row r="31" spans="2:7" x14ac:dyDescent="0.25">
      <c r="B31" s="30"/>
      <c r="D31" s="31"/>
      <c r="E31" s="30"/>
      <c r="G31" s="31"/>
    </row>
    <row r="32" spans="2:7" ht="15.75" x14ac:dyDescent="0.3">
      <c r="B32" s="30"/>
      <c r="C32" s="60"/>
      <c r="D32" s="31"/>
      <c r="E32" s="30"/>
      <c r="G32" s="31"/>
    </row>
    <row r="33" spans="2:7" ht="15.75" x14ac:dyDescent="0.3">
      <c r="B33" s="30"/>
      <c r="C33" s="60"/>
      <c r="D33" s="59"/>
      <c r="E33" s="30"/>
      <c r="G33" s="31"/>
    </row>
    <row r="34" spans="2:7" x14ac:dyDescent="0.25">
      <c r="B34" s="30"/>
      <c r="D34" s="31"/>
      <c r="E34" s="30"/>
      <c r="G34" s="31"/>
    </row>
    <row r="35" spans="2:7" x14ac:dyDescent="0.25">
      <c r="B35" s="30"/>
      <c r="D35" s="31"/>
      <c r="E35" s="30"/>
      <c r="G35" s="31"/>
    </row>
    <row r="36" spans="2:7" x14ac:dyDescent="0.25">
      <c r="B36" s="30"/>
      <c r="D36" s="31"/>
      <c r="E36" s="30"/>
      <c r="G36" s="31"/>
    </row>
    <row r="37" spans="2:7" x14ac:dyDescent="0.25">
      <c r="B37" s="30"/>
      <c r="D37" s="31"/>
      <c r="E37" s="30"/>
      <c r="G37" s="31"/>
    </row>
    <row r="38" spans="2:7" x14ac:dyDescent="0.25">
      <c r="B38" s="30"/>
      <c r="D38" s="31"/>
      <c r="E38" s="30"/>
      <c r="G38" s="31"/>
    </row>
    <row r="39" spans="2:7" x14ac:dyDescent="0.25">
      <c r="B39" s="30"/>
      <c r="D39" s="31"/>
      <c r="E39" s="30"/>
      <c r="G39" s="31"/>
    </row>
    <row r="40" spans="2:7" x14ac:dyDescent="0.25">
      <c r="B40" s="30"/>
      <c r="D40" s="31"/>
      <c r="E40" s="30"/>
      <c r="G40" s="31"/>
    </row>
    <row r="41" spans="2:7" x14ac:dyDescent="0.25">
      <c r="B41" s="30"/>
      <c r="D41" s="31"/>
      <c r="E41" s="30"/>
      <c r="G41" s="31"/>
    </row>
    <row r="42" spans="2:7" x14ac:dyDescent="0.25">
      <c r="B42" s="30"/>
      <c r="D42" s="31"/>
      <c r="E42" s="30"/>
      <c r="G42" s="31"/>
    </row>
    <row r="43" spans="2:7" x14ac:dyDescent="0.25">
      <c r="B43" s="30"/>
      <c r="D43" s="31"/>
      <c r="E43" s="30"/>
      <c r="G43" s="31"/>
    </row>
    <row r="44" spans="2:7" x14ac:dyDescent="0.25">
      <c r="B44" s="30"/>
      <c r="D44" s="31"/>
      <c r="E44" s="30"/>
      <c r="G44" s="31"/>
    </row>
    <row r="45" spans="2:7" x14ac:dyDescent="0.25">
      <c r="B45" s="30"/>
      <c r="D45" s="31"/>
      <c r="E45" s="30"/>
      <c r="G45" s="31"/>
    </row>
    <row r="46" spans="2:7" x14ac:dyDescent="0.25">
      <c r="B46" s="30"/>
      <c r="D46" s="31"/>
      <c r="E46" s="30"/>
      <c r="G46" s="31"/>
    </row>
    <row r="47" spans="2:7" x14ac:dyDescent="0.25">
      <c r="B47" s="30"/>
      <c r="D47" s="31"/>
      <c r="E47" s="30"/>
      <c r="G47" s="31"/>
    </row>
    <row r="48" spans="2:7" x14ac:dyDescent="0.25">
      <c r="B48" s="30"/>
      <c r="D48" s="31"/>
      <c r="E48" s="30"/>
      <c r="G48" s="31"/>
    </row>
    <row r="49" spans="2:7" x14ac:dyDescent="0.25">
      <c r="B49" s="30"/>
      <c r="D49" s="31"/>
      <c r="E49" s="30"/>
      <c r="G49" s="31"/>
    </row>
    <row r="50" spans="2:7" x14ac:dyDescent="0.25">
      <c r="B50" s="32"/>
      <c r="C50" s="33"/>
      <c r="D50" s="34"/>
      <c r="E50" s="32"/>
      <c r="F50" s="33"/>
      <c r="G50" s="34"/>
    </row>
  </sheetData>
  <mergeCells count="13">
    <mergeCell ref="B28:G29"/>
    <mergeCell ref="B1:D2"/>
    <mergeCell ref="E1:F2"/>
    <mergeCell ref="G1:G2"/>
    <mergeCell ref="B3:F4"/>
    <mergeCell ref="G3:G4"/>
    <mergeCell ref="B5:B14"/>
    <mergeCell ref="C11:G11"/>
    <mergeCell ref="B15:G16"/>
    <mergeCell ref="B17:F18"/>
    <mergeCell ref="G17:G18"/>
    <mergeCell ref="B19:B27"/>
    <mergeCell ref="C25:G25"/>
  </mergeCells>
  <pageMargins left="0.25" right="0.25" top="0.75" bottom="0.75" header="0.3" footer="0.3"/>
  <pageSetup paperSize="9" orientation="portrait" r:id="rId1"/>
  <headerFooter>
    <oddFooter>&amp;R&amp;"Century Gothic,Standard"&amp;9itm I &amp;D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E3A06-A029-4CB3-92BC-BF08C3F091FF}">
  <dimension ref="B1:G50"/>
  <sheetViews>
    <sheetView tabSelected="1" showWhiteSpace="0" view="pageLayout" topLeftCell="A15" zoomScaleNormal="100" workbookViewId="0">
      <selection activeCell="I27" sqref="I27"/>
    </sheetView>
  </sheetViews>
  <sheetFormatPr baseColWidth="10" defaultColWidth="11.42578125" defaultRowHeight="15" x14ac:dyDescent="0.25"/>
  <cols>
    <col min="1" max="1" width="4.85546875" customWidth="1"/>
    <col min="2" max="2" width="10" customWidth="1"/>
    <col min="3" max="7" width="16.28515625" customWidth="1"/>
  </cols>
  <sheetData>
    <row r="1" spans="2:7" x14ac:dyDescent="0.25">
      <c r="B1" s="340" t="s">
        <v>80</v>
      </c>
      <c r="C1" s="341"/>
      <c r="D1" s="341"/>
      <c r="E1" s="336">
        <f>Kompetenzraster!Q15</f>
        <v>46283</v>
      </c>
      <c r="F1" s="337"/>
      <c r="G1" s="334">
        <v>6</v>
      </c>
    </row>
    <row r="2" spans="2:7" x14ac:dyDescent="0.25">
      <c r="B2" s="342"/>
      <c r="C2" s="343"/>
      <c r="D2" s="343"/>
      <c r="E2" s="338"/>
      <c r="F2" s="339"/>
      <c r="G2" s="335"/>
    </row>
    <row r="3" spans="2:7" x14ac:dyDescent="0.25">
      <c r="B3" s="370" t="s">
        <v>142</v>
      </c>
      <c r="C3" s="371"/>
      <c r="D3" s="371"/>
      <c r="E3" s="371"/>
      <c r="F3" s="372"/>
      <c r="G3" s="376">
        <v>1.5</v>
      </c>
    </row>
    <row r="4" spans="2:7" x14ac:dyDescent="0.25">
      <c r="B4" s="373"/>
      <c r="C4" s="403"/>
      <c r="D4" s="403"/>
      <c r="E4" s="403"/>
      <c r="F4" s="404"/>
      <c r="G4" s="377"/>
    </row>
    <row r="5" spans="2:7" ht="15.75" x14ac:dyDescent="0.3">
      <c r="B5" s="378" t="s">
        <v>82</v>
      </c>
      <c r="C5" s="64" t="s">
        <v>143</v>
      </c>
      <c r="D5" s="65"/>
      <c r="E5" s="65"/>
      <c r="F5" s="72" t="s">
        <v>144</v>
      </c>
      <c r="G5" s="53" t="s">
        <v>125</v>
      </c>
    </row>
    <row r="6" spans="2:7" x14ac:dyDescent="0.25">
      <c r="B6" s="379"/>
      <c r="C6" s="95" t="s">
        <v>100</v>
      </c>
      <c r="F6" s="31"/>
      <c r="G6" s="31"/>
    </row>
    <row r="7" spans="2:7" ht="15.75" x14ac:dyDescent="0.3">
      <c r="B7" s="379"/>
      <c r="C7" s="43" t="s">
        <v>145</v>
      </c>
      <c r="F7" s="31"/>
      <c r="G7" s="31"/>
    </row>
    <row r="8" spans="2:7" ht="15.75" x14ac:dyDescent="0.3">
      <c r="B8" s="379"/>
      <c r="C8" s="43" t="s">
        <v>146</v>
      </c>
      <c r="D8" s="38"/>
      <c r="E8" s="38"/>
      <c r="F8" s="39"/>
      <c r="G8" s="39"/>
    </row>
    <row r="9" spans="2:7" ht="15.75" x14ac:dyDescent="0.3">
      <c r="B9" s="379"/>
      <c r="C9" s="44"/>
      <c r="D9" s="33"/>
      <c r="E9" s="33"/>
      <c r="F9" s="99"/>
      <c r="G9" s="34"/>
    </row>
    <row r="10" spans="2:7" x14ac:dyDescent="0.25">
      <c r="B10" s="380"/>
      <c r="C10" s="393" t="s">
        <v>88</v>
      </c>
      <c r="D10" s="394"/>
      <c r="E10" s="394"/>
      <c r="F10" s="394"/>
      <c r="G10" s="402"/>
    </row>
    <row r="11" spans="2:7" ht="15.75" x14ac:dyDescent="0.3">
      <c r="B11" s="379"/>
      <c r="C11" s="40" t="s">
        <v>147</v>
      </c>
      <c r="D11" s="36"/>
      <c r="E11" s="36"/>
      <c r="F11" s="36"/>
      <c r="G11" s="37"/>
    </row>
    <row r="12" spans="2:7" ht="15.75" x14ac:dyDescent="0.3">
      <c r="B12" s="379"/>
      <c r="C12" s="43" t="s">
        <v>148</v>
      </c>
      <c r="D12" s="38"/>
      <c r="E12" s="38"/>
      <c r="F12" s="38"/>
      <c r="G12" s="39"/>
    </row>
    <row r="13" spans="2:7" ht="15.75" x14ac:dyDescent="0.3">
      <c r="B13" s="379"/>
      <c r="C13" s="43" t="s">
        <v>149</v>
      </c>
      <c r="D13" s="38"/>
      <c r="E13" s="38"/>
      <c r="F13" s="38"/>
      <c r="G13" s="39"/>
    </row>
    <row r="14" spans="2:7" ht="15.75" x14ac:dyDescent="0.3">
      <c r="B14" s="406"/>
      <c r="C14" s="44"/>
      <c r="D14" s="33"/>
      <c r="E14" s="33"/>
      <c r="F14" s="33"/>
      <c r="G14" s="34"/>
    </row>
    <row r="15" spans="2:7" x14ac:dyDescent="0.25">
      <c r="B15" s="356" t="s">
        <v>91</v>
      </c>
      <c r="C15" s="407"/>
      <c r="D15" s="407"/>
      <c r="E15" s="407"/>
      <c r="F15" s="407"/>
      <c r="G15" s="408"/>
    </row>
    <row r="16" spans="2:7" x14ac:dyDescent="0.25">
      <c r="B16" s="359"/>
      <c r="C16" s="360"/>
      <c r="D16" s="360"/>
      <c r="E16" s="360"/>
      <c r="F16" s="360"/>
      <c r="G16" s="361"/>
    </row>
    <row r="17" spans="2:7" ht="15" customHeight="1" x14ac:dyDescent="0.25">
      <c r="B17" s="382" t="s">
        <v>23</v>
      </c>
      <c r="C17" s="383"/>
      <c r="D17" s="383"/>
      <c r="E17" s="383"/>
      <c r="F17" s="383"/>
      <c r="G17" s="386">
        <v>1.1000000000000001</v>
      </c>
    </row>
    <row r="18" spans="2:7" ht="15" customHeight="1" x14ac:dyDescent="0.25">
      <c r="B18" s="384"/>
      <c r="C18" s="385"/>
      <c r="D18" s="385"/>
      <c r="E18" s="385"/>
      <c r="F18" s="385"/>
      <c r="G18" s="387"/>
    </row>
    <row r="19" spans="2:7" ht="15.75" x14ac:dyDescent="0.3">
      <c r="B19" s="388" t="s">
        <v>92</v>
      </c>
      <c r="C19" s="95" t="s">
        <v>150</v>
      </c>
      <c r="D19" s="36"/>
      <c r="E19" s="41"/>
      <c r="F19" s="42"/>
      <c r="G19" s="53" t="s">
        <v>125</v>
      </c>
    </row>
    <row r="20" spans="2:7" ht="15.75" x14ac:dyDescent="0.3">
      <c r="B20" s="390"/>
      <c r="C20" s="43" t="s">
        <v>151</v>
      </c>
      <c r="D20" s="38"/>
      <c r="E20" s="38"/>
      <c r="F20" s="31"/>
      <c r="G20" s="31"/>
    </row>
    <row r="21" spans="2:7" ht="15.75" x14ac:dyDescent="0.3">
      <c r="B21" s="390"/>
      <c r="C21" s="43" t="s">
        <v>152</v>
      </c>
      <c r="D21" s="38"/>
      <c r="F21" s="31"/>
      <c r="G21" s="31"/>
    </row>
    <row r="22" spans="2:7" ht="15.75" x14ac:dyDescent="0.3">
      <c r="B22" s="390"/>
      <c r="C22" s="43"/>
      <c r="D22" s="38"/>
      <c r="F22" s="31"/>
      <c r="G22" s="103" t="s">
        <v>137</v>
      </c>
    </row>
    <row r="23" spans="2:7" ht="15.75" x14ac:dyDescent="0.3">
      <c r="B23" s="390"/>
      <c r="C23" s="43"/>
      <c r="F23" s="31"/>
      <c r="G23" s="47"/>
    </row>
    <row r="24" spans="2:7" ht="15.75" x14ac:dyDescent="0.3">
      <c r="B24" s="390"/>
      <c r="C24" s="44"/>
      <c r="D24" s="51"/>
      <c r="E24" s="51"/>
      <c r="F24" s="52"/>
      <c r="G24" s="49"/>
    </row>
    <row r="25" spans="2:7" x14ac:dyDescent="0.25">
      <c r="B25" s="391"/>
      <c r="C25" s="393" t="s">
        <v>88</v>
      </c>
      <c r="D25" s="394"/>
      <c r="E25" s="394"/>
      <c r="F25" s="394"/>
      <c r="G25" s="364"/>
    </row>
    <row r="26" spans="2:7" ht="15.75" x14ac:dyDescent="0.3">
      <c r="B26" s="391"/>
      <c r="C26" s="43" t="s">
        <v>132</v>
      </c>
      <c r="D26" s="38"/>
      <c r="E26" s="38"/>
      <c r="F26" s="38"/>
      <c r="G26" s="39"/>
    </row>
    <row r="27" spans="2:7" ht="15.75" x14ac:dyDescent="0.3">
      <c r="B27" s="391"/>
      <c r="C27" s="43"/>
      <c r="G27" s="31"/>
    </row>
    <row r="28" spans="2:7" x14ac:dyDescent="0.25">
      <c r="B28" s="392"/>
      <c r="C28" s="32"/>
      <c r="D28" s="33"/>
      <c r="E28" s="33"/>
      <c r="F28" s="33"/>
      <c r="G28" s="34"/>
    </row>
    <row r="29" spans="2:7" x14ac:dyDescent="0.25">
      <c r="B29" s="328" t="s">
        <v>97</v>
      </c>
      <c r="C29" s="395"/>
      <c r="D29" s="395"/>
      <c r="E29" s="395"/>
      <c r="F29" s="395"/>
      <c r="G29" s="396"/>
    </row>
    <row r="30" spans="2:7" x14ac:dyDescent="0.25">
      <c r="B30" s="397"/>
      <c r="C30" s="398"/>
      <c r="D30" s="398"/>
      <c r="E30" s="398"/>
      <c r="F30" s="398"/>
      <c r="G30" s="399"/>
    </row>
    <row r="31" spans="2:7" x14ac:dyDescent="0.25">
      <c r="B31" s="35"/>
      <c r="C31" s="36"/>
      <c r="D31" s="37"/>
      <c r="E31" s="35"/>
      <c r="F31" s="36"/>
      <c r="G31" s="37"/>
    </row>
    <row r="32" spans="2:7" ht="15.75" x14ac:dyDescent="0.3">
      <c r="B32" s="30"/>
      <c r="C32" s="60"/>
      <c r="D32" s="31"/>
      <c r="E32" s="30"/>
      <c r="G32" s="31"/>
    </row>
    <row r="33" spans="2:7" ht="15.75" x14ac:dyDescent="0.3">
      <c r="B33" s="30"/>
      <c r="C33" s="60"/>
      <c r="D33" s="31"/>
      <c r="E33" s="30"/>
      <c r="G33" s="31"/>
    </row>
    <row r="34" spans="2:7" ht="15.75" x14ac:dyDescent="0.3">
      <c r="B34" s="30"/>
      <c r="C34" s="60"/>
      <c r="D34" s="31"/>
      <c r="E34" s="30"/>
      <c r="G34" s="31"/>
    </row>
    <row r="35" spans="2:7" x14ac:dyDescent="0.25">
      <c r="B35" s="30"/>
      <c r="D35" s="31"/>
      <c r="E35" s="30"/>
      <c r="G35" s="31"/>
    </row>
    <row r="36" spans="2:7" x14ac:dyDescent="0.25">
      <c r="B36" s="30"/>
      <c r="D36" s="31"/>
      <c r="E36" s="30"/>
      <c r="G36" s="31"/>
    </row>
    <row r="37" spans="2:7" x14ac:dyDescent="0.25">
      <c r="B37" s="30"/>
      <c r="D37" s="31"/>
      <c r="E37" s="30"/>
      <c r="G37" s="31"/>
    </row>
    <row r="38" spans="2:7" x14ac:dyDescent="0.25">
      <c r="B38" s="30"/>
      <c r="D38" s="31"/>
      <c r="E38" s="30"/>
      <c r="G38" s="31"/>
    </row>
    <row r="39" spans="2:7" x14ac:dyDescent="0.25">
      <c r="B39" s="30"/>
      <c r="D39" s="31"/>
      <c r="E39" s="30"/>
      <c r="G39" s="31"/>
    </row>
    <row r="40" spans="2:7" x14ac:dyDescent="0.25">
      <c r="B40" s="30"/>
      <c r="D40" s="31"/>
      <c r="E40" s="30"/>
      <c r="G40" s="31"/>
    </row>
    <row r="41" spans="2:7" x14ac:dyDescent="0.25">
      <c r="B41" s="30"/>
      <c r="D41" s="31"/>
      <c r="E41" s="30"/>
      <c r="G41" s="31"/>
    </row>
    <row r="42" spans="2:7" x14ac:dyDescent="0.25">
      <c r="B42" s="30"/>
      <c r="D42" s="31"/>
      <c r="E42" s="30"/>
      <c r="G42" s="31"/>
    </row>
    <row r="43" spans="2:7" x14ac:dyDescent="0.25">
      <c r="B43" s="30"/>
      <c r="D43" s="31"/>
      <c r="E43" s="30"/>
      <c r="G43" s="31"/>
    </row>
    <row r="44" spans="2:7" x14ac:dyDescent="0.25">
      <c r="B44" s="30"/>
      <c r="D44" s="31"/>
      <c r="E44" s="30"/>
      <c r="G44" s="31"/>
    </row>
    <row r="45" spans="2:7" x14ac:dyDescent="0.25">
      <c r="B45" s="30"/>
      <c r="D45" s="31"/>
      <c r="E45" s="30"/>
      <c r="G45" s="31"/>
    </row>
    <row r="46" spans="2:7" x14ac:dyDescent="0.25">
      <c r="B46" s="30"/>
      <c r="D46" s="31"/>
      <c r="E46" s="30"/>
      <c r="G46" s="31"/>
    </row>
    <row r="47" spans="2:7" x14ac:dyDescent="0.25">
      <c r="B47" s="30"/>
      <c r="D47" s="31"/>
      <c r="E47" s="30"/>
      <c r="G47" s="31"/>
    </row>
    <row r="48" spans="2:7" x14ac:dyDescent="0.25">
      <c r="B48" s="30"/>
      <c r="D48" s="31"/>
      <c r="E48" s="30"/>
      <c r="G48" s="31"/>
    </row>
    <row r="49" spans="2:7" x14ac:dyDescent="0.25">
      <c r="B49" s="30"/>
      <c r="D49" s="31"/>
      <c r="E49" s="30"/>
      <c r="G49" s="31"/>
    </row>
    <row r="50" spans="2:7" x14ac:dyDescent="0.25">
      <c r="B50" s="32"/>
      <c r="C50" s="33"/>
      <c r="D50" s="34"/>
      <c r="E50" s="32"/>
      <c r="F50" s="33"/>
      <c r="G50" s="34"/>
    </row>
  </sheetData>
  <mergeCells count="13">
    <mergeCell ref="B29:G30"/>
    <mergeCell ref="B1:D2"/>
    <mergeCell ref="E1:F2"/>
    <mergeCell ref="G1:G2"/>
    <mergeCell ref="B3:F4"/>
    <mergeCell ref="G3:G4"/>
    <mergeCell ref="B5:B14"/>
    <mergeCell ref="C10:G10"/>
    <mergeCell ref="B15:G16"/>
    <mergeCell ref="B17:F18"/>
    <mergeCell ref="G17:G18"/>
    <mergeCell ref="B19:B28"/>
    <mergeCell ref="C25:G25"/>
  </mergeCells>
  <pageMargins left="0.25" right="0.25" top="0.75" bottom="0.75" header="0.3" footer="0.3"/>
  <pageSetup paperSize="9" orientation="portrait" r:id="rId1"/>
  <headerFooter>
    <oddFooter>&amp;R&amp;"Century Gothic,Standard"&amp;9itm I &amp;D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3E8F1-A7F0-4515-9158-381993569FA5}">
  <dimension ref="B1:G50"/>
  <sheetViews>
    <sheetView showWhiteSpace="0" view="pageLayout" zoomScaleNormal="100" workbookViewId="0">
      <selection activeCell="C22" sqref="C22"/>
    </sheetView>
  </sheetViews>
  <sheetFormatPr baseColWidth="10" defaultColWidth="11.42578125" defaultRowHeight="15" x14ac:dyDescent="0.25"/>
  <cols>
    <col min="1" max="1" width="4.85546875" customWidth="1"/>
    <col min="2" max="2" width="10" customWidth="1"/>
    <col min="3" max="7" width="16.28515625" customWidth="1"/>
  </cols>
  <sheetData>
    <row r="1" spans="2:7" ht="14.25" customHeight="1" x14ac:dyDescent="0.25">
      <c r="B1" s="340" t="s">
        <v>80</v>
      </c>
      <c r="C1" s="341"/>
      <c r="D1" s="411"/>
      <c r="E1" s="336">
        <f>Kompetenzraster!Q17</f>
        <v>46290</v>
      </c>
      <c r="F1" s="413"/>
      <c r="G1" s="334">
        <v>7</v>
      </c>
    </row>
    <row r="2" spans="2:7" ht="14.25" customHeight="1" x14ac:dyDescent="0.25">
      <c r="B2" s="342"/>
      <c r="C2" s="343"/>
      <c r="D2" s="412"/>
      <c r="E2" s="414"/>
      <c r="F2" s="415"/>
      <c r="G2" s="335"/>
    </row>
    <row r="3" spans="2:7" ht="14.25" customHeight="1" x14ac:dyDescent="0.25">
      <c r="B3" s="370" t="s">
        <v>142</v>
      </c>
      <c r="C3" s="416"/>
      <c r="D3" s="416"/>
      <c r="E3" s="416"/>
      <c r="F3" s="417"/>
      <c r="G3" s="376">
        <v>1.5</v>
      </c>
    </row>
    <row r="4" spans="2:7" ht="14.25" customHeight="1" x14ac:dyDescent="0.25">
      <c r="B4" s="418"/>
      <c r="C4" s="419"/>
      <c r="D4" s="419"/>
      <c r="E4" s="419"/>
      <c r="F4" s="420"/>
      <c r="G4" s="377"/>
    </row>
    <row r="5" spans="2:7" ht="14.65" customHeight="1" x14ac:dyDescent="0.3">
      <c r="B5" s="401" t="s">
        <v>82</v>
      </c>
      <c r="C5" s="100" t="s">
        <v>153</v>
      </c>
      <c r="D5" s="101"/>
      <c r="E5" s="101"/>
      <c r="F5" s="102" t="s">
        <v>154</v>
      </c>
      <c r="G5" s="50" t="s">
        <v>125</v>
      </c>
    </row>
    <row r="6" spans="2:7" x14ac:dyDescent="0.25">
      <c r="B6" s="378"/>
      <c r="C6" s="95" t="s">
        <v>114</v>
      </c>
      <c r="D6" s="36"/>
      <c r="E6" s="36"/>
      <c r="F6" s="37"/>
      <c r="G6" s="31"/>
    </row>
    <row r="7" spans="2:7" ht="15.75" x14ac:dyDescent="0.3">
      <c r="B7" s="378"/>
      <c r="C7" s="43" t="s">
        <v>155</v>
      </c>
      <c r="F7" s="31"/>
      <c r="G7" s="31"/>
    </row>
    <row r="8" spans="2:7" ht="15.75" x14ac:dyDescent="0.3">
      <c r="B8" s="378"/>
      <c r="C8" s="43" t="s">
        <v>156</v>
      </c>
      <c r="E8" s="38"/>
      <c r="F8" s="39"/>
      <c r="G8" s="39"/>
    </row>
    <row r="9" spans="2:7" ht="15.75" x14ac:dyDescent="0.3">
      <c r="B9" s="378"/>
      <c r="C9" s="44" t="s">
        <v>157</v>
      </c>
      <c r="D9" s="51"/>
      <c r="E9" s="33"/>
      <c r="F9" s="34"/>
      <c r="G9" s="34"/>
    </row>
    <row r="10" spans="2:7" x14ac:dyDescent="0.25">
      <c r="B10" s="378"/>
      <c r="C10" s="393" t="s">
        <v>88</v>
      </c>
      <c r="D10" s="394"/>
      <c r="E10" s="394"/>
      <c r="F10" s="394"/>
      <c r="G10" s="402"/>
    </row>
    <row r="11" spans="2:7" ht="15.75" x14ac:dyDescent="0.3">
      <c r="B11" s="378"/>
      <c r="C11" s="40" t="s">
        <v>158</v>
      </c>
      <c r="D11" s="36"/>
      <c r="E11" s="36"/>
      <c r="F11" s="36"/>
      <c r="G11" s="37"/>
    </row>
    <row r="12" spans="2:7" ht="15.75" x14ac:dyDescent="0.3">
      <c r="B12" s="378"/>
      <c r="C12" s="43" t="s">
        <v>148</v>
      </c>
      <c r="D12" s="38"/>
      <c r="E12" s="38"/>
      <c r="F12" s="38"/>
      <c r="G12" s="39"/>
    </row>
    <row r="13" spans="2:7" ht="15.75" x14ac:dyDescent="0.3">
      <c r="B13" s="378"/>
      <c r="C13" s="43" t="s">
        <v>149</v>
      </c>
      <c r="D13" s="38"/>
      <c r="E13" s="38"/>
      <c r="F13" s="38"/>
      <c r="G13" s="39"/>
    </row>
    <row r="14" spans="2:7" ht="14.25" customHeight="1" x14ac:dyDescent="0.3">
      <c r="B14" s="421"/>
      <c r="C14" s="44"/>
      <c r="D14" s="33"/>
      <c r="E14" s="33"/>
      <c r="F14" s="33"/>
      <c r="G14" s="34"/>
    </row>
    <row r="15" spans="2:7" ht="14.25" customHeight="1" x14ac:dyDescent="0.25">
      <c r="B15" s="356" t="s">
        <v>91</v>
      </c>
      <c r="C15" s="422"/>
      <c r="D15" s="422"/>
      <c r="E15" s="422"/>
      <c r="F15" s="422"/>
      <c r="G15" s="423"/>
    </row>
    <row r="16" spans="2:7" ht="14.25" customHeight="1" x14ac:dyDescent="0.25">
      <c r="B16" s="424"/>
      <c r="C16" s="425"/>
      <c r="D16" s="425"/>
      <c r="E16" s="425"/>
      <c r="F16" s="425"/>
      <c r="G16" s="426"/>
    </row>
    <row r="17" spans="2:7" ht="15" customHeight="1" x14ac:dyDescent="0.25">
      <c r="B17" s="382" t="s">
        <v>159</v>
      </c>
      <c r="C17" s="427"/>
      <c r="D17" s="427"/>
      <c r="E17" s="427"/>
      <c r="F17" s="428"/>
      <c r="G17" s="386">
        <v>1.3</v>
      </c>
    </row>
    <row r="18" spans="2:7" ht="15" customHeight="1" x14ac:dyDescent="0.25">
      <c r="B18" s="429"/>
      <c r="C18" s="430"/>
      <c r="D18" s="430"/>
      <c r="E18" s="430"/>
      <c r="F18" s="431"/>
      <c r="G18" s="432"/>
    </row>
    <row r="19" spans="2:7" ht="14.25" customHeight="1" x14ac:dyDescent="0.3">
      <c r="B19" s="433" t="s">
        <v>92</v>
      </c>
      <c r="C19" s="40" t="s">
        <v>287</v>
      </c>
      <c r="D19" s="41"/>
      <c r="E19" s="41"/>
      <c r="F19" s="42"/>
      <c r="G19" s="53" t="s">
        <v>125</v>
      </c>
    </row>
    <row r="20" spans="2:7" ht="15.75" x14ac:dyDescent="0.3">
      <c r="B20" s="434"/>
      <c r="C20" s="43" t="s">
        <v>288</v>
      </c>
      <c r="F20" s="31"/>
      <c r="G20" s="31"/>
    </row>
    <row r="21" spans="2:7" ht="15.75" x14ac:dyDescent="0.3">
      <c r="B21" s="434"/>
      <c r="C21" s="43" t="s">
        <v>289</v>
      </c>
      <c r="F21" s="31"/>
      <c r="G21" s="31"/>
    </row>
    <row r="22" spans="2:7" ht="15.75" x14ac:dyDescent="0.3">
      <c r="B22" s="434"/>
      <c r="C22" s="43" t="s">
        <v>290</v>
      </c>
      <c r="F22" s="31"/>
      <c r="G22" s="39"/>
    </row>
    <row r="23" spans="2:7" ht="15.75" x14ac:dyDescent="0.3">
      <c r="B23" s="434"/>
      <c r="C23" s="44"/>
      <c r="D23" s="33"/>
      <c r="E23" s="33"/>
      <c r="F23" s="34"/>
      <c r="G23" s="34"/>
    </row>
    <row r="24" spans="2:7" x14ac:dyDescent="0.25">
      <c r="B24" s="434"/>
      <c r="C24" s="362" t="s">
        <v>88</v>
      </c>
      <c r="D24" s="363"/>
      <c r="E24" s="363"/>
      <c r="F24" s="363"/>
      <c r="G24" s="364"/>
    </row>
    <row r="25" spans="2:7" ht="15.75" x14ac:dyDescent="0.3">
      <c r="B25" s="434"/>
      <c r="C25" s="43" t="s">
        <v>160</v>
      </c>
      <c r="D25" s="38"/>
      <c r="E25" s="38"/>
      <c r="F25" s="38"/>
      <c r="G25" s="39"/>
    </row>
    <row r="26" spans="2:7" ht="15.75" x14ac:dyDescent="0.3">
      <c r="B26" s="434"/>
      <c r="C26" s="43"/>
      <c r="G26" s="31"/>
    </row>
    <row r="27" spans="2:7" x14ac:dyDescent="0.25">
      <c r="B27" s="435"/>
      <c r="C27" s="32"/>
      <c r="D27" s="33"/>
      <c r="E27" s="33"/>
      <c r="F27" s="33"/>
      <c r="G27" s="34"/>
    </row>
    <row r="28" spans="2:7" ht="14.25" customHeight="1" x14ac:dyDescent="0.25">
      <c r="B28" s="328" t="s">
        <v>97</v>
      </c>
      <c r="C28" s="409"/>
      <c r="D28" s="409"/>
      <c r="E28" s="409"/>
      <c r="F28" s="409"/>
      <c r="G28" s="337"/>
    </row>
    <row r="29" spans="2:7" ht="14.25" customHeight="1" x14ac:dyDescent="0.25">
      <c r="B29" s="338"/>
      <c r="C29" s="410"/>
      <c r="D29" s="410"/>
      <c r="E29" s="410"/>
      <c r="F29" s="410"/>
      <c r="G29" s="339"/>
    </row>
    <row r="30" spans="2:7" x14ac:dyDescent="0.25">
      <c r="B30" s="35"/>
      <c r="C30" s="36"/>
      <c r="D30" s="37"/>
      <c r="E30" s="35"/>
      <c r="F30" s="36"/>
      <c r="G30" s="37"/>
    </row>
    <row r="31" spans="2:7" x14ac:dyDescent="0.25">
      <c r="B31" s="30"/>
      <c r="D31" s="31"/>
      <c r="E31" s="30"/>
      <c r="G31" s="31"/>
    </row>
    <row r="32" spans="2:7" ht="15.75" x14ac:dyDescent="0.25">
      <c r="B32" s="30"/>
      <c r="C32" s="67"/>
      <c r="D32" s="31"/>
      <c r="E32" s="61"/>
      <c r="F32" s="16"/>
      <c r="G32" s="62"/>
    </row>
    <row r="33" spans="2:7" x14ac:dyDescent="0.25">
      <c r="B33" s="30"/>
      <c r="D33" s="31"/>
      <c r="E33" s="30"/>
      <c r="G33" s="31"/>
    </row>
    <row r="34" spans="2:7" ht="15.75" x14ac:dyDescent="0.3">
      <c r="B34" s="30"/>
      <c r="C34" s="60"/>
      <c r="D34" s="31"/>
      <c r="E34" s="30"/>
      <c r="G34" s="31"/>
    </row>
    <row r="35" spans="2:7" x14ac:dyDescent="0.25">
      <c r="B35" s="30"/>
      <c r="D35" s="31"/>
      <c r="E35" s="30"/>
      <c r="G35" s="31"/>
    </row>
    <row r="36" spans="2:7" x14ac:dyDescent="0.25">
      <c r="B36" s="30"/>
      <c r="D36" s="31"/>
      <c r="E36" s="30"/>
      <c r="G36" s="31"/>
    </row>
    <row r="37" spans="2:7" x14ac:dyDescent="0.25">
      <c r="B37" s="30"/>
      <c r="D37" s="31"/>
      <c r="E37" s="30"/>
      <c r="G37" s="31"/>
    </row>
    <row r="38" spans="2:7" x14ac:dyDescent="0.25">
      <c r="B38" s="30"/>
      <c r="D38" s="31"/>
      <c r="E38" s="30"/>
      <c r="G38" s="31"/>
    </row>
    <row r="39" spans="2:7" x14ac:dyDescent="0.25">
      <c r="B39" s="30"/>
      <c r="D39" s="31"/>
      <c r="E39" s="30"/>
      <c r="G39" s="31"/>
    </row>
    <row r="40" spans="2:7" x14ac:dyDescent="0.25">
      <c r="B40" s="30"/>
      <c r="D40" s="31"/>
      <c r="E40" s="30"/>
      <c r="G40" s="31"/>
    </row>
    <row r="41" spans="2:7" x14ac:dyDescent="0.25">
      <c r="B41" s="30"/>
      <c r="D41" s="31"/>
      <c r="E41" s="30"/>
      <c r="G41" s="31"/>
    </row>
    <row r="42" spans="2:7" x14ac:dyDescent="0.25">
      <c r="B42" s="30"/>
      <c r="D42" s="31"/>
      <c r="E42" s="30"/>
      <c r="G42" s="31"/>
    </row>
    <row r="43" spans="2:7" x14ac:dyDescent="0.25">
      <c r="B43" s="30"/>
      <c r="D43" s="31"/>
      <c r="E43" s="30"/>
      <c r="G43" s="31"/>
    </row>
    <row r="44" spans="2:7" x14ac:dyDescent="0.25">
      <c r="B44" s="30"/>
      <c r="D44" s="31"/>
      <c r="E44" s="30"/>
      <c r="G44" s="31"/>
    </row>
    <row r="45" spans="2:7" x14ac:dyDescent="0.25">
      <c r="B45" s="30"/>
      <c r="D45" s="31"/>
      <c r="E45" s="30"/>
      <c r="G45" s="31"/>
    </row>
    <row r="46" spans="2:7" x14ac:dyDescent="0.25">
      <c r="B46" s="30"/>
      <c r="D46" s="31"/>
      <c r="E46" s="30"/>
      <c r="G46" s="31"/>
    </row>
    <row r="47" spans="2:7" x14ac:dyDescent="0.25">
      <c r="B47" s="30"/>
      <c r="D47" s="31"/>
      <c r="E47" s="30"/>
      <c r="G47" s="31"/>
    </row>
    <row r="48" spans="2:7" x14ac:dyDescent="0.25">
      <c r="B48" s="30"/>
      <c r="D48" s="31"/>
      <c r="E48" s="30"/>
      <c r="G48" s="31"/>
    </row>
    <row r="49" spans="2:7" x14ac:dyDescent="0.25">
      <c r="B49" s="30"/>
      <c r="D49" s="31"/>
      <c r="E49" s="30"/>
      <c r="G49" s="31"/>
    </row>
    <row r="50" spans="2:7" x14ac:dyDescent="0.25">
      <c r="B50" s="32"/>
      <c r="C50" s="33"/>
      <c r="D50" s="34"/>
      <c r="E50" s="32"/>
      <c r="F50" s="33"/>
      <c r="G50" s="34"/>
    </row>
  </sheetData>
  <mergeCells count="13">
    <mergeCell ref="B28:G29"/>
    <mergeCell ref="B1:D2"/>
    <mergeCell ref="E1:F2"/>
    <mergeCell ref="G1:G2"/>
    <mergeCell ref="B3:F4"/>
    <mergeCell ref="G3:G4"/>
    <mergeCell ref="B5:B14"/>
    <mergeCell ref="C10:G10"/>
    <mergeCell ref="B15:G16"/>
    <mergeCell ref="B17:F18"/>
    <mergeCell ref="G17:G18"/>
    <mergeCell ref="B19:B27"/>
    <mergeCell ref="C24:G24"/>
  </mergeCells>
  <pageMargins left="0.25" right="0.25" top="0.75" bottom="0.75" header="0.3" footer="0.3"/>
  <pageSetup paperSize="9" orientation="portrait" r:id="rId1"/>
  <headerFooter>
    <oddFooter>&amp;R&amp;"Century Gothic,Standard"&amp;9itm I &amp;D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B15B3-AB11-4D46-BC78-ED189CFDA052}">
  <dimension ref="B1:G49"/>
  <sheetViews>
    <sheetView view="pageLayout" zoomScaleNormal="100" workbookViewId="0">
      <selection activeCell="E23" sqref="E23"/>
    </sheetView>
  </sheetViews>
  <sheetFormatPr baseColWidth="10" defaultColWidth="11.42578125" defaultRowHeight="15" x14ac:dyDescent="0.25"/>
  <cols>
    <col min="1" max="1" width="4.85546875" customWidth="1"/>
    <col min="2" max="2" width="10" customWidth="1"/>
    <col min="3" max="7" width="16.28515625" customWidth="1"/>
  </cols>
  <sheetData>
    <row r="1" spans="2:7" x14ac:dyDescent="0.25">
      <c r="B1" s="340" t="s">
        <v>80</v>
      </c>
      <c r="C1" s="341"/>
      <c r="D1" s="341"/>
      <c r="E1" s="336">
        <f>Kompetenzraster!Q19</f>
        <v>46318</v>
      </c>
      <c r="F1" s="337"/>
      <c r="G1" s="334">
        <v>8</v>
      </c>
    </row>
    <row r="2" spans="2:7" x14ac:dyDescent="0.25">
      <c r="B2" s="342"/>
      <c r="C2" s="343"/>
      <c r="D2" s="343"/>
      <c r="E2" s="338"/>
      <c r="F2" s="339"/>
      <c r="G2" s="335"/>
    </row>
    <row r="3" spans="2:7" x14ac:dyDescent="0.25">
      <c r="B3" s="370" t="s">
        <v>142</v>
      </c>
      <c r="C3" s="371"/>
      <c r="D3" s="371"/>
      <c r="E3" s="371"/>
      <c r="F3" s="372"/>
      <c r="G3" s="376">
        <v>1.5</v>
      </c>
    </row>
    <row r="4" spans="2:7" x14ac:dyDescent="0.25">
      <c r="B4" s="373"/>
      <c r="C4" s="374"/>
      <c r="D4" s="374"/>
      <c r="E4" s="374"/>
      <c r="F4" s="375"/>
      <c r="G4" s="377"/>
    </row>
    <row r="5" spans="2:7" x14ac:dyDescent="0.25">
      <c r="B5" s="378" t="s">
        <v>82</v>
      </c>
      <c r="C5" s="95" t="s">
        <v>120</v>
      </c>
      <c r="D5" s="36"/>
      <c r="E5" s="36"/>
      <c r="F5" s="37"/>
      <c r="G5" s="50" t="s">
        <v>125</v>
      </c>
    </row>
    <row r="6" spans="2:7" ht="15.75" x14ac:dyDescent="0.3">
      <c r="B6" s="379"/>
      <c r="C6" s="43" t="s">
        <v>161</v>
      </c>
      <c r="D6" s="38"/>
      <c r="E6" s="38"/>
      <c r="F6" s="39"/>
      <c r="G6" s="47"/>
    </row>
    <row r="7" spans="2:7" ht="15.75" x14ac:dyDescent="0.3">
      <c r="B7" s="379"/>
      <c r="C7" s="43" t="s">
        <v>286</v>
      </c>
      <c r="F7" s="31"/>
      <c r="G7" s="47"/>
    </row>
    <row r="8" spans="2:7" ht="15.75" x14ac:dyDescent="0.3">
      <c r="B8" s="379"/>
      <c r="C8" s="43"/>
      <c r="D8" s="38"/>
      <c r="E8" s="38"/>
      <c r="F8" s="39"/>
      <c r="G8" s="48"/>
    </row>
    <row r="9" spans="2:7" x14ac:dyDescent="0.25">
      <c r="B9" s="379"/>
      <c r="C9" s="30"/>
      <c r="F9" s="31"/>
      <c r="G9" s="47"/>
    </row>
    <row r="10" spans="2:7" x14ac:dyDescent="0.25">
      <c r="B10" s="379"/>
      <c r="C10" s="30"/>
      <c r="F10" s="31"/>
      <c r="G10" s="47"/>
    </row>
    <row r="11" spans="2:7" ht="15.75" x14ac:dyDescent="0.3">
      <c r="B11" s="379"/>
      <c r="C11" s="44"/>
      <c r="D11" s="33"/>
      <c r="E11" s="33"/>
      <c r="F11" s="34"/>
      <c r="G11" s="49"/>
    </row>
    <row r="12" spans="2:7" x14ac:dyDescent="0.25">
      <c r="B12" s="379"/>
      <c r="C12" s="393" t="s">
        <v>88</v>
      </c>
      <c r="D12" s="394"/>
      <c r="E12" s="394"/>
      <c r="F12" s="394"/>
      <c r="G12" s="402"/>
    </row>
    <row r="13" spans="2:7" ht="15.75" x14ac:dyDescent="0.3">
      <c r="B13" s="379"/>
      <c r="C13" s="40" t="s">
        <v>162</v>
      </c>
      <c r="D13" s="36"/>
      <c r="E13" s="36"/>
      <c r="F13" s="36"/>
      <c r="G13" s="37"/>
    </row>
    <row r="14" spans="2:7" ht="15.75" x14ac:dyDescent="0.3">
      <c r="B14" s="406"/>
      <c r="C14" s="43" t="s">
        <v>148</v>
      </c>
      <c r="D14" s="38"/>
      <c r="E14" s="38"/>
      <c r="F14" s="38"/>
      <c r="G14" s="39"/>
    </row>
    <row r="15" spans="2:7" x14ac:dyDescent="0.25">
      <c r="B15" s="356" t="s">
        <v>91</v>
      </c>
      <c r="C15" s="407"/>
      <c r="D15" s="407"/>
      <c r="E15" s="407"/>
      <c r="F15" s="407"/>
      <c r="G15" s="408"/>
    </row>
    <row r="16" spans="2:7" x14ac:dyDescent="0.25">
      <c r="B16" s="359"/>
      <c r="C16" s="360"/>
      <c r="D16" s="360"/>
      <c r="E16" s="360"/>
      <c r="F16" s="360"/>
      <c r="G16" s="361"/>
    </row>
    <row r="17" spans="2:7" ht="15" customHeight="1" x14ac:dyDescent="0.25">
      <c r="B17" s="382" t="s">
        <v>159</v>
      </c>
      <c r="C17" s="383"/>
      <c r="D17" s="383"/>
      <c r="E17" s="383"/>
      <c r="F17" s="383"/>
      <c r="G17" s="386">
        <v>1.3</v>
      </c>
    </row>
    <row r="18" spans="2:7" ht="15" customHeight="1" x14ac:dyDescent="0.25">
      <c r="B18" s="384"/>
      <c r="C18" s="385"/>
      <c r="D18" s="385"/>
      <c r="E18" s="385"/>
      <c r="F18" s="385"/>
      <c r="G18" s="387"/>
    </row>
    <row r="19" spans="2:7" ht="15.75" x14ac:dyDescent="0.3">
      <c r="B19" s="388" t="s">
        <v>92</v>
      </c>
      <c r="C19" s="40" t="s">
        <v>291</v>
      </c>
      <c r="D19" s="41"/>
      <c r="E19" s="41"/>
      <c r="F19" s="42"/>
      <c r="G19" s="53" t="s">
        <v>125</v>
      </c>
    </row>
    <row r="20" spans="2:7" ht="15.75" x14ac:dyDescent="0.3">
      <c r="B20" s="390"/>
      <c r="C20" s="43" t="s">
        <v>163</v>
      </c>
      <c r="F20" s="31"/>
      <c r="G20" s="31"/>
    </row>
    <row r="21" spans="2:7" ht="15.75" x14ac:dyDescent="0.3">
      <c r="B21" s="390"/>
      <c r="C21" s="43" t="s">
        <v>164</v>
      </c>
      <c r="F21" s="31"/>
      <c r="G21" s="31"/>
    </row>
    <row r="22" spans="2:7" ht="15.75" x14ac:dyDescent="0.3">
      <c r="B22" s="390"/>
      <c r="C22" s="43" t="s">
        <v>292</v>
      </c>
      <c r="F22" s="31"/>
      <c r="G22" s="39"/>
    </row>
    <row r="23" spans="2:7" ht="15.75" x14ac:dyDescent="0.3">
      <c r="B23" s="390"/>
      <c r="C23" s="44"/>
      <c r="D23" s="33"/>
      <c r="E23" s="33"/>
      <c r="F23" s="34"/>
      <c r="G23" s="34"/>
    </row>
    <row r="24" spans="2:7" x14ac:dyDescent="0.25">
      <c r="B24" s="391"/>
      <c r="C24" s="393" t="s">
        <v>88</v>
      </c>
      <c r="D24" s="394"/>
      <c r="E24" s="394"/>
      <c r="F24" s="394"/>
      <c r="G24" s="364"/>
    </row>
    <row r="25" spans="2:7" ht="15.75" x14ac:dyDescent="0.3">
      <c r="B25" s="391"/>
      <c r="C25" s="43" t="s">
        <v>165</v>
      </c>
      <c r="D25" s="38"/>
      <c r="E25" s="38"/>
      <c r="F25" s="38"/>
      <c r="G25" s="39"/>
    </row>
    <row r="26" spans="2:7" ht="15.75" x14ac:dyDescent="0.3">
      <c r="B26" s="391"/>
      <c r="C26" s="43" t="s">
        <v>20</v>
      </c>
      <c r="G26" s="31"/>
    </row>
    <row r="27" spans="2:7" x14ac:dyDescent="0.25">
      <c r="B27" s="392"/>
      <c r="C27" s="32"/>
      <c r="D27" s="33"/>
      <c r="E27" s="33"/>
      <c r="F27" s="33"/>
      <c r="G27" s="34"/>
    </row>
    <row r="28" spans="2:7" x14ac:dyDescent="0.25">
      <c r="B28" s="328" t="s">
        <v>97</v>
      </c>
      <c r="C28" s="395"/>
      <c r="D28" s="395"/>
      <c r="E28" s="395"/>
      <c r="F28" s="395"/>
      <c r="G28" s="396"/>
    </row>
    <row r="29" spans="2:7" x14ac:dyDescent="0.25">
      <c r="B29" s="397"/>
      <c r="C29" s="398"/>
      <c r="D29" s="398"/>
      <c r="E29" s="398"/>
      <c r="F29" s="398"/>
      <c r="G29" s="399"/>
    </row>
    <row r="30" spans="2:7" x14ac:dyDescent="0.25">
      <c r="B30" s="35"/>
      <c r="C30" s="36"/>
      <c r="D30" s="37"/>
      <c r="E30" s="35"/>
      <c r="F30" s="36"/>
      <c r="G30" s="37"/>
    </row>
    <row r="31" spans="2:7" x14ac:dyDescent="0.25">
      <c r="B31" s="30"/>
      <c r="D31" s="31"/>
      <c r="E31" s="30"/>
      <c r="G31" s="31"/>
    </row>
    <row r="32" spans="2:7" x14ac:dyDescent="0.25">
      <c r="B32" s="30"/>
      <c r="C32" s="58"/>
      <c r="D32" s="31"/>
      <c r="E32" s="30"/>
      <c r="G32" s="31"/>
    </row>
    <row r="33" spans="2:7" x14ac:dyDescent="0.25">
      <c r="B33" s="30"/>
      <c r="D33" s="31"/>
      <c r="E33" s="30"/>
      <c r="G33" s="31"/>
    </row>
    <row r="34" spans="2:7" x14ac:dyDescent="0.25">
      <c r="B34" s="30"/>
      <c r="D34" s="31"/>
      <c r="E34" s="30"/>
      <c r="G34" s="31"/>
    </row>
    <row r="35" spans="2:7" x14ac:dyDescent="0.25">
      <c r="B35" s="30"/>
      <c r="D35" s="31"/>
      <c r="E35" s="30"/>
      <c r="G35" s="31"/>
    </row>
    <row r="36" spans="2:7" x14ac:dyDescent="0.25">
      <c r="B36" s="30"/>
      <c r="D36" s="31"/>
      <c r="E36" s="30"/>
      <c r="G36" s="31"/>
    </row>
    <row r="37" spans="2:7" x14ac:dyDescent="0.25">
      <c r="B37" s="30"/>
      <c r="D37" s="31"/>
      <c r="E37" s="30"/>
      <c r="G37" s="31"/>
    </row>
    <row r="38" spans="2:7" x14ac:dyDescent="0.25">
      <c r="B38" s="30"/>
      <c r="D38" s="31"/>
      <c r="E38" s="30"/>
      <c r="G38" s="31"/>
    </row>
    <row r="39" spans="2:7" x14ac:dyDescent="0.25">
      <c r="B39" s="30"/>
      <c r="D39" s="31"/>
      <c r="E39" s="30"/>
      <c r="G39" s="31"/>
    </row>
    <row r="40" spans="2:7" x14ac:dyDescent="0.25">
      <c r="B40" s="30"/>
      <c r="D40" s="31"/>
      <c r="E40" s="30"/>
      <c r="G40" s="31"/>
    </row>
    <row r="41" spans="2:7" x14ac:dyDescent="0.25">
      <c r="B41" s="30"/>
      <c r="D41" s="31"/>
      <c r="E41" s="30"/>
      <c r="G41" s="31"/>
    </row>
    <row r="42" spans="2:7" x14ac:dyDescent="0.25">
      <c r="B42" s="30"/>
      <c r="D42" s="31"/>
      <c r="E42" s="30"/>
      <c r="G42" s="31"/>
    </row>
    <row r="43" spans="2:7" x14ac:dyDescent="0.25">
      <c r="B43" s="30"/>
      <c r="D43" s="31"/>
      <c r="E43" s="30"/>
      <c r="G43" s="31"/>
    </row>
    <row r="44" spans="2:7" x14ac:dyDescent="0.25">
      <c r="B44" s="30"/>
      <c r="D44" s="31"/>
      <c r="E44" s="30"/>
      <c r="G44" s="31"/>
    </row>
    <row r="45" spans="2:7" x14ac:dyDescent="0.25">
      <c r="B45" s="30"/>
      <c r="D45" s="31"/>
      <c r="E45" s="30"/>
      <c r="G45" s="31"/>
    </row>
    <row r="46" spans="2:7" x14ac:dyDescent="0.25">
      <c r="B46" s="30"/>
      <c r="D46" s="31"/>
      <c r="E46" s="30"/>
      <c r="G46" s="31"/>
    </row>
    <row r="47" spans="2:7" x14ac:dyDescent="0.25">
      <c r="B47" s="30"/>
      <c r="D47" s="31"/>
      <c r="E47" s="30"/>
      <c r="G47" s="31"/>
    </row>
    <row r="48" spans="2:7" x14ac:dyDescent="0.25">
      <c r="B48" s="30"/>
      <c r="D48" s="31"/>
      <c r="E48" s="30"/>
      <c r="G48" s="31"/>
    </row>
    <row r="49" spans="2:7" x14ac:dyDescent="0.25">
      <c r="B49" s="32"/>
      <c r="C49" s="33"/>
      <c r="D49" s="34"/>
      <c r="E49" s="32"/>
      <c r="F49" s="33"/>
      <c r="G49" s="34"/>
    </row>
  </sheetData>
  <mergeCells count="13">
    <mergeCell ref="B28:G29"/>
    <mergeCell ref="B1:D2"/>
    <mergeCell ref="E1:F2"/>
    <mergeCell ref="G1:G2"/>
    <mergeCell ref="B3:F4"/>
    <mergeCell ref="G3:G4"/>
    <mergeCell ref="B5:B14"/>
    <mergeCell ref="C12:G12"/>
    <mergeCell ref="B15:G16"/>
    <mergeCell ref="B17:F18"/>
    <mergeCell ref="G17:G18"/>
    <mergeCell ref="B19:B27"/>
    <mergeCell ref="C24:G24"/>
  </mergeCells>
  <pageMargins left="0.25" right="0.25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34593-7427-4B9C-B320-1C9611B75242}">
  <dimension ref="B1:G49"/>
  <sheetViews>
    <sheetView showWhiteSpace="0" view="pageLayout" topLeftCell="B1" zoomScaleNormal="100" workbookViewId="0">
      <selection activeCell="F31" sqref="F31"/>
    </sheetView>
  </sheetViews>
  <sheetFormatPr baseColWidth="10" defaultColWidth="11.42578125" defaultRowHeight="15" x14ac:dyDescent="0.25"/>
  <cols>
    <col min="1" max="1" width="4.85546875" customWidth="1"/>
    <col min="2" max="2" width="10" customWidth="1"/>
    <col min="3" max="7" width="16.28515625" customWidth="1"/>
  </cols>
  <sheetData>
    <row r="1" spans="2:7" x14ac:dyDescent="0.25">
      <c r="B1" s="340" t="s">
        <v>80</v>
      </c>
      <c r="C1" s="341"/>
      <c r="D1" s="341"/>
      <c r="E1" s="336">
        <f>Kompetenzraster!Q21</f>
        <v>46325</v>
      </c>
      <c r="F1" s="337"/>
      <c r="G1" s="334">
        <v>9</v>
      </c>
    </row>
    <row r="2" spans="2:7" x14ac:dyDescent="0.25">
      <c r="B2" s="342"/>
      <c r="C2" s="343"/>
      <c r="D2" s="343"/>
      <c r="E2" s="338"/>
      <c r="F2" s="339"/>
      <c r="G2" s="335"/>
    </row>
    <row r="3" spans="2:7" x14ac:dyDescent="0.25">
      <c r="B3" s="370" t="s">
        <v>142</v>
      </c>
      <c r="C3" s="371"/>
      <c r="D3" s="371"/>
      <c r="E3" s="371"/>
      <c r="F3" s="372"/>
      <c r="G3" s="376">
        <v>1.5</v>
      </c>
    </row>
    <row r="4" spans="2:7" x14ac:dyDescent="0.25">
      <c r="B4" s="373"/>
      <c r="C4" s="374"/>
      <c r="D4" s="374"/>
      <c r="E4" s="374"/>
      <c r="F4" s="375"/>
      <c r="G4" s="377"/>
    </row>
    <row r="5" spans="2:7" ht="15.75" x14ac:dyDescent="0.3">
      <c r="B5" s="378" t="s">
        <v>82</v>
      </c>
      <c r="C5" s="98" t="s">
        <v>166</v>
      </c>
      <c r="D5" s="41"/>
      <c r="E5" s="41"/>
      <c r="F5" s="42"/>
      <c r="G5" s="50" t="s">
        <v>125</v>
      </c>
    </row>
    <row r="6" spans="2:7" ht="15.75" x14ac:dyDescent="0.3">
      <c r="B6" s="379"/>
      <c r="C6" s="43" t="s">
        <v>167</v>
      </c>
      <c r="F6" s="31"/>
      <c r="G6" s="47"/>
    </row>
    <row r="7" spans="2:7" ht="15.75" x14ac:dyDescent="0.3">
      <c r="B7" s="379"/>
      <c r="C7" s="43" t="s">
        <v>168</v>
      </c>
      <c r="F7" s="31"/>
      <c r="G7" s="47"/>
    </row>
    <row r="8" spans="2:7" ht="15.75" x14ac:dyDescent="0.3">
      <c r="B8" s="379"/>
      <c r="C8" s="43"/>
      <c r="D8" s="38"/>
      <c r="E8" s="38"/>
      <c r="F8" s="39"/>
      <c r="G8" s="103" t="s">
        <v>137</v>
      </c>
    </row>
    <row r="9" spans="2:7" x14ac:dyDescent="0.25">
      <c r="B9" s="379"/>
      <c r="F9" s="31"/>
      <c r="G9" s="47"/>
    </row>
    <row r="10" spans="2:7" x14ac:dyDescent="0.25">
      <c r="B10" s="379"/>
      <c r="C10" s="32"/>
      <c r="D10" s="33"/>
      <c r="E10" s="33"/>
      <c r="F10" s="34"/>
      <c r="G10" s="49"/>
    </row>
    <row r="11" spans="2:7" x14ac:dyDescent="0.25">
      <c r="B11" s="379"/>
      <c r="C11" s="393" t="s">
        <v>88</v>
      </c>
      <c r="D11" s="394"/>
      <c r="E11" s="394"/>
      <c r="F11" s="394"/>
      <c r="G11" s="402"/>
    </row>
    <row r="12" spans="2:7" ht="15.75" x14ac:dyDescent="0.3">
      <c r="B12" s="379"/>
      <c r="C12" s="40" t="s">
        <v>169</v>
      </c>
      <c r="D12" s="36"/>
      <c r="E12" s="36"/>
      <c r="F12" s="36"/>
      <c r="G12" s="37"/>
    </row>
    <row r="13" spans="2:7" ht="15.75" x14ac:dyDescent="0.3">
      <c r="B13" s="379"/>
      <c r="C13" s="43"/>
      <c r="D13" s="38"/>
      <c r="E13" s="38"/>
      <c r="F13" s="38"/>
      <c r="G13" s="39"/>
    </row>
    <row r="14" spans="2:7" ht="15.75" x14ac:dyDescent="0.3">
      <c r="B14" s="406"/>
      <c r="C14" s="44"/>
      <c r="D14" s="33"/>
      <c r="E14" s="33"/>
      <c r="F14" s="33"/>
      <c r="G14" s="34"/>
    </row>
    <row r="15" spans="2:7" x14ac:dyDescent="0.25">
      <c r="B15" s="356" t="s">
        <v>91</v>
      </c>
      <c r="C15" s="407"/>
      <c r="D15" s="407"/>
      <c r="E15" s="407"/>
      <c r="F15" s="407"/>
      <c r="G15" s="408"/>
    </row>
    <row r="16" spans="2:7" x14ac:dyDescent="0.25">
      <c r="B16" s="359"/>
      <c r="C16" s="360"/>
      <c r="D16" s="360"/>
      <c r="E16" s="360"/>
      <c r="F16" s="360"/>
      <c r="G16" s="361"/>
    </row>
    <row r="17" spans="2:7" ht="15" customHeight="1" x14ac:dyDescent="0.25">
      <c r="B17" s="382" t="s">
        <v>170</v>
      </c>
      <c r="C17" s="383"/>
      <c r="D17" s="383"/>
      <c r="E17" s="383"/>
      <c r="F17" s="383"/>
      <c r="G17" s="386">
        <v>1.2</v>
      </c>
    </row>
    <row r="18" spans="2:7" ht="15" customHeight="1" x14ac:dyDescent="0.25">
      <c r="B18" s="384"/>
      <c r="C18" s="385"/>
      <c r="D18" s="385"/>
      <c r="E18" s="385"/>
      <c r="F18" s="385"/>
      <c r="G18" s="387"/>
    </row>
    <row r="19" spans="2:7" ht="15.75" x14ac:dyDescent="0.3">
      <c r="B19" s="388" t="s">
        <v>92</v>
      </c>
      <c r="C19" s="95" t="s">
        <v>171</v>
      </c>
      <c r="D19" s="41"/>
      <c r="E19" s="41"/>
      <c r="F19" s="42"/>
      <c r="G19" s="53" t="s">
        <v>125</v>
      </c>
    </row>
    <row r="20" spans="2:7" ht="15.75" x14ac:dyDescent="0.3">
      <c r="B20" s="390"/>
      <c r="C20" s="48" t="s">
        <v>172</v>
      </c>
      <c r="F20" s="31"/>
      <c r="G20" s="31"/>
    </row>
    <row r="21" spans="2:7" ht="15.75" x14ac:dyDescent="0.3">
      <c r="B21" s="390"/>
      <c r="C21" s="48" t="s">
        <v>173</v>
      </c>
      <c r="F21" s="31"/>
      <c r="G21" s="31"/>
    </row>
    <row r="22" spans="2:7" ht="15.75" x14ac:dyDescent="0.3">
      <c r="B22" s="390"/>
      <c r="C22" s="48" t="s">
        <v>174</v>
      </c>
      <c r="F22" s="31"/>
      <c r="G22" s="39"/>
    </row>
    <row r="23" spans="2:7" x14ac:dyDescent="0.25">
      <c r="B23" s="390"/>
      <c r="C23" s="32"/>
      <c r="D23" s="33"/>
      <c r="E23" s="33"/>
      <c r="F23" s="34"/>
      <c r="G23" s="34"/>
    </row>
    <row r="24" spans="2:7" x14ac:dyDescent="0.25">
      <c r="B24" s="391"/>
      <c r="C24" s="393" t="s">
        <v>88</v>
      </c>
      <c r="D24" s="394"/>
      <c r="E24" s="394"/>
      <c r="F24" s="394"/>
      <c r="G24" s="364"/>
    </row>
    <row r="25" spans="2:7" ht="15.75" x14ac:dyDescent="0.3">
      <c r="B25" s="391"/>
      <c r="C25" s="43" t="s">
        <v>175</v>
      </c>
      <c r="D25" s="38"/>
      <c r="E25" s="38"/>
      <c r="F25" s="38"/>
      <c r="G25" s="39"/>
    </row>
    <row r="26" spans="2:7" ht="15.75" x14ac:dyDescent="0.3">
      <c r="B26" s="391"/>
      <c r="C26" s="43"/>
      <c r="G26" s="31"/>
    </row>
    <row r="27" spans="2:7" x14ac:dyDescent="0.25">
      <c r="B27" s="392"/>
      <c r="C27" s="32"/>
      <c r="D27" s="33"/>
      <c r="E27" s="33"/>
      <c r="F27" s="33"/>
      <c r="G27" s="34"/>
    </row>
    <row r="28" spans="2:7" x14ac:dyDescent="0.25">
      <c r="B28" s="328" t="s">
        <v>97</v>
      </c>
      <c r="C28" s="395"/>
      <c r="D28" s="395"/>
      <c r="E28" s="395"/>
      <c r="F28" s="395"/>
      <c r="G28" s="396"/>
    </row>
    <row r="29" spans="2:7" x14ac:dyDescent="0.25">
      <c r="B29" s="397"/>
      <c r="C29" s="398"/>
      <c r="D29" s="398"/>
      <c r="E29" s="398"/>
      <c r="F29" s="398"/>
      <c r="G29" s="399"/>
    </row>
    <row r="30" spans="2:7" x14ac:dyDescent="0.25">
      <c r="B30" s="35"/>
      <c r="C30" s="36"/>
      <c r="D30" s="37"/>
      <c r="E30" s="35"/>
      <c r="F30" s="36"/>
      <c r="G30" s="37"/>
    </row>
    <row r="31" spans="2:7" x14ac:dyDescent="0.25">
      <c r="B31" s="30"/>
      <c r="D31" s="31"/>
      <c r="E31" s="30"/>
      <c r="G31" s="31"/>
    </row>
    <row r="32" spans="2:7" x14ac:dyDescent="0.25">
      <c r="B32" s="436" t="s">
        <v>293</v>
      </c>
      <c r="C32" s="437"/>
      <c r="D32" s="438"/>
      <c r="E32" s="30"/>
      <c r="G32" s="31"/>
    </row>
    <row r="33" spans="2:7" x14ac:dyDescent="0.25">
      <c r="B33" s="30"/>
      <c r="D33" s="31"/>
      <c r="E33" s="30"/>
      <c r="G33" s="31"/>
    </row>
    <row r="34" spans="2:7" ht="15.75" x14ac:dyDescent="0.3">
      <c r="B34" s="30"/>
      <c r="C34" s="60"/>
      <c r="D34" s="31"/>
      <c r="E34" s="30"/>
      <c r="G34" s="31"/>
    </row>
    <row r="35" spans="2:7" ht="15.75" x14ac:dyDescent="0.3">
      <c r="B35" s="30"/>
      <c r="C35" s="60"/>
      <c r="D35" s="31"/>
      <c r="E35" s="30"/>
      <c r="G35" s="31"/>
    </row>
    <row r="36" spans="2:7" x14ac:dyDescent="0.25">
      <c r="B36" s="30"/>
      <c r="D36" s="31"/>
      <c r="E36" s="30"/>
      <c r="G36" s="31"/>
    </row>
    <row r="37" spans="2:7" x14ac:dyDescent="0.25">
      <c r="B37" s="30"/>
      <c r="D37" s="31"/>
      <c r="E37" s="30"/>
      <c r="G37" s="31"/>
    </row>
    <row r="38" spans="2:7" x14ac:dyDescent="0.25">
      <c r="B38" s="30"/>
      <c r="D38" s="31"/>
      <c r="E38" s="30"/>
      <c r="G38" s="31"/>
    </row>
    <row r="39" spans="2:7" x14ac:dyDescent="0.25">
      <c r="B39" s="30"/>
      <c r="D39" s="31"/>
      <c r="E39" s="30"/>
      <c r="G39" s="31"/>
    </row>
    <row r="40" spans="2:7" x14ac:dyDescent="0.25">
      <c r="B40" s="30"/>
      <c r="D40" s="31"/>
      <c r="E40" s="30"/>
      <c r="G40" s="31"/>
    </row>
    <row r="41" spans="2:7" x14ac:dyDescent="0.25">
      <c r="B41" s="30"/>
      <c r="D41" s="31"/>
      <c r="E41" s="30"/>
      <c r="G41" s="31"/>
    </row>
    <row r="42" spans="2:7" x14ac:dyDescent="0.25">
      <c r="B42" s="30"/>
      <c r="D42" s="31"/>
      <c r="E42" s="30"/>
      <c r="G42" s="31"/>
    </row>
    <row r="43" spans="2:7" x14ac:dyDescent="0.25">
      <c r="B43" s="30"/>
      <c r="D43" s="31"/>
      <c r="E43" s="30"/>
      <c r="G43" s="31"/>
    </row>
    <row r="44" spans="2:7" x14ac:dyDescent="0.25">
      <c r="B44" s="30"/>
      <c r="D44" s="31"/>
      <c r="E44" s="30"/>
      <c r="G44" s="31"/>
    </row>
    <row r="45" spans="2:7" x14ac:dyDescent="0.25">
      <c r="B45" s="30"/>
      <c r="D45" s="31"/>
      <c r="E45" s="30"/>
      <c r="G45" s="31"/>
    </row>
    <row r="46" spans="2:7" x14ac:dyDescent="0.25">
      <c r="B46" s="30"/>
      <c r="D46" s="31"/>
      <c r="E46" s="30"/>
      <c r="G46" s="31"/>
    </row>
    <row r="47" spans="2:7" x14ac:dyDescent="0.25">
      <c r="B47" s="30"/>
      <c r="D47" s="31"/>
      <c r="E47" s="30"/>
      <c r="G47" s="31"/>
    </row>
    <row r="48" spans="2:7" x14ac:dyDescent="0.25">
      <c r="B48" s="30"/>
      <c r="D48" s="31"/>
      <c r="E48" s="30"/>
      <c r="G48" s="31"/>
    </row>
    <row r="49" spans="2:7" x14ac:dyDescent="0.25">
      <c r="B49" s="32"/>
      <c r="C49" s="33"/>
      <c r="D49" s="34"/>
      <c r="E49" s="32"/>
      <c r="F49" s="33"/>
      <c r="G49" s="34"/>
    </row>
  </sheetData>
  <mergeCells count="14">
    <mergeCell ref="B32:D32"/>
    <mergeCell ref="B28:G29"/>
    <mergeCell ref="B1:D2"/>
    <mergeCell ref="E1:F2"/>
    <mergeCell ref="G1:G2"/>
    <mergeCell ref="B3:F4"/>
    <mergeCell ref="G3:G4"/>
    <mergeCell ref="B5:B14"/>
    <mergeCell ref="C11:G11"/>
    <mergeCell ref="B15:G16"/>
    <mergeCell ref="B17:F18"/>
    <mergeCell ref="G17:G18"/>
    <mergeCell ref="B19:B27"/>
    <mergeCell ref="C24:G24"/>
  </mergeCells>
  <pageMargins left="0.25" right="0.25" top="0.75" bottom="0.75" header="0.3" footer="0.3"/>
  <pageSetup paperSize="9" orientation="portrait" r:id="rId1"/>
  <headerFooter>
    <oddFooter>&amp;R&amp;"Century Gothic,Standard"&amp;9itm I &amp;D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E94F1-BAF6-4CDE-8F98-C84538161AB7}">
  <dimension ref="B1:G49"/>
  <sheetViews>
    <sheetView showWhiteSpace="0" view="pageLayout" zoomScaleNormal="100" workbookViewId="0">
      <selection activeCell="B28" sqref="B28:G29"/>
    </sheetView>
  </sheetViews>
  <sheetFormatPr baseColWidth="10" defaultColWidth="11.42578125" defaultRowHeight="15" x14ac:dyDescent="0.25"/>
  <cols>
    <col min="1" max="1" width="4.85546875" customWidth="1"/>
    <col min="2" max="2" width="10" customWidth="1"/>
    <col min="3" max="7" width="16.28515625" customWidth="1"/>
  </cols>
  <sheetData>
    <row r="1" spans="2:7" ht="15" customHeight="1" x14ac:dyDescent="0.25">
      <c r="B1" s="340" t="s">
        <v>80</v>
      </c>
      <c r="C1" s="341"/>
      <c r="D1" s="411"/>
      <c r="E1" s="336">
        <f>Kompetenzraster!Q23</f>
        <v>46332</v>
      </c>
      <c r="F1" s="413"/>
      <c r="G1" s="334">
        <v>10</v>
      </c>
    </row>
    <row r="2" spans="2:7" ht="15" customHeight="1" x14ac:dyDescent="0.25">
      <c r="B2" s="342"/>
      <c r="C2" s="343"/>
      <c r="D2" s="412"/>
      <c r="E2" s="414"/>
      <c r="F2" s="415"/>
      <c r="G2" s="335"/>
    </row>
    <row r="3" spans="2:7" ht="15" customHeight="1" x14ac:dyDescent="0.25">
      <c r="B3" s="441" t="s">
        <v>52</v>
      </c>
      <c r="C3" s="442"/>
      <c r="D3" s="442"/>
      <c r="E3" s="442"/>
      <c r="F3" s="443"/>
      <c r="G3" s="447">
        <v>1.6</v>
      </c>
    </row>
    <row r="4" spans="2:7" ht="15" customHeight="1" x14ac:dyDescent="0.25">
      <c r="B4" s="444"/>
      <c r="C4" s="445"/>
      <c r="D4" s="445"/>
      <c r="E4" s="445"/>
      <c r="F4" s="446"/>
      <c r="G4" s="448"/>
    </row>
    <row r="5" spans="2:7" ht="15.75" customHeight="1" x14ac:dyDescent="0.3">
      <c r="B5" s="449" t="s">
        <v>82</v>
      </c>
      <c r="C5" s="64" t="s">
        <v>180</v>
      </c>
      <c r="D5" s="65"/>
      <c r="E5" s="65"/>
      <c r="F5" s="68" t="s">
        <v>181</v>
      </c>
      <c r="G5" s="50" t="s">
        <v>125</v>
      </c>
    </row>
    <row r="6" spans="2:7" ht="15.75" x14ac:dyDescent="0.3">
      <c r="B6" s="450"/>
      <c r="C6" s="40" t="s">
        <v>176</v>
      </c>
      <c r="D6" s="41"/>
      <c r="E6" s="41"/>
      <c r="F6" s="41"/>
      <c r="G6" s="47"/>
    </row>
    <row r="7" spans="2:7" ht="15.75" x14ac:dyDescent="0.3">
      <c r="B7" s="450"/>
      <c r="C7" s="43" t="s">
        <v>177</v>
      </c>
      <c r="G7" s="47"/>
    </row>
    <row r="8" spans="2:7" ht="15.75" x14ac:dyDescent="0.3">
      <c r="B8" s="450"/>
      <c r="C8" s="43" t="s">
        <v>178</v>
      </c>
      <c r="G8" s="48"/>
    </row>
    <row r="9" spans="2:7" ht="15.75" x14ac:dyDescent="0.3">
      <c r="B9" s="450"/>
      <c r="C9" s="43" t="s">
        <v>179</v>
      </c>
      <c r="D9" s="38"/>
      <c r="E9" s="38"/>
      <c r="F9" s="38"/>
      <c r="G9" s="47"/>
    </row>
    <row r="10" spans="2:7" x14ac:dyDescent="0.25">
      <c r="B10" s="450"/>
      <c r="C10" s="362" t="s">
        <v>88</v>
      </c>
      <c r="D10" s="363"/>
      <c r="E10" s="363"/>
      <c r="F10" s="363"/>
      <c r="G10" s="364"/>
    </row>
    <row r="11" spans="2:7" ht="15.75" x14ac:dyDescent="0.3">
      <c r="B11" s="450"/>
      <c r="C11" s="40" t="s">
        <v>182</v>
      </c>
      <c r="D11" s="69"/>
      <c r="E11" s="36"/>
      <c r="F11" s="36"/>
      <c r="G11" s="37"/>
    </row>
    <row r="12" spans="2:7" ht="15.75" x14ac:dyDescent="0.3">
      <c r="B12" s="450"/>
      <c r="C12" s="43" t="s">
        <v>183</v>
      </c>
      <c r="D12" s="38"/>
      <c r="E12" s="38"/>
      <c r="F12" s="38"/>
      <c r="G12" s="39"/>
    </row>
    <row r="13" spans="2:7" ht="15.75" x14ac:dyDescent="0.3">
      <c r="B13" s="450"/>
      <c r="C13" s="43"/>
      <c r="D13" s="38"/>
      <c r="E13" s="38"/>
      <c r="F13" s="38"/>
      <c r="G13" s="39"/>
    </row>
    <row r="14" spans="2:7" ht="15.75" customHeight="1" x14ac:dyDescent="0.3">
      <c r="B14" s="451"/>
      <c r="C14" s="44"/>
      <c r="D14" s="33"/>
      <c r="E14" s="33"/>
      <c r="F14" s="33"/>
      <c r="G14" s="34"/>
    </row>
    <row r="15" spans="2:7" ht="15" customHeight="1" x14ac:dyDescent="0.25">
      <c r="B15" s="356" t="s">
        <v>91</v>
      </c>
      <c r="C15" s="422"/>
      <c r="D15" s="422"/>
      <c r="E15" s="422"/>
      <c r="F15" s="422"/>
      <c r="G15" s="423"/>
    </row>
    <row r="16" spans="2:7" ht="15" customHeight="1" x14ac:dyDescent="0.25">
      <c r="B16" s="424"/>
      <c r="C16" s="425"/>
      <c r="D16" s="425"/>
      <c r="E16" s="425"/>
      <c r="F16" s="425"/>
      <c r="G16" s="426"/>
    </row>
    <row r="17" spans="2:7" ht="15" customHeight="1" x14ac:dyDescent="0.25">
      <c r="B17" s="382" t="s">
        <v>170</v>
      </c>
      <c r="C17" s="427"/>
      <c r="D17" s="427"/>
      <c r="E17" s="427"/>
      <c r="F17" s="428"/>
      <c r="G17" s="386">
        <v>1.2</v>
      </c>
    </row>
    <row r="18" spans="2:7" ht="15" customHeight="1" x14ac:dyDescent="0.25">
      <c r="B18" s="429"/>
      <c r="C18" s="430"/>
      <c r="D18" s="430"/>
      <c r="E18" s="430"/>
      <c r="F18" s="431"/>
      <c r="G18" s="432"/>
    </row>
    <row r="19" spans="2:7" ht="15.75" customHeight="1" x14ac:dyDescent="0.3">
      <c r="B19" s="433" t="s">
        <v>92</v>
      </c>
      <c r="C19" s="95" t="s">
        <v>184</v>
      </c>
      <c r="D19" s="41"/>
      <c r="E19" s="41"/>
      <c r="F19" s="42"/>
      <c r="G19" s="53" t="s">
        <v>125</v>
      </c>
    </row>
    <row r="20" spans="2:7" ht="15.75" x14ac:dyDescent="0.3">
      <c r="B20" s="434"/>
      <c r="C20" s="43" t="s">
        <v>185</v>
      </c>
      <c r="F20" s="31"/>
      <c r="G20" s="31"/>
    </row>
    <row r="21" spans="2:7" ht="15.75" x14ac:dyDescent="0.3">
      <c r="B21" s="434"/>
      <c r="C21" s="43" t="s">
        <v>186</v>
      </c>
      <c r="F21" s="31"/>
      <c r="G21" s="31"/>
    </row>
    <row r="22" spans="2:7" ht="15.75" x14ac:dyDescent="0.3">
      <c r="B22" s="434"/>
      <c r="C22" s="43" t="s">
        <v>187</v>
      </c>
      <c r="F22" s="31"/>
      <c r="G22" s="39"/>
    </row>
    <row r="23" spans="2:7" ht="15.75" x14ac:dyDescent="0.3">
      <c r="B23" s="434"/>
      <c r="C23" s="44"/>
      <c r="D23" s="33"/>
      <c r="E23" s="33"/>
      <c r="F23" s="34"/>
      <c r="G23" s="34"/>
    </row>
    <row r="24" spans="2:7" x14ac:dyDescent="0.25">
      <c r="B24" s="434"/>
      <c r="C24" s="362" t="s">
        <v>88</v>
      </c>
      <c r="D24" s="363"/>
      <c r="E24" s="363"/>
      <c r="F24" s="363"/>
      <c r="G24" s="364"/>
    </row>
    <row r="25" spans="2:7" ht="15.75" x14ac:dyDescent="0.3">
      <c r="B25" s="434"/>
      <c r="C25" s="43" t="s">
        <v>175</v>
      </c>
      <c r="D25" s="38"/>
      <c r="E25" s="38"/>
      <c r="F25" s="38"/>
      <c r="G25" s="39"/>
    </row>
    <row r="26" spans="2:7" ht="15.75" x14ac:dyDescent="0.3">
      <c r="B26" s="434"/>
      <c r="C26" s="43"/>
      <c r="G26" s="31"/>
    </row>
    <row r="27" spans="2:7" x14ac:dyDescent="0.25">
      <c r="B27" s="435"/>
      <c r="C27" s="32"/>
      <c r="D27" s="33"/>
      <c r="E27" s="33"/>
      <c r="F27" s="33"/>
      <c r="G27" s="34"/>
    </row>
    <row r="28" spans="2:7" ht="15" customHeight="1" x14ac:dyDescent="0.25">
      <c r="B28" s="328" t="s">
        <v>97</v>
      </c>
      <c r="C28" s="409"/>
      <c r="D28" s="409"/>
      <c r="E28" s="409"/>
      <c r="F28" s="409"/>
      <c r="G28" s="337"/>
    </row>
    <row r="29" spans="2:7" ht="15" customHeight="1" x14ac:dyDescent="0.25">
      <c r="B29" s="338"/>
      <c r="C29" s="410"/>
      <c r="D29" s="410"/>
      <c r="E29" s="410"/>
      <c r="F29" s="410"/>
      <c r="G29" s="339"/>
    </row>
    <row r="30" spans="2:7" x14ac:dyDescent="0.25">
      <c r="B30" s="35"/>
      <c r="C30" s="36"/>
      <c r="D30" s="37"/>
      <c r="E30" s="36"/>
      <c r="F30" s="36"/>
      <c r="G30" s="37"/>
    </row>
    <row r="31" spans="2:7" x14ac:dyDescent="0.25">
      <c r="B31" s="30"/>
      <c r="D31" s="31"/>
      <c r="G31" s="31"/>
    </row>
    <row r="32" spans="2:7" x14ac:dyDescent="0.25">
      <c r="B32" s="30"/>
      <c r="C32" s="58"/>
      <c r="D32" s="31"/>
      <c r="G32" s="31"/>
    </row>
    <row r="33" spans="2:7" x14ac:dyDescent="0.25">
      <c r="B33" s="30"/>
      <c r="D33" s="31"/>
      <c r="G33" s="31"/>
    </row>
    <row r="34" spans="2:7" x14ac:dyDescent="0.25">
      <c r="B34" s="436" t="s">
        <v>294</v>
      </c>
      <c r="C34" s="439"/>
      <c r="D34" s="440"/>
      <c r="G34" s="31"/>
    </row>
    <row r="35" spans="2:7" x14ac:dyDescent="0.25">
      <c r="B35" s="30"/>
      <c r="D35" s="31"/>
      <c r="G35" s="31"/>
    </row>
    <row r="36" spans="2:7" x14ac:dyDescent="0.25">
      <c r="B36" s="30"/>
      <c r="D36" s="31"/>
      <c r="G36" s="31"/>
    </row>
    <row r="37" spans="2:7" x14ac:dyDescent="0.25">
      <c r="B37" s="30"/>
      <c r="D37" s="31"/>
      <c r="G37" s="31"/>
    </row>
    <row r="38" spans="2:7" x14ac:dyDescent="0.25">
      <c r="B38" s="30"/>
      <c r="D38" s="31"/>
      <c r="G38" s="31"/>
    </row>
    <row r="39" spans="2:7" x14ac:dyDescent="0.25">
      <c r="B39" s="30"/>
      <c r="D39" s="31"/>
      <c r="G39" s="31"/>
    </row>
    <row r="40" spans="2:7" x14ac:dyDescent="0.25">
      <c r="B40" s="30"/>
      <c r="D40" s="31"/>
      <c r="G40" s="31"/>
    </row>
    <row r="41" spans="2:7" x14ac:dyDescent="0.25">
      <c r="B41" s="30"/>
      <c r="D41" s="31"/>
      <c r="G41" s="31"/>
    </row>
    <row r="42" spans="2:7" x14ac:dyDescent="0.25">
      <c r="B42" s="30"/>
      <c r="D42" s="31"/>
      <c r="G42" s="31"/>
    </row>
    <row r="43" spans="2:7" x14ac:dyDescent="0.25">
      <c r="B43" s="30"/>
      <c r="D43" s="31"/>
      <c r="G43" s="31"/>
    </row>
    <row r="44" spans="2:7" x14ac:dyDescent="0.25">
      <c r="B44" s="30"/>
      <c r="D44" s="31"/>
      <c r="G44" s="31"/>
    </row>
    <row r="45" spans="2:7" x14ac:dyDescent="0.25">
      <c r="B45" s="30"/>
      <c r="D45" s="31"/>
      <c r="G45" s="31"/>
    </row>
    <row r="46" spans="2:7" x14ac:dyDescent="0.25">
      <c r="B46" s="30"/>
      <c r="D46" s="31"/>
      <c r="G46" s="31"/>
    </row>
    <row r="47" spans="2:7" x14ac:dyDescent="0.25">
      <c r="B47" s="30"/>
      <c r="D47" s="31"/>
      <c r="G47" s="31"/>
    </row>
    <row r="48" spans="2:7" x14ac:dyDescent="0.25">
      <c r="B48" s="30"/>
      <c r="D48" s="31"/>
      <c r="G48" s="31"/>
    </row>
    <row r="49" spans="2:7" x14ac:dyDescent="0.25">
      <c r="B49" s="32"/>
      <c r="C49" s="33"/>
      <c r="D49" s="34"/>
      <c r="E49" s="33"/>
      <c r="F49" s="33"/>
      <c r="G49" s="34"/>
    </row>
  </sheetData>
  <mergeCells count="14">
    <mergeCell ref="B34:D34"/>
    <mergeCell ref="B28:G29"/>
    <mergeCell ref="B1:D2"/>
    <mergeCell ref="E1:F2"/>
    <mergeCell ref="G1:G2"/>
    <mergeCell ref="B3:F4"/>
    <mergeCell ref="G3:G4"/>
    <mergeCell ref="B5:B14"/>
    <mergeCell ref="C10:G10"/>
    <mergeCell ref="B15:G16"/>
    <mergeCell ref="B17:F18"/>
    <mergeCell ref="G17:G18"/>
    <mergeCell ref="B19:B27"/>
    <mergeCell ref="C24:G24"/>
  </mergeCells>
  <pageMargins left="0.25" right="0.25" top="0.75" bottom="0.75" header="0.3" footer="0.3"/>
  <pageSetup paperSize="9" orientation="portrait" r:id="rId1"/>
  <headerFooter>
    <oddFooter>&amp;R&amp;"Century Gothic,Standard"&amp;9itm I &amp;D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FD74B-99F3-4539-B39C-86460AB9C274}">
  <dimension ref="B1:G51"/>
  <sheetViews>
    <sheetView showWhiteSpace="0" view="pageLayout" zoomScaleNormal="100" workbookViewId="0">
      <selection activeCell="F8" sqref="F8"/>
    </sheetView>
  </sheetViews>
  <sheetFormatPr baseColWidth="10" defaultColWidth="11.42578125" defaultRowHeight="15" x14ac:dyDescent="0.25"/>
  <cols>
    <col min="1" max="1" width="4.85546875" customWidth="1"/>
    <col min="2" max="2" width="10" customWidth="1"/>
    <col min="3" max="7" width="16.28515625" customWidth="1"/>
  </cols>
  <sheetData>
    <row r="1" spans="2:7" x14ac:dyDescent="0.25">
      <c r="B1" s="340" t="s">
        <v>80</v>
      </c>
      <c r="C1" s="341"/>
      <c r="D1" s="341"/>
      <c r="E1" s="336">
        <f>Kompetenzraster!Q25</f>
        <v>46339</v>
      </c>
      <c r="F1" s="337"/>
      <c r="G1" s="334">
        <v>11</v>
      </c>
    </row>
    <row r="2" spans="2:7" x14ac:dyDescent="0.25">
      <c r="B2" s="342"/>
      <c r="C2" s="343"/>
      <c r="D2" s="343"/>
      <c r="E2" s="338"/>
      <c r="F2" s="339"/>
      <c r="G2" s="335"/>
    </row>
    <row r="3" spans="2:7" x14ac:dyDescent="0.25">
      <c r="B3" s="441" t="s">
        <v>52</v>
      </c>
      <c r="C3" s="452"/>
      <c r="D3" s="452"/>
      <c r="E3" s="452"/>
      <c r="F3" s="453"/>
      <c r="G3" s="447">
        <v>1.6</v>
      </c>
    </row>
    <row r="4" spans="2:7" x14ac:dyDescent="0.25">
      <c r="B4" s="454"/>
      <c r="C4" s="455"/>
      <c r="D4" s="455"/>
      <c r="E4" s="455"/>
      <c r="F4" s="456"/>
      <c r="G4" s="448"/>
    </row>
    <row r="5" spans="2:7" ht="15.75" x14ac:dyDescent="0.3">
      <c r="B5" s="450" t="s">
        <v>82</v>
      </c>
      <c r="C5" s="40" t="s">
        <v>188</v>
      </c>
      <c r="D5" s="41"/>
      <c r="E5" s="41"/>
      <c r="F5" s="42"/>
      <c r="G5" s="50" t="s">
        <v>125</v>
      </c>
    </row>
    <row r="6" spans="2:7" ht="15.75" x14ac:dyDescent="0.3">
      <c r="B6" s="457"/>
      <c r="C6" s="43" t="s">
        <v>297</v>
      </c>
      <c r="F6" s="31"/>
      <c r="G6" s="47"/>
    </row>
    <row r="7" spans="2:7" ht="15.75" x14ac:dyDescent="0.3">
      <c r="B7" s="457"/>
      <c r="C7" s="43" t="s">
        <v>197</v>
      </c>
      <c r="D7" s="38"/>
      <c r="E7" s="38"/>
      <c r="F7" s="39"/>
      <c r="G7" s="47"/>
    </row>
    <row r="8" spans="2:7" ht="15.75" x14ac:dyDescent="0.3">
      <c r="B8" s="457"/>
      <c r="C8" s="43" t="s">
        <v>198</v>
      </c>
      <c r="F8" s="31"/>
      <c r="G8" s="47"/>
    </row>
    <row r="9" spans="2:7" ht="15.75" x14ac:dyDescent="0.3">
      <c r="B9" s="457"/>
      <c r="C9" s="43" t="s">
        <v>199</v>
      </c>
      <c r="F9" s="31"/>
      <c r="G9" s="47"/>
    </row>
    <row r="10" spans="2:7" ht="15.75" x14ac:dyDescent="0.3">
      <c r="B10" s="457"/>
      <c r="C10" s="43" t="s">
        <v>189</v>
      </c>
      <c r="D10" s="38"/>
      <c r="E10" s="38"/>
      <c r="F10" s="39"/>
      <c r="G10" s="48"/>
    </row>
    <row r="11" spans="2:7" x14ac:dyDescent="0.25">
      <c r="B11" s="457"/>
      <c r="C11" s="32"/>
      <c r="D11" s="33"/>
      <c r="E11" s="33"/>
      <c r="F11" s="34"/>
      <c r="G11" s="49"/>
    </row>
    <row r="12" spans="2:7" x14ac:dyDescent="0.25">
      <c r="B12" s="458"/>
      <c r="C12" s="393" t="s">
        <v>88</v>
      </c>
      <c r="D12" s="394"/>
      <c r="E12" s="394"/>
      <c r="F12" s="394"/>
      <c r="G12" s="402"/>
    </row>
    <row r="13" spans="2:7" ht="15.75" x14ac:dyDescent="0.3">
      <c r="B13" s="457"/>
      <c r="C13" s="43" t="s">
        <v>183</v>
      </c>
      <c r="D13" s="36"/>
      <c r="E13" s="36"/>
      <c r="F13" s="36"/>
      <c r="G13" s="37"/>
    </row>
    <row r="14" spans="2:7" ht="15.75" x14ac:dyDescent="0.3">
      <c r="B14" s="457"/>
      <c r="C14" s="43" t="s">
        <v>190</v>
      </c>
      <c r="D14" s="38"/>
      <c r="E14" s="38"/>
      <c r="F14" s="38"/>
      <c r="G14" s="39"/>
    </row>
    <row r="15" spans="2:7" ht="15.75" x14ac:dyDescent="0.3">
      <c r="B15" s="457"/>
      <c r="C15" s="43"/>
      <c r="D15" s="38"/>
      <c r="E15" s="38"/>
      <c r="F15" s="38"/>
      <c r="G15" s="39"/>
    </row>
    <row r="16" spans="2:7" ht="15.75" x14ac:dyDescent="0.3">
      <c r="B16" s="459"/>
      <c r="C16" s="44"/>
      <c r="D16" s="33"/>
      <c r="E16" s="33"/>
      <c r="F16" s="33"/>
      <c r="G16" s="34"/>
    </row>
    <row r="17" spans="2:7" x14ac:dyDescent="0.25">
      <c r="B17" s="356" t="s">
        <v>91</v>
      </c>
      <c r="C17" s="407"/>
      <c r="D17" s="407"/>
      <c r="E17" s="407"/>
      <c r="F17" s="407"/>
      <c r="G17" s="408"/>
    </row>
    <row r="18" spans="2:7" x14ac:dyDescent="0.25">
      <c r="B18" s="359"/>
      <c r="C18" s="360"/>
      <c r="D18" s="360"/>
      <c r="E18" s="360"/>
      <c r="F18" s="360"/>
      <c r="G18" s="361"/>
    </row>
    <row r="19" spans="2:7" ht="15" customHeight="1" x14ac:dyDescent="0.25">
      <c r="B19" s="382" t="s">
        <v>170</v>
      </c>
      <c r="C19" s="383"/>
      <c r="D19" s="383"/>
      <c r="E19" s="383"/>
      <c r="F19" s="383"/>
      <c r="G19" s="386">
        <v>1.2</v>
      </c>
    </row>
    <row r="20" spans="2:7" ht="15" customHeight="1" x14ac:dyDescent="0.25">
      <c r="B20" s="384"/>
      <c r="C20" s="385"/>
      <c r="D20" s="385"/>
      <c r="E20" s="385"/>
      <c r="F20" s="385"/>
      <c r="G20" s="387"/>
    </row>
    <row r="21" spans="2:7" ht="15.75" x14ac:dyDescent="0.3">
      <c r="B21" s="388" t="s">
        <v>92</v>
      </c>
      <c r="C21" s="95" t="s">
        <v>191</v>
      </c>
      <c r="D21" s="41"/>
      <c r="E21" s="41"/>
      <c r="F21" s="42"/>
      <c r="G21" s="53" t="s">
        <v>125</v>
      </c>
    </row>
    <row r="22" spans="2:7" ht="15.75" x14ac:dyDescent="0.3">
      <c r="B22" s="390"/>
      <c r="C22" s="43" t="s">
        <v>192</v>
      </c>
      <c r="F22" s="31"/>
      <c r="G22" s="31"/>
    </row>
    <row r="23" spans="2:7" ht="15.75" x14ac:dyDescent="0.3">
      <c r="B23" s="390"/>
      <c r="C23" s="43" t="s">
        <v>193</v>
      </c>
      <c r="F23" s="31"/>
      <c r="G23" s="31"/>
    </row>
    <row r="24" spans="2:7" ht="15.75" x14ac:dyDescent="0.3">
      <c r="B24" s="390"/>
      <c r="C24" s="43" t="s">
        <v>194</v>
      </c>
      <c r="F24" s="31"/>
      <c r="G24" s="39"/>
    </row>
    <row r="25" spans="2:7" ht="15.75" x14ac:dyDescent="0.3">
      <c r="B25" s="390"/>
      <c r="C25" s="43" t="s">
        <v>195</v>
      </c>
      <c r="F25" s="31"/>
      <c r="G25" s="31"/>
    </row>
    <row r="26" spans="2:7" x14ac:dyDescent="0.25">
      <c r="B26" s="391"/>
      <c r="C26" s="362" t="s">
        <v>88</v>
      </c>
      <c r="D26" s="363"/>
      <c r="E26" s="363"/>
      <c r="F26" s="363"/>
      <c r="G26" s="364"/>
    </row>
    <row r="27" spans="2:7" ht="15.75" x14ac:dyDescent="0.3">
      <c r="B27" s="391"/>
      <c r="C27" s="43" t="s">
        <v>175</v>
      </c>
      <c r="D27" s="38"/>
      <c r="E27" s="38"/>
      <c r="F27" s="38"/>
      <c r="G27" s="39"/>
    </row>
    <row r="28" spans="2:7" ht="15.75" x14ac:dyDescent="0.3">
      <c r="B28" s="391"/>
      <c r="C28" s="43" t="s">
        <v>196</v>
      </c>
      <c r="G28" s="31"/>
    </row>
    <row r="29" spans="2:7" x14ac:dyDescent="0.25">
      <c r="B29" s="392"/>
      <c r="C29" s="32"/>
      <c r="D29" s="33"/>
      <c r="E29" s="33"/>
      <c r="F29" s="33"/>
      <c r="G29" s="34"/>
    </row>
    <row r="30" spans="2:7" x14ac:dyDescent="0.25">
      <c r="B30" s="328" t="s">
        <v>97</v>
      </c>
      <c r="C30" s="395"/>
      <c r="D30" s="395"/>
      <c r="E30" s="395"/>
      <c r="F30" s="395"/>
      <c r="G30" s="396"/>
    </row>
    <row r="31" spans="2:7" x14ac:dyDescent="0.25">
      <c r="B31" s="397"/>
      <c r="C31" s="398"/>
      <c r="D31" s="398"/>
      <c r="E31" s="398"/>
      <c r="F31" s="398"/>
      <c r="G31" s="399"/>
    </row>
    <row r="32" spans="2:7" x14ac:dyDescent="0.25">
      <c r="B32" s="35"/>
      <c r="C32" s="36"/>
      <c r="D32" s="37"/>
      <c r="E32" s="35"/>
      <c r="F32" s="36"/>
      <c r="G32" s="37"/>
    </row>
    <row r="33" spans="2:7" x14ac:dyDescent="0.25">
      <c r="B33" s="30"/>
      <c r="D33" s="31"/>
      <c r="E33" s="30"/>
      <c r="G33" s="31"/>
    </row>
    <row r="34" spans="2:7" ht="15.75" x14ac:dyDescent="0.3">
      <c r="B34" s="30"/>
      <c r="C34" s="58"/>
      <c r="D34" s="31"/>
      <c r="E34" s="71"/>
      <c r="F34" s="38"/>
      <c r="G34" s="31"/>
    </row>
    <row r="35" spans="2:7" x14ac:dyDescent="0.25">
      <c r="B35" s="30"/>
      <c r="D35" s="31"/>
      <c r="E35" s="30"/>
      <c r="G35" s="31"/>
    </row>
    <row r="36" spans="2:7" x14ac:dyDescent="0.25">
      <c r="B36" s="30"/>
      <c r="D36" s="31"/>
      <c r="E36" s="30"/>
      <c r="G36" s="31"/>
    </row>
    <row r="37" spans="2:7" x14ac:dyDescent="0.25">
      <c r="B37" s="30"/>
      <c r="D37" s="31"/>
      <c r="E37" s="30"/>
      <c r="G37" s="31"/>
    </row>
    <row r="38" spans="2:7" x14ac:dyDescent="0.25">
      <c r="B38" s="30"/>
      <c r="D38" s="31"/>
      <c r="E38" s="30"/>
      <c r="G38" s="31"/>
    </row>
    <row r="39" spans="2:7" x14ac:dyDescent="0.25">
      <c r="B39" s="30"/>
      <c r="D39" s="31"/>
      <c r="E39" s="30"/>
      <c r="G39" s="31"/>
    </row>
    <row r="40" spans="2:7" x14ac:dyDescent="0.25">
      <c r="B40" s="30"/>
      <c r="D40" s="31"/>
      <c r="E40" s="30"/>
      <c r="G40" s="31"/>
    </row>
    <row r="41" spans="2:7" x14ac:dyDescent="0.25">
      <c r="B41" s="30"/>
      <c r="D41" s="31"/>
      <c r="E41" s="30"/>
      <c r="G41" s="31"/>
    </row>
    <row r="42" spans="2:7" x14ac:dyDescent="0.25">
      <c r="B42" s="30"/>
      <c r="D42" s="31"/>
      <c r="E42" s="30"/>
      <c r="G42" s="31"/>
    </row>
    <row r="43" spans="2:7" x14ac:dyDescent="0.25">
      <c r="B43" s="30"/>
      <c r="D43" s="31"/>
      <c r="E43" s="30"/>
      <c r="G43" s="31"/>
    </row>
    <row r="44" spans="2:7" x14ac:dyDescent="0.25">
      <c r="B44" s="30"/>
      <c r="D44" s="31"/>
      <c r="E44" s="30"/>
      <c r="G44" s="31"/>
    </row>
    <row r="45" spans="2:7" x14ac:dyDescent="0.25">
      <c r="B45" s="30"/>
      <c r="D45" s="31"/>
      <c r="E45" s="30"/>
      <c r="G45" s="31"/>
    </row>
    <row r="46" spans="2:7" x14ac:dyDescent="0.25">
      <c r="B46" s="30"/>
      <c r="D46" s="31"/>
      <c r="E46" s="30"/>
      <c r="G46" s="31"/>
    </row>
    <row r="47" spans="2:7" ht="16.5" customHeight="1" x14ac:dyDescent="0.25">
      <c r="B47" s="30"/>
      <c r="D47" s="31"/>
      <c r="E47" s="30"/>
      <c r="G47" s="31"/>
    </row>
    <row r="48" spans="2:7" ht="16.5" customHeight="1" x14ac:dyDescent="0.25">
      <c r="B48" s="30"/>
      <c r="D48" s="31"/>
      <c r="E48" s="30"/>
      <c r="G48" s="31"/>
    </row>
    <row r="49" spans="2:7" x14ac:dyDescent="0.25">
      <c r="B49" s="30"/>
      <c r="D49" s="31"/>
      <c r="E49" s="30"/>
      <c r="G49" s="31"/>
    </row>
    <row r="50" spans="2:7" x14ac:dyDescent="0.25">
      <c r="B50" s="30"/>
      <c r="D50" s="31"/>
      <c r="E50" s="30"/>
      <c r="G50" s="31"/>
    </row>
    <row r="51" spans="2:7" x14ac:dyDescent="0.25">
      <c r="B51" s="32"/>
      <c r="C51" s="33"/>
      <c r="D51" s="34"/>
      <c r="E51" s="32"/>
      <c r="F51" s="33"/>
      <c r="G51" s="34"/>
    </row>
  </sheetData>
  <mergeCells count="13">
    <mergeCell ref="B30:G31"/>
    <mergeCell ref="B1:D2"/>
    <mergeCell ref="E1:F2"/>
    <mergeCell ref="G1:G2"/>
    <mergeCell ref="B3:F4"/>
    <mergeCell ref="G3:G4"/>
    <mergeCell ref="B5:B16"/>
    <mergeCell ref="C12:G12"/>
    <mergeCell ref="B17:G18"/>
    <mergeCell ref="B19:F20"/>
    <mergeCell ref="G19:G20"/>
    <mergeCell ref="B21:B29"/>
    <mergeCell ref="C26:G26"/>
  </mergeCells>
  <pageMargins left="0.25" right="0.25" top="0.75" bottom="0.75" header="0.3" footer="0.3"/>
  <pageSetup paperSize="9" orientation="portrait" r:id="rId1"/>
  <headerFooter>
    <oddFooter>&amp;R&amp;"Century Gothic,Standard"&amp;9itm I &amp;D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08934-0C45-4166-880A-4B640F9DB77D}">
  <dimension ref="B1:G49"/>
  <sheetViews>
    <sheetView showWhiteSpace="0" view="pageLayout" topLeftCell="A3" zoomScaleNormal="100" workbookViewId="0">
      <selection activeCell="D8" sqref="D8"/>
    </sheetView>
  </sheetViews>
  <sheetFormatPr baseColWidth="10" defaultColWidth="11.42578125" defaultRowHeight="15" x14ac:dyDescent="0.25"/>
  <cols>
    <col min="1" max="1" width="4.85546875" customWidth="1"/>
    <col min="2" max="2" width="10" customWidth="1"/>
    <col min="3" max="7" width="16.28515625" customWidth="1"/>
  </cols>
  <sheetData>
    <row r="1" spans="2:7" x14ac:dyDescent="0.25">
      <c r="B1" s="340" t="s">
        <v>80</v>
      </c>
      <c r="C1" s="341"/>
      <c r="D1" s="341"/>
      <c r="E1" s="336">
        <f>Kompetenzraster!Q27</f>
        <v>46346</v>
      </c>
      <c r="F1" s="337"/>
      <c r="G1" s="334">
        <v>12</v>
      </c>
    </row>
    <row r="2" spans="2:7" x14ac:dyDescent="0.25">
      <c r="B2" s="342"/>
      <c r="C2" s="343"/>
      <c r="D2" s="343"/>
      <c r="E2" s="338"/>
      <c r="F2" s="339"/>
      <c r="G2" s="335"/>
    </row>
    <row r="3" spans="2:7" x14ac:dyDescent="0.25">
      <c r="B3" s="441" t="s">
        <v>52</v>
      </c>
      <c r="C3" s="452"/>
      <c r="D3" s="452"/>
      <c r="E3" s="452"/>
      <c r="F3" s="453"/>
      <c r="G3" s="447">
        <v>1.6</v>
      </c>
    </row>
    <row r="4" spans="2:7" x14ac:dyDescent="0.25">
      <c r="B4" s="454"/>
      <c r="C4" s="460"/>
      <c r="D4" s="460"/>
      <c r="E4" s="460"/>
      <c r="F4" s="461"/>
      <c r="G4" s="448"/>
    </row>
    <row r="5" spans="2:7" ht="15.75" x14ac:dyDescent="0.3">
      <c r="B5" s="450" t="s">
        <v>82</v>
      </c>
      <c r="C5" s="40" t="s">
        <v>295</v>
      </c>
      <c r="D5" s="41"/>
      <c r="E5" s="41"/>
      <c r="F5" s="42"/>
      <c r="G5" s="50" t="s">
        <v>125</v>
      </c>
    </row>
    <row r="6" spans="2:7" ht="15.75" x14ac:dyDescent="0.3">
      <c r="B6" s="457"/>
      <c r="C6" s="43" t="s">
        <v>200</v>
      </c>
      <c r="F6" s="31"/>
      <c r="G6" s="47"/>
    </row>
    <row r="7" spans="2:7" ht="15.75" x14ac:dyDescent="0.3">
      <c r="B7" s="457"/>
      <c r="C7" s="43" t="s">
        <v>296</v>
      </c>
      <c r="F7" s="31"/>
      <c r="G7" s="47"/>
    </row>
    <row r="8" spans="2:7" ht="15.75" x14ac:dyDescent="0.3">
      <c r="B8" s="457"/>
      <c r="C8" s="43" t="s">
        <v>201</v>
      </c>
      <c r="E8" s="38"/>
      <c r="F8" s="39"/>
      <c r="G8" s="48"/>
    </row>
    <row r="9" spans="2:7" ht="15.75" x14ac:dyDescent="0.3">
      <c r="B9" s="457"/>
      <c r="C9" s="32"/>
      <c r="D9" s="51"/>
      <c r="E9" s="33"/>
      <c r="F9" s="34"/>
      <c r="G9" s="49"/>
    </row>
    <row r="10" spans="2:7" x14ac:dyDescent="0.25">
      <c r="B10" s="458"/>
      <c r="C10" s="462" t="s">
        <v>88</v>
      </c>
      <c r="D10" s="463"/>
      <c r="E10" s="463"/>
      <c r="F10" s="463"/>
      <c r="G10" s="464"/>
    </row>
    <row r="11" spans="2:7" ht="15.75" x14ac:dyDescent="0.3">
      <c r="B11" s="457"/>
      <c r="C11" s="40" t="s">
        <v>202</v>
      </c>
      <c r="D11" s="69"/>
      <c r="E11" s="69"/>
      <c r="F11" s="69"/>
      <c r="G11" s="70"/>
    </row>
    <row r="12" spans="2:7" ht="15.75" x14ac:dyDescent="0.3">
      <c r="B12" s="457"/>
      <c r="C12" s="43" t="s">
        <v>203</v>
      </c>
      <c r="D12" s="38"/>
      <c r="E12" s="38"/>
      <c r="F12" s="38"/>
      <c r="G12" s="39"/>
    </row>
    <row r="13" spans="2:7" ht="15.75" x14ac:dyDescent="0.3">
      <c r="B13" s="457"/>
      <c r="C13" s="43"/>
      <c r="D13" s="38"/>
      <c r="E13" s="38"/>
      <c r="F13" s="38"/>
      <c r="G13" s="39"/>
    </row>
    <row r="14" spans="2:7" ht="15.75" x14ac:dyDescent="0.3">
      <c r="B14" s="459"/>
      <c r="C14" s="44"/>
      <c r="D14" s="33"/>
      <c r="E14" s="33"/>
      <c r="F14" s="33"/>
      <c r="G14" s="34"/>
    </row>
    <row r="15" spans="2:7" x14ac:dyDescent="0.25">
      <c r="B15" s="356" t="s">
        <v>91</v>
      </c>
      <c r="C15" s="407"/>
      <c r="D15" s="407"/>
      <c r="E15" s="407"/>
      <c r="F15" s="407"/>
      <c r="G15" s="408"/>
    </row>
    <row r="16" spans="2:7" x14ac:dyDescent="0.25">
      <c r="B16" s="359"/>
      <c r="C16" s="360"/>
      <c r="D16" s="360"/>
      <c r="E16" s="360"/>
      <c r="F16" s="360"/>
      <c r="G16" s="361"/>
    </row>
    <row r="17" spans="2:7" ht="15" customHeight="1" x14ac:dyDescent="0.25">
      <c r="B17" s="382" t="s">
        <v>170</v>
      </c>
      <c r="C17" s="383"/>
      <c r="D17" s="383"/>
      <c r="E17" s="383"/>
      <c r="F17" s="383"/>
      <c r="G17" s="386">
        <v>1.2</v>
      </c>
    </row>
    <row r="18" spans="2:7" ht="15" customHeight="1" x14ac:dyDescent="0.25">
      <c r="B18" s="384"/>
      <c r="C18" s="385"/>
      <c r="D18" s="385"/>
      <c r="E18" s="385"/>
      <c r="F18" s="385"/>
      <c r="G18" s="387"/>
    </row>
    <row r="19" spans="2:7" ht="15.75" x14ac:dyDescent="0.3">
      <c r="B19" s="388" t="s">
        <v>92</v>
      </c>
      <c r="C19" s="95" t="s">
        <v>120</v>
      </c>
      <c r="D19" s="41"/>
      <c r="E19" s="41"/>
      <c r="F19" s="42"/>
      <c r="G19" s="53" t="s">
        <v>125</v>
      </c>
    </row>
    <row r="20" spans="2:7" ht="15.75" x14ac:dyDescent="0.3">
      <c r="B20" s="390"/>
      <c r="C20" s="43" t="s">
        <v>204</v>
      </c>
      <c r="F20" s="31"/>
      <c r="G20" s="31"/>
    </row>
    <row r="21" spans="2:7" ht="15.75" x14ac:dyDescent="0.3">
      <c r="B21" s="390"/>
      <c r="C21" s="43" t="s">
        <v>195</v>
      </c>
      <c r="F21" s="31"/>
      <c r="G21" s="31"/>
    </row>
    <row r="22" spans="2:7" ht="15.75" x14ac:dyDescent="0.3">
      <c r="B22" s="390"/>
      <c r="C22" s="43"/>
      <c r="F22" s="31"/>
      <c r="G22" s="39"/>
    </row>
    <row r="23" spans="2:7" ht="15.75" x14ac:dyDescent="0.3">
      <c r="B23" s="390"/>
      <c r="C23" s="44"/>
      <c r="D23" s="33"/>
      <c r="E23" s="33"/>
      <c r="F23" s="34"/>
      <c r="G23" s="34"/>
    </row>
    <row r="24" spans="2:7" x14ac:dyDescent="0.25">
      <c r="B24" s="391"/>
      <c r="C24" s="393" t="s">
        <v>88</v>
      </c>
      <c r="D24" s="394"/>
      <c r="E24" s="394"/>
      <c r="F24" s="394"/>
      <c r="G24" s="364"/>
    </row>
    <row r="25" spans="2:7" ht="15.75" x14ac:dyDescent="0.3">
      <c r="B25" s="391"/>
      <c r="C25" s="43" t="s">
        <v>175</v>
      </c>
      <c r="D25" s="38"/>
      <c r="E25" s="38"/>
      <c r="F25" s="38"/>
      <c r="G25" s="39"/>
    </row>
    <row r="26" spans="2:7" ht="15.75" x14ac:dyDescent="0.3">
      <c r="B26" s="391"/>
      <c r="C26" s="43" t="s">
        <v>196</v>
      </c>
      <c r="G26" s="31"/>
    </row>
    <row r="27" spans="2:7" x14ac:dyDescent="0.25">
      <c r="B27" s="392"/>
      <c r="C27" s="32"/>
      <c r="D27" s="33"/>
      <c r="E27" s="33"/>
      <c r="F27" s="33"/>
      <c r="G27" s="34"/>
    </row>
    <row r="28" spans="2:7" x14ac:dyDescent="0.25">
      <c r="B28" s="328" t="s">
        <v>97</v>
      </c>
      <c r="C28" s="395"/>
      <c r="D28" s="395"/>
      <c r="E28" s="395"/>
      <c r="F28" s="395"/>
      <c r="G28" s="396"/>
    </row>
    <row r="29" spans="2:7" x14ac:dyDescent="0.25">
      <c r="B29" s="397"/>
      <c r="C29" s="398"/>
      <c r="D29" s="398"/>
      <c r="E29" s="398"/>
      <c r="F29" s="398"/>
      <c r="G29" s="399"/>
    </row>
    <row r="30" spans="2:7" x14ac:dyDescent="0.25">
      <c r="B30" s="35"/>
      <c r="C30" s="36"/>
      <c r="D30" s="37"/>
      <c r="E30" s="35"/>
      <c r="F30" s="36"/>
      <c r="G30" s="37"/>
    </row>
    <row r="31" spans="2:7" x14ac:dyDescent="0.25">
      <c r="B31" s="30"/>
      <c r="D31" s="31"/>
      <c r="E31" s="30"/>
      <c r="G31" s="31"/>
    </row>
    <row r="32" spans="2:7" x14ac:dyDescent="0.25">
      <c r="B32" s="30"/>
      <c r="C32" s="58"/>
      <c r="D32" s="31"/>
      <c r="E32" s="30"/>
      <c r="G32" s="31"/>
    </row>
    <row r="33" spans="2:7" x14ac:dyDescent="0.25">
      <c r="B33" s="30"/>
      <c r="D33" s="31"/>
      <c r="E33" s="30"/>
      <c r="G33" s="31"/>
    </row>
    <row r="34" spans="2:7" x14ac:dyDescent="0.25">
      <c r="B34" s="30"/>
      <c r="D34" s="31"/>
      <c r="E34" s="30"/>
      <c r="G34" s="31"/>
    </row>
    <row r="35" spans="2:7" x14ac:dyDescent="0.25">
      <c r="B35" s="30"/>
      <c r="D35" s="31"/>
      <c r="E35" s="30"/>
      <c r="G35" s="31"/>
    </row>
    <row r="36" spans="2:7" x14ac:dyDescent="0.25">
      <c r="B36" s="30"/>
      <c r="D36" s="31"/>
      <c r="E36" s="30"/>
      <c r="G36" s="31"/>
    </row>
    <row r="37" spans="2:7" x14ac:dyDescent="0.25">
      <c r="B37" s="30"/>
      <c r="D37" s="31"/>
      <c r="E37" s="30"/>
      <c r="G37" s="31"/>
    </row>
    <row r="38" spans="2:7" x14ac:dyDescent="0.25">
      <c r="B38" s="30"/>
      <c r="D38" s="31"/>
      <c r="E38" s="30"/>
      <c r="G38" s="31"/>
    </row>
    <row r="39" spans="2:7" x14ac:dyDescent="0.25">
      <c r="B39" s="30"/>
      <c r="D39" s="31"/>
      <c r="E39" s="30"/>
      <c r="G39" s="31"/>
    </row>
    <row r="40" spans="2:7" x14ac:dyDescent="0.25">
      <c r="B40" s="30"/>
      <c r="D40" s="31"/>
      <c r="E40" s="30"/>
      <c r="G40" s="31"/>
    </row>
    <row r="41" spans="2:7" x14ac:dyDescent="0.25">
      <c r="B41" s="30"/>
      <c r="D41" s="31"/>
      <c r="E41" s="30"/>
      <c r="G41" s="31"/>
    </row>
    <row r="42" spans="2:7" x14ac:dyDescent="0.25">
      <c r="B42" s="30"/>
      <c r="D42" s="31"/>
      <c r="E42" s="30"/>
      <c r="G42" s="31"/>
    </row>
    <row r="43" spans="2:7" x14ac:dyDescent="0.25">
      <c r="B43" s="30"/>
      <c r="D43" s="31"/>
      <c r="E43" s="30"/>
      <c r="G43" s="31"/>
    </row>
    <row r="44" spans="2:7" x14ac:dyDescent="0.25">
      <c r="B44" s="30"/>
      <c r="D44" s="31"/>
      <c r="E44" s="30"/>
      <c r="G44" s="31"/>
    </row>
    <row r="45" spans="2:7" x14ac:dyDescent="0.25">
      <c r="B45" s="30"/>
      <c r="D45" s="31"/>
      <c r="E45" s="30"/>
      <c r="G45" s="31"/>
    </row>
    <row r="46" spans="2:7" x14ac:dyDescent="0.25">
      <c r="B46" s="30"/>
      <c r="D46" s="31"/>
      <c r="E46" s="30"/>
      <c r="G46" s="31"/>
    </row>
    <row r="47" spans="2:7" x14ac:dyDescent="0.25">
      <c r="B47" s="30"/>
      <c r="D47" s="31"/>
      <c r="E47" s="30"/>
      <c r="G47" s="31"/>
    </row>
    <row r="48" spans="2:7" x14ac:dyDescent="0.25">
      <c r="B48" s="30"/>
      <c r="D48" s="31"/>
      <c r="E48" s="30"/>
      <c r="G48" s="31"/>
    </row>
    <row r="49" spans="2:7" x14ac:dyDescent="0.25">
      <c r="B49" s="32"/>
      <c r="C49" s="33"/>
      <c r="D49" s="34"/>
      <c r="E49" s="32"/>
      <c r="F49" s="33"/>
      <c r="G49" s="34"/>
    </row>
  </sheetData>
  <mergeCells count="13">
    <mergeCell ref="B28:G29"/>
    <mergeCell ref="B1:D2"/>
    <mergeCell ref="E1:F2"/>
    <mergeCell ref="G1:G2"/>
    <mergeCell ref="B3:F4"/>
    <mergeCell ref="G3:G4"/>
    <mergeCell ref="B5:B14"/>
    <mergeCell ref="C10:G10"/>
    <mergeCell ref="B15:G16"/>
    <mergeCell ref="B17:F18"/>
    <mergeCell ref="G17:G18"/>
    <mergeCell ref="B19:B27"/>
    <mergeCell ref="C24:G24"/>
  </mergeCells>
  <pageMargins left="0.25" right="0.25" top="0.75" bottom="0.75" header="0.3" footer="0.3"/>
  <pageSetup paperSize="9" orientation="portrait" r:id="rId1"/>
  <headerFooter>
    <oddFooter>&amp;R&amp;"Century Gothic,Standard"&amp;9itm I &amp;D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0A215-CE14-4639-BBDA-27A644F8B1D3}">
  <dimension ref="B1:G49"/>
  <sheetViews>
    <sheetView showWhiteSpace="0" view="pageLayout" zoomScaleNormal="100" workbookViewId="0">
      <selection activeCell="C34" sqref="C34"/>
    </sheetView>
  </sheetViews>
  <sheetFormatPr baseColWidth="10" defaultColWidth="11.42578125" defaultRowHeight="15" x14ac:dyDescent="0.25"/>
  <cols>
    <col min="1" max="1" width="4.85546875" customWidth="1"/>
    <col min="2" max="2" width="10" customWidth="1"/>
    <col min="3" max="7" width="16.28515625" customWidth="1"/>
  </cols>
  <sheetData>
    <row r="1" spans="2:7" x14ac:dyDescent="0.25">
      <c r="B1" s="340" t="s">
        <v>80</v>
      </c>
      <c r="C1" s="341"/>
      <c r="D1" s="341"/>
      <c r="E1" s="336">
        <f>Kompetenzraster!Q29</f>
        <v>46353</v>
      </c>
      <c r="F1" s="337"/>
      <c r="G1" s="334">
        <v>13</v>
      </c>
    </row>
    <row r="2" spans="2:7" x14ac:dyDescent="0.25">
      <c r="B2" s="342"/>
      <c r="C2" s="343"/>
      <c r="D2" s="343"/>
      <c r="E2" s="338"/>
      <c r="F2" s="339"/>
      <c r="G2" s="335"/>
    </row>
    <row r="3" spans="2:7" ht="15" customHeight="1" x14ac:dyDescent="0.25">
      <c r="B3" s="441" t="s">
        <v>52</v>
      </c>
      <c r="C3" s="452"/>
      <c r="D3" s="452"/>
      <c r="E3" s="452"/>
      <c r="F3" s="453"/>
      <c r="G3" s="447">
        <v>1.6</v>
      </c>
    </row>
    <row r="4" spans="2:7" ht="15" customHeight="1" x14ac:dyDescent="0.25">
      <c r="B4" s="454"/>
      <c r="C4" s="460"/>
      <c r="D4" s="460"/>
      <c r="E4" s="460"/>
      <c r="F4" s="461"/>
      <c r="G4" s="448"/>
    </row>
    <row r="5" spans="2:7" ht="15.75" customHeight="1" x14ac:dyDescent="0.3">
      <c r="B5" s="450" t="s">
        <v>82</v>
      </c>
      <c r="C5" s="40" t="s">
        <v>205</v>
      </c>
      <c r="D5" s="41"/>
      <c r="E5" s="41"/>
      <c r="F5" s="42"/>
      <c r="G5" s="50" t="s">
        <v>125</v>
      </c>
    </row>
    <row r="6" spans="2:7" ht="15.75" x14ac:dyDescent="0.3">
      <c r="B6" s="457"/>
      <c r="C6" s="43" t="s">
        <v>206</v>
      </c>
      <c r="F6" s="31"/>
      <c r="G6" s="47"/>
    </row>
    <row r="7" spans="2:7" ht="15.75" x14ac:dyDescent="0.3">
      <c r="B7" s="457"/>
      <c r="C7" s="43" t="s">
        <v>207</v>
      </c>
      <c r="F7" s="31"/>
      <c r="G7" s="47"/>
    </row>
    <row r="8" spans="2:7" ht="15.75" x14ac:dyDescent="0.3">
      <c r="B8" s="457"/>
      <c r="C8" s="43" t="s">
        <v>208</v>
      </c>
      <c r="D8" s="38"/>
      <c r="E8" s="38"/>
      <c r="F8" s="39"/>
      <c r="G8" s="103" t="s">
        <v>137</v>
      </c>
    </row>
    <row r="9" spans="2:7" x14ac:dyDescent="0.25">
      <c r="B9" s="457"/>
      <c r="C9" s="30"/>
      <c r="F9" s="31"/>
      <c r="G9" s="47"/>
    </row>
    <row r="10" spans="2:7" ht="15.75" x14ac:dyDescent="0.3">
      <c r="B10" s="457"/>
      <c r="C10" s="44"/>
      <c r="D10" s="33"/>
      <c r="E10" s="33"/>
      <c r="F10" s="34"/>
      <c r="G10" s="49"/>
    </row>
    <row r="11" spans="2:7" x14ac:dyDescent="0.25">
      <c r="B11" s="457"/>
      <c r="C11" s="462" t="s">
        <v>88</v>
      </c>
      <c r="D11" s="463"/>
      <c r="E11" s="463"/>
      <c r="F11" s="463"/>
      <c r="G11" s="464"/>
    </row>
    <row r="12" spans="2:7" ht="15.75" x14ac:dyDescent="0.3">
      <c r="B12" s="457"/>
      <c r="C12" s="40" t="s">
        <v>202</v>
      </c>
      <c r="D12" s="69"/>
      <c r="E12" s="69"/>
      <c r="F12" s="69"/>
      <c r="G12" s="70"/>
    </row>
    <row r="13" spans="2:7" ht="15.75" x14ac:dyDescent="0.3">
      <c r="B13" s="457"/>
      <c r="C13" s="43" t="s">
        <v>203</v>
      </c>
      <c r="D13" s="38"/>
      <c r="E13" s="38"/>
      <c r="F13" s="38"/>
      <c r="G13" s="39"/>
    </row>
    <row r="14" spans="2:7" ht="15.75" customHeight="1" x14ac:dyDescent="0.3">
      <c r="B14" s="459"/>
      <c r="C14" s="44"/>
      <c r="D14" s="33"/>
      <c r="E14" s="33"/>
      <c r="F14" s="33"/>
      <c r="G14" s="34"/>
    </row>
    <row r="15" spans="2:7" ht="15" customHeight="1" x14ac:dyDescent="0.25">
      <c r="B15" s="356" t="s">
        <v>91</v>
      </c>
      <c r="C15" s="407"/>
      <c r="D15" s="407"/>
      <c r="E15" s="407"/>
      <c r="F15" s="407"/>
      <c r="G15" s="408"/>
    </row>
    <row r="16" spans="2:7" ht="15" customHeight="1" x14ac:dyDescent="0.25">
      <c r="B16" s="359"/>
      <c r="C16" s="360"/>
      <c r="D16" s="360"/>
      <c r="E16" s="360"/>
      <c r="F16" s="360"/>
      <c r="G16" s="361"/>
    </row>
    <row r="17" spans="2:7" ht="15" customHeight="1" x14ac:dyDescent="0.25">
      <c r="B17" s="382" t="s">
        <v>170</v>
      </c>
      <c r="C17" s="383"/>
      <c r="D17" s="383"/>
      <c r="E17" s="383"/>
      <c r="F17" s="383"/>
      <c r="G17" s="386">
        <v>1.2</v>
      </c>
    </row>
    <row r="18" spans="2:7" ht="15" customHeight="1" x14ac:dyDescent="0.25">
      <c r="B18" s="384"/>
      <c r="C18" s="385"/>
      <c r="D18" s="385"/>
      <c r="E18" s="385"/>
      <c r="F18" s="385"/>
      <c r="G18" s="387"/>
    </row>
    <row r="19" spans="2:7" ht="15.75" customHeight="1" x14ac:dyDescent="0.3">
      <c r="B19" s="388" t="s">
        <v>92</v>
      </c>
      <c r="C19" s="95" t="s">
        <v>120</v>
      </c>
      <c r="D19" s="41"/>
      <c r="E19" s="41"/>
      <c r="F19" s="42"/>
      <c r="G19" s="53" t="s">
        <v>125</v>
      </c>
    </row>
    <row r="20" spans="2:7" ht="15.75" x14ac:dyDescent="0.3">
      <c r="B20" s="390"/>
      <c r="C20" s="43" t="s">
        <v>195</v>
      </c>
      <c r="F20" s="31"/>
      <c r="G20" s="31"/>
    </row>
    <row r="21" spans="2:7" ht="15.75" x14ac:dyDescent="0.3">
      <c r="B21" s="390"/>
      <c r="C21" s="43"/>
      <c r="F21" s="31"/>
      <c r="G21" s="31"/>
    </row>
    <row r="22" spans="2:7" ht="15.75" x14ac:dyDescent="0.3">
      <c r="B22" s="390"/>
      <c r="C22" s="43"/>
      <c r="F22" s="31"/>
      <c r="G22" s="39"/>
    </row>
    <row r="23" spans="2:7" ht="15.75" x14ac:dyDescent="0.3">
      <c r="B23" s="390"/>
      <c r="C23" s="44"/>
      <c r="D23" s="33"/>
      <c r="E23" s="33"/>
      <c r="F23" s="34"/>
      <c r="G23" s="34"/>
    </row>
    <row r="24" spans="2:7" x14ac:dyDescent="0.25">
      <c r="B24" s="391"/>
      <c r="C24" s="393" t="s">
        <v>88</v>
      </c>
      <c r="D24" s="394"/>
      <c r="E24" s="394"/>
      <c r="F24" s="394"/>
      <c r="G24" s="364"/>
    </row>
    <row r="25" spans="2:7" ht="15.75" x14ac:dyDescent="0.3">
      <c r="B25" s="391"/>
      <c r="C25" s="43" t="s">
        <v>175</v>
      </c>
      <c r="D25" s="38"/>
      <c r="E25" s="38"/>
      <c r="F25" s="38"/>
      <c r="G25" s="39"/>
    </row>
    <row r="26" spans="2:7" ht="15.75" x14ac:dyDescent="0.3">
      <c r="B26" s="391"/>
      <c r="C26" s="43" t="s">
        <v>196</v>
      </c>
      <c r="G26" s="31"/>
    </row>
    <row r="27" spans="2:7" x14ac:dyDescent="0.25">
      <c r="B27" s="392"/>
      <c r="C27" s="32"/>
      <c r="D27" s="33"/>
      <c r="E27" s="33"/>
      <c r="F27" s="33"/>
      <c r="G27" s="34"/>
    </row>
    <row r="28" spans="2:7" ht="15" customHeight="1" x14ac:dyDescent="0.25">
      <c r="B28" s="328" t="s">
        <v>97</v>
      </c>
      <c r="C28" s="395"/>
      <c r="D28" s="395"/>
      <c r="E28" s="395"/>
      <c r="F28" s="395"/>
      <c r="G28" s="396"/>
    </row>
    <row r="29" spans="2:7" ht="15" customHeight="1" x14ac:dyDescent="0.25">
      <c r="B29" s="397"/>
      <c r="C29" s="398"/>
      <c r="D29" s="398"/>
      <c r="E29" s="398"/>
      <c r="F29" s="398"/>
      <c r="G29" s="399"/>
    </row>
    <row r="30" spans="2:7" x14ac:dyDescent="0.25">
      <c r="B30" s="35"/>
      <c r="C30" s="36"/>
      <c r="D30" s="37"/>
      <c r="E30" s="35"/>
      <c r="F30" s="36"/>
      <c r="G30" s="37"/>
    </row>
    <row r="31" spans="2:7" x14ac:dyDescent="0.25">
      <c r="B31" s="30"/>
      <c r="D31" s="31"/>
      <c r="E31" s="30"/>
      <c r="G31" s="31"/>
    </row>
    <row r="32" spans="2:7" ht="15.75" x14ac:dyDescent="0.3">
      <c r="B32" s="30"/>
      <c r="C32" s="60"/>
      <c r="D32" s="31"/>
      <c r="E32" s="30"/>
      <c r="G32" s="31"/>
    </row>
    <row r="33" spans="2:7" x14ac:dyDescent="0.25">
      <c r="B33" s="30"/>
      <c r="D33" s="31"/>
      <c r="E33" s="30"/>
      <c r="G33" s="31"/>
    </row>
    <row r="34" spans="2:7" ht="15.75" x14ac:dyDescent="0.3">
      <c r="B34" s="30"/>
      <c r="C34" s="60"/>
      <c r="D34" s="31"/>
      <c r="E34" s="30"/>
      <c r="G34" s="31"/>
    </row>
    <row r="35" spans="2:7" ht="15.75" x14ac:dyDescent="0.3">
      <c r="B35" s="30"/>
      <c r="C35" s="60"/>
      <c r="D35" s="31"/>
      <c r="E35" s="30"/>
      <c r="G35" s="31"/>
    </row>
    <row r="36" spans="2:7" x14ac:dyDescent="0.25">
      <c r="B36" s="30"/>
      <c r="D36" s="31"/>
      <c r="E36" s="30"/>
      <c r="G36" s="31"/>
    </row>
    <row r="37" spans="2:7" x14ac:dyDescent="0.25">
      <c r="B37" s="30"/>
      <c r="D37" s="31"/>
      <c r="E37" s="30"/>
      <c r="G37" s="31"/>
    </row>
    <row r="38" spans="2:7" x14ac:dyDescent="0.25">
      <c r="B38" s="30"/>
      <c r="D38" s="31"/>
      <c r="E38" s="30"/>
      <c r="G38" s="31"/>
    </row>
    <row r="39" spans="2:7" x14ac:dyDescent="0.25">
      <c r="B39" s="30"/>
      <c r="D39" s="31"/>
      <c r="E39" s="30"/>
      <c r="G39" s="31"/>
    </row>
    <row r="40" spans="2:7" x14ac:dyDescent="0.25">
      <c r="B40" s="30"/>
      <c r="D40" s="31"/>
      <c r="E40" s="30"/>
      <c r="G40" s="31"/>
    </row>
    <row r="41" spans="2:7" x14ac:dyDescent="0.25">
      <c r="B41" s="30"/>
      <c r="D41" s="31"/>
      <c r="E41" s="30"/>
      <c r="G41" s="31"/>
    </row>
    <row r="42" spans="2:7" x14ac:dyDescent="0.25">
      <c r="B42" s="30"/>
      <c r="D42" s="31"/>
      <c r="E42" s="30"/>
      <c r="G42" s="31"/>
    </row>
    <row r="43" spans="2:7" x14ac:dyDescent="0.25">
      <c r="B43" s="30"/>
      <c r="D43" s="31"/>
      <c r="E43" s="30"/>
      <c r="G43" s="31"/>
    </row>
    <row r="44" spans="2:7" x14ac:dyDescent="0.25">
      <c r="B44" s="30"/>
      <c r="D44" s="31"/>
      <c r="E44" s="30"/>
      <c r="G44" s="31"/>
    </row>
    <row r="45" spans="2:7" x14ac:dyDescent="0.25">
      <c r="B45" s="30"/>
      <c r="D45" s="31"/>
      <c r="E45" s="30"/>
      <c r="G45" s="31"/>
    </row>
    <row r="46" spans="2:7" x14ac:dyDescent="0.25">
      <c r="B46" s="30"/>
      <c r="D46" s="31"/>
      <c r="E46" s="30"/>
      <c r="G46" s="31"/>
    </row>
    <row r="47" spans="2:7" x14ac:dyDescent="0.25">
      <c r="B47" s="30"/>
      <c r="D47" s="31"/>
      <c r="E47" s="30"/>
      <c r="G47" s="31"/>
    </row>
    <row r="48" spans="2:7" x14ac:dyDescent="0.25">
      <c r="B48" s="30"/>
      <c r="D48" s="31"/>
      <c r="E48" s="30"/>
      <c r="G48" s="31"/>
    </row>
    <row r="49" spans="2:7" x14ac:dyDescent="0.25">
      <c r="B49" s="32"/>
      <c r="C49" s="33"/>
      <c r="D49" s="34"/>
      <c r="E49" s="32"/>
      <c r="F49" s="33"/>
      <c r="G49" s="34"/>
    </row>
  </sheetData>
  <mergeCells count="13">
    <mergeCell ref="B28:G29"/>
    <mergeCell ref="B1:D2"/>
    <mergeCell ref="E1:F2"/>
    <mergeCell ref="G1:G2"/>
    <mergeCell ref="B3:F4"/>
    <mergeCell ref="G3:G4"/>
    <mergeCell ref="B5:B14"/>
    <mergeCell ref="C11:G11"/>
    <mergeCell ref="B15:G16"/>
    <mergeCell ref="B17:F18"/>
    <mergeCell ref="G17:G18"/>
    <mergeCell ref="B19:B27"/>
    <mergeCell ref="C24:G24"/>
  </mergeCells>
  <pageMargins left="0.25" right="0.25" top="0.75" bottom="0.75" header="0.3" footer="0.3"/>
  <pageSetup paperSize="9" orientation="portrait" r:id="rId1"/>
  <headerFooter>
    <oddFooter>&amp;R&amp;"Century Gothic,Standard"&amp;9itm I &amp;D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FBE98-B87F-416D-91AC-4393B7820197}">
  <dimension ref="B1:G49"/>
  <sheetViews>
    <sheetView showWhiteSpace="0" view="pageLayout" zoomScaleNormal="100" workbookViewId="0">
      <selection activeCell="C9" sqref="C9:F9"/>
    </sheetView>
  </sheetViews>
  <sheetFormatPr baseColWidth="10" defaultColWidth="11.42578125" defaultRowHeight="15" x14ac:dyDescent="0.25"/>
  <cols>
    <col min="1" max="1" width="4.85546875" customWidth="1"/>
    <col min="2" max="2" width="10" customWidth="1"/>
    <col min="3" max="7" width="16.28515625" customWidth="1"/>
  </cols>
  <sheetData>
    <row r="1" spans="2:7" x14ac:dyDescent="0.25">
      <c r="B1" s="340" t="s">
        <v>80</v>
      </c>
      <c r="C1" s="341"/>
      <c r="D1" s="341"/>
      <c r="E1" s="336">
        <f>Kompetenzraster!Q31</f>
        <v>46360</v>
      </c>
      <c r="F1" s="337"/>
      <c r="G1" s="334">
        <v>14</v>
      </c>
    </row>
    <row r="2" spans="2:7" x14ac:dyDescent="0.25">
      <c r="B2" s="342"/>
      <c r="C2" s="343"/>
      <c r="D2" s="343"/>
      <c r="E2" s="338"/>
      <c r="F2" s="339"/>
      <c r="G2" s="335"/>
    </row>
    <row r="3" spans="2:7" x14ac:dyDescent="0.25">
      <c r="B3" s="441" t="s">
        <v>209</v>
      </c>
      <c r="C3" s="452"/>
      <c r="D3" s="452"/>
      <c r="E3" s="452"/>
      <c r="F3" s="453"/>
      <c r="G3" s="447">
        <v>1.8</v>
      </c>
    </row>
    <row r="4" spans="2:7" x14ac:dyDescent="0.25">
      <c r="B4" s="454"/>
      <c r="C4" s="460"/>
      <c r="D4" s="460"/>
      <c r="E4" s="460"/>
      <c r="F4" s="461"/>
      <c r="G4" s="448"/>
    </row>
    <row r="5" spans="2:7" ht="15.75" x14ac:dyDescent="0.3">
      <c r="B5" s="450" t="s">
        <v>82</v>
      </c>
      <c r="C5" s="95" t="s">
        <v>108</v>
      </c>
      <c r="D5" s="41"/>
      <c r="E5" s="41"/>
      <c r="F5" s="42"/>
      <c r="G5" s="53" t="s">
        <v>125</v>
      </c>
    </row>
    <row r="6" spans="2:7" ht="15.75" x14ac:dyDescent="0.3">
      <c r="B6" s="457"/>
      <c r="C6" s="43" t="s">
        <v>210</v>
      </c>
      <c r="F6" s="31"/>
      <c r="G6" s="31"/>
    </row>
    <row r="7" spans="2:7" ht="15.75" x14ac:dyDescent="0.3">
      <c r="B7" s="457"/>
      <c r="C7" s="43" t="s">
        <v>211</v>
      </c>
      <c r="F7" s="31"/>
      <c r="G7" s="31"/>
    </row>
    <row r="8" spans="2:7" ht="15.75" x14ac:dyDescent="0.3">
      <c r="B8" s="457"/>
      <c r="C8" s="43" t="s">
        <v>212</v>
      </c>
      <c r="D8" s="38"/>
      <c r="E8" s="38"/>
      <c r="F8" s="39"/>
      <c r="G8" s="39"/>
    </row>
    <row r="9" spans="2:7" ht="15.75" x14ac:dyDescent="0.3">
      <c r="B9" s="457"/>
      <c r="C9" s="64" t="s">
        <v>213</v>
      </c>
      <c r="D9" s="65"/>
      <c r="E9" s="65"/>
      <c r="F9" s="72" t="s">
        <v>144</v>
      </c>
      <c r="G9" s="34"/>
    </row>
    <row r="10" spans="2:7" x14ac:dyDescent="0.25">
      <c r="B10" s="458"/>
      <c r="C10" s="393" t="s">
        <v>88</v>
      </c>
      <c r="D10" s="394"/>
      <c r="E10" s="394"/>
      <c r="F10" s="394"/>
      <c r="G10" s="402"/>
    </row>
    <row r="11" spans="2:7" ht="15.75" x14ac:dyDescent="0.3">
      <c r="B11" s="457"/>
      <c r="C11" s="55" t="s">
        <v>214</v>
      </c>
      <c r="D11" s="36"/>
      <c r="E11" s="36"/>
      <c r="F11" s="36"/>
      <c r="G11" s="37"/>
    </row>
    <row r="12" spans="2:7" ht="15.75" x14ac:dyDescent="0.3">
      <c r="B12" s="457"/>
      <c r="C12" s="45" t="s">
        <v>215</v>
      </c>
      <c r="D12" s="38"/>
      <c r="E12" s="38"/>
      <c r="F12" s="38"/>
      <c r="G12" s="39"/>
    </row>
    <row r="13" spans="2:7" ht="15.75" x14ac:dyDescent="0.3">
      <c r="B13" s="457"/>
      <c r="C13" s="43"/>
      <c r="D13" s="38"/>
      <c r="E13" s="38"/>
      <c r="F13" s="38"/>
      <c r="G13" s="39"/>
    </row>
    <row r="14" spans="2:7" ht="15.75" x14ac:dyDescent="0.3">
      <c r="B14" s="459"/>
      <c r="C14" s="44"/>
      <c r="D14" s="33"/>
      <c r="E14" s="33"/>
      <c r="F14" s="33"/>
      <c r="G14" s="34"/>
    </row>
    <row r="15" spans="2:7" x14ac:dyDescent="0.25">
      <c r="B15" s="356" t="s">
        <v>91</v>
      </c>
      <c r="C15" s="407"/>
      <c r="D15" s="407"/>
      <c r="E15" s="407"/>
      <c r="F15" s="407"/>
      <c r="G15" s="408"/>
    </row>
    <row r="16" spans="2:7" x14ac:dyDescent="0.25">
      <c r="B16" s="359"/>
      <c r="C16" s="360"/>
      <c r="D16" s="360"/>
      <c r="E16" s="360"/>
      <c r="F16" s="360"/>
      <c r="G16" s="361"/>
    </row>
    <row r="17" spans="2:7" ht="15" customHeight="1" x14ac:dyDescent="0.25">
      <c r="B17" s="382" t="s">
        <v>170</v>
      </c>
      <c r="C17" s="383"/>
      <c r="D17" s="383"/>
      <c r="E17" s="383"/>
      <c r="F17" s="383"/>
      <c r="G17" s="386">
        <v>1.2</v>
      </c>
    </row>
    <row r="18" spans="2:7" ht="15" customHeight="1" x14ac:dyDescent="0.25">
      <c r="B18" s="384"/>
      <c r="C18" s="385"/>
      <c r="D18" s="385"/>
      <c r="E18" s="385"/>
      <c r="F18" s="385"/>
      <c r="G18" s="387"/>
    </row>
    <row r="19" spans="2:7" ht="15.75" x14ac:dyDescent="0.3">
      <c r="B19" s="388" t="s">
        <v>92</v>
      </c>
      <c r="C19" s="95" t="s">
        <v>120</v>
      </c>
      <c r="D19" s="41"/>
      <c r="E19" s="41"/>
      <c r="F19" s="42"/>
      <c r="G19" s="53" t="s">
        <v>125</v>
      </c>
    </row>
    <row r="20" spans="2:7" ht="15.75" x14ac:dyDescent="0.3">
      <c r="B20" s="390"/>
      <c r="C20" s="43" t="s">
        <v>195</v>
      </c>
      <c r="F20" s="31"/>
      <c r="G20" s="31"/>
    </row>
    <row r="21" spans="2:7" ht="15.75" x14ac:dyDescent="0.3">
      <c r="B21" s="390"/>
      <c r="C21" s="43" t="s">
        <v>216</v>
      </c>
      <c r="F21" s="31"/>
      <c r="G21" s="31"/>
    </row>
    <row r="22" spans="2:7" ht="15.75" x14ac:dyDescent="0.3">
      <c r="B22" s="390"/>
      <c r="C22" s="43"/>
      <c r="F22" s="31"/>
      <c r="G22" s="39"/>
    </row>
    <row r="23" spans="2:7" ht="15.75" x14ac:dyDescent="0.3">
      <c r="B23" s="390"/>
      <c r="C23" s="44"/>
      <c r="D23" s="33"/>
      <c r="E23" s="33"/>
      <c r="F23" s="34"/>
      <c r="G23" s="34"/>
    </row>
    <row r="24" spans="2:7" x14ac:dyDescent="0.25">
      <c r="B24" s="391"/>
      <c r="C24" s="393" t="s">
        <v>88</v>
      </c>
      <c r="D24" s="394"/>
      <c r="E24" s="394"/>
      <c r="F24" s="394"/>
      <c r="G24" s="364"/>
    </row>
    <row r="25" spans="2:7" ht="15.75" x14ac:dyDescent="0.3">
      <c r="B25" s="391"/>
      <c r="C25" s="43" t="s">
        <v>175</v>
      </c>
      <c r="D25" s="38"/>
      <c r="E25" s="38"/>
      <c r="F25" s="38"/>
      <c r="G25" s="39"/>
    </row>
    <row r="26" spans="2:7" ht="15.75" x14ac:dyDescent="0.3">
      <c r="B26" s="391"/>
      <c r="C26" s="43" t="s">
        <v>196</v>
      </c>
      <c r="G26" s="31"/>
    </row>
    <row r="27" spans="2:7" x14ac:dyDescent="0.25">
      <c r="B27" s="392"/>
      <c r="C27" s="32"/>
      <c r="D27" s="33"/>
      <c r="E27" s="33"/>
      <c r="F27" s="33"/>
      <c r="G27" s="34"/>
    </row>
    <row r="28" spans="2:7" x14ac:dyDescent="0.25">
      <c r="B28" s="328" t="s">
        <v>97</v>
      </c>
      <c r="C28" s="395"/>
      <c r="D28" s="395"/>
      <c r="E28" s="395"/>
      <c r="F28" s="395"/>
      <c r="G28" s="396"/>
    </row>
    <row r="29" spans="2:7" x14ac:dyDescent="0.25">
      <c r="B29" s="397"/>
      <c r="C29" s="398"/>
      <c r="D29" s="398"/>
      <c r="E29" s="398"/>
      <c r="F29" s="398"/>
      <c r="G29" s="399"/>
    </row>
    <row r="30" spans="2:7" x14ac:dyDescent="0.25">
      <c r="B30" s="35"/>
      <c r="C30" s="36"/>
      <c r="D30" s="37"/>
      <c r="E30" s="35"/>
      <c r="F30" s="36"/>
      <c r="G30" s="37"/>
    </row>
    <row r="31" spans="2:7" x14ac:dyDescent="0.25">
      <c r="B31" s="30"/>
      <c r="D31" s="31"/>
      <c r="E31" s="30"/>
      <c r="G31" s="31"/>
    </row>
    <row r="32" spans="2:7" x14ac:dyDescent="0.25">
      <c r="B32" s="30"/>
      <c r="C32" s="58"/>
      <c r="D32" s="31"/>
      <c r="E32" s="30"/>
      <c r="G32" s="31"/>
    </row>
    <row r="33" spans="2:7" x14ac:dyDescent="0.25">
      <c r="B33" s="30"/>
      <c r="D33" s="31"/>
      <c r="E33" s="30"/>
      <c r="G33" s="31"/>
    </row>
    <row r="34" spans="2:7" x14ac:dyDescent="0.25">
      <c r="B34" s="30"/>
      <c r="D34" s="31"/>
      <c r="E34" s="30"/>
      <c r="G34" s="31"/>
    </row>
    <row r="35" spans="2:7" x14ac:dyDescent="0.25">
      <c r="B35" s="30"/>
      <c r="D35" s="31"/>
      <c r="E35" s="30"/>
      <c r="G35" s="31"/>
    </row>
    <row r="36" spans="2:7" x14ac:dyDescent="0.25">
      <c r="B36" s="30"/>
      <c r="D36" s="31"/>
      <c r="E36" s="30"/>
      <c r="G36" s="31"/>
    </row>
    <row r="37" spans="2:7" x14ac:dyDescent="0.25">
      <c r="B37" s="30"/>
      <c r="D37" s="31"/>
      <c r="E37" s="30"/>
      <c r="G37" s="31"/>
    </row>
    <row r="38" spans="2:7" x14ac:dyDescent="0.25">
      <c r="B38" s="30"/>
      <c r="D38" s="31"/>
      <c r="E38" s="30"/>
      <c r="G38" s="31"/>
    </row>
    <row r="39" spans="2:7" x14ac:dyDescent="0.25">
      <c r="B39" s="30"/>
      <c r="D39" s="31"/>
      <c r="E39" s="30"/>
      <c r="G39" s="31"/>
    </row>
    <row r="40" spans="2:7" x14ac:dyDescent="0.25">
      <c r="B40" s="30"/>
      <c r="D40" s="31"/>
      <c r="E40" s="30"/>
      <c r="G40" s="31"/>
    </row>
    <row r="41" spans="2:7" x14ac:dyDescent="0.25">
      <c r="B41" s="30"/>
      <c r="D41" s="31"/>
      <c r="E41" s="30"/>
      <c r="G41" s="31"/>
    </row>
    <row r="42" spans="2:7" x14ac:dyDescent="0.25">
      <c r="B42" s="30"/>
      <c r="D42" s="31"/>
      <c r="E42" s="30"/>
      <c r="G42" s="31"/>
    </row>
    <row r="43" spans="2:7" x14ac:dyDescent="0.25">
      <c r="B43" s="30"/>
      <c r="D43" s="31"/>
      <c r="E43" s="30"/>
      <c r="G43" s="31"/>
    </row>
    <row r="44" spans="2:7" x14ac:dyDescent="0.25">
      <c r="B44" s="30"/>
      <c r="D44" s="31"/>
      <c r="E44" s="30"/>
      <c r="G44" s="31"/>
    </row>
    <row r="45" spans="2:7" x14ac:dyDescent="0.25">
      <c r="B45" s="30"/>
      <c r="D45" s="31"/>
      <c r="E45" s="30"/>
      <c r="G45" s="31"/>
    </row>
    <row r="46" spans="2:7" x14ac:dyDescent="0.25">
      <c r="B46" s="30"/>
      <c r="D46" s="31"/>
      <c r="E46" s="30"/>
      <c r="G46" s="31"/>
    </row>
    <row r="47" spans="2:7" x14ac:dyDescent="0.25">
      <c r="B47" s="30"/>
      <c r="D47" s="31"/>
      <c r="E47" s="30"/>
      <c r="G47" s="31"/>
    </row>
    <row r="48" spans="2:7" x14ac:dyDescent="0.25">
      <c r="B48" s="30"/>
      <c r="D48" s="31"/>
      <c r="E48" s="30"/>
      <c r="G48" s="31"/>
    </row>
    <row r="49" spans="2:7" x14ac:dyDescent="0.25">
      <c r="B49" s="32"/>
      <c r="C49" s="33"/>
      <c r="D49" s="34"/>
      <c r="E49" s="32"/>
      <c r="F49" s="33"/>
      <c r="G49" s="34"/>
    </row>
  </sheetData>
  <mergeCells count="13">
    <mergeCell ref="B28:G29"/>
    <mergeCell ref="B1:D2"/>
    <mergeCell ref="E1:F2"/>
    <mergeCell ref="G1:G2"/>
    <mergeCell ref="B3:F4"/>
    <mergeCell ref="G3:G4"/>
    <mergeCell ref="B5:B14"/>
    <mergeCell ref="C10:G10"/>
    <mergeCell ref="B15:G16"/>
    <mergeCell ref="B17:F18"/>
    <mergeCell ref="G17:G18"/>
    <mergeCell ref="B19:B27"/>
    <mergeCell ref="C24:G24"/>
  </mergeCells>
  <pageMargins left="0.25" right="0.25" top="0.75" bottom="0.75" header="0.3" footer="0.3"/>
  <pageSetup paperSize="9" orientation="portrait" r:id="rId1"/>
  <headerFooter>
    <oddFooter>&amp;R&amp;"Century Gothic,Standard"&amp;9itm I &amp;D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05599-9135-4F09-BF73-A89D719DB0A1}">
  <dimension ref="B1:G49"/>
  <sheetViews>
    <sheetView showWhiteSpace="0" view="pageLayout" zoomScaleNormal="100" workbookViewId="0">
      <selection activeCell="C19" sqref="C19"/>
    </sheetView>
  </sheetViews>
  <sheetFormatPr baseColWidth="10" defaultColWidth="11.42578125" defaultRowHeight="15" x14ac:dyDescent="0.25"/>
  <cols>
    <col min="1" max="1" width="4.85546875" customWidth="1"/>
    <col min="2" max="2" width="10" customWidth="1"/>
    <col min="3" max="7" width="16.28515625" customWidth="1"/>
  </cols>
  <sheetData>
    <row r="1" spans="2:7" x14ac:dyDescent="0.25">
      <c r="B1" s="340" t="s">
        <v>80</v>
      </c>
      <c r="C1" s="341"/>
      <c r="D1" s="341"/>
      <c r="E1" s="336">
        <f>Kompetenzraster!Q33</f>
        <v>46367</v>
      </c>
      <c r="F1" s="337"/>
      <c r="G1" s="334">
        <v>15</v>
      </c>
    </row>
    <row r="2" spans="2:7" x14ac:dyDescent="0.25">
      <c r="B2" s="342"/>
      <c r="C2" s="343"/>
      <c r="D2" s="343"/>
      <c r="E2" s="338"/>
      <c r="F2" s="339"/>
      <c r="G2" s="335"/>
    </row>
    <row r="3" spans="2:7" x14ac:dyDescent="0.25">
      <c r="B3" s="441" t="s">
        <v>209</v>
      </c>
      <c r="C3" s="452"/>
      <c r="D3" s="452"/>
      <c r="E3" s="452"/>
      <c r="F3" s="453"/>
      <c r="G3" s="447">
        <v>1.8</v>
      </c>
    </row>
    <row r="4" spans="2:7" x14ac:dyDescent="0.25">
      <c r="B4" s="454"/>
      <c r="C4" s="460"/>
      <c r="D4" s="460"/>
      <c r="E4" s="460"/>
      <c r="F4" s="461"/>
      <c r="G4" s="448"/>
    </row>
    <row r="5" spans="2:7" ht="15.75" x14ac:dyDescent="0.3">
      <c r="B5" s="450" t="s">
        <v>82</v>
      </c>
      <c r="C5" s="95" t="s">
        <v>114</v>
      </c>
      <c r="D5" s="41"/>
      <c r="E5" s="41"/>
      <c r="F5" s="42"/>
      <c r="G5" s="53" t="s">
        <v>125</v>
      </c>
    </row>
    <row r="6" spans="2:7" ht="15.75" x14ac:dyDescent="0.3">
      <c r="B6" s="457"/>
      <c r="C6" s="43" t="s">
        <v>217</v>
      </c>
      <c r="F6" s="31"/>
      <c r="G6" s="31"/>
    </row>
    <row r="7" spans="2:7" ht="15.75" x14ac:dyDescent="0.3">
      <c r="B7" s="457"/>
      <c r="C7" s="43" t="s">
        <v>218</v>
      </c>
      <c r="F7" s="31"/>
      <c r="G7" s="31"/>
    </row>
    <row r="8" spans="2:7" ht="15.75" x14ac:dyDescent="0.3">
      <c r="B8" s="457"/>
      <c r="C8" s="43" t="s">
        <v>212</v>
      </c>
      <c r="D8" s="38"/>
      <c r="E8" s="38"/>
      <c r="F8" s="39"/>
      <c r="G8" s="39"/>
    </row>
    <row r="9" spans="2:7" ht="15.75" x14ac:dyDescent="0.3">
      <c r="B9" s="457"/>
      <c r="C9" s="44"/>
      <c r="D9" s="33"/>
      <c r="E9" s="33"/>
      <c r="F9" s="34"/>
      <c r="G9" s="34"/>
    </row>
    <row r="10" spans="2:7" x14ac:dyDescent="0.25">
      <c r="B10" s="458"/>
      <c r="C10" s="393" t="s">
        <v>88</v>
      </c>
      <c r="D10" s="394"/>
      <c r="E10" s="394"/>
      <c r="F10" s="394"/>
      <c r="G10" s="402"/>
    </row>
    <row r="11" spans="2:7" ht="15.75" x14ac:dyDescent="0.3">
      <c r="B11" s="457"/>
      <c r="C11" s="55" t="s">
        <v>219</v>
      </c>
      <c r="D11" s="36"/>
      <c r="E11" s="36"/>
      <c r="F11" s="36"/>
      <c r="G11" s="37"/>
    </row>
    <row r="12" spans="2:7" ht="15.75" x14ac:dyDescent="0.3">
      <c r="B12" s="457"/>
      <c r="C12" s="45"/>
      <c r="D12" s="38"/>
      <c r="E12" s="38"/>
      <c r="F12" s="38"/>
      <c r="G12" s="39"/>
    </row>
    <row r="13" spans="2:7" ht="15.75" x14ac:dyDescent="0.3">
      <c r="B13" s="457"/>
      <c r="C13" s="43"/>
      <c r="D13" s="38"/>
      <c r="E13" s="38"/>
      <c r="F13" s="38"/>
      <c r="G13" s="39"/>
    </row>
    <row r="14" spans="2:7" ht="15.75" x14ac:dyDescent="0.3">
      <c r="B14" s="459"/>
      <c r="C14" s="44"/>
      <c r="D14" s="33"/>
      <c r="E14" s="33"/>
      <c r="F14" s="33"/>
      <c r="G14" s="34"/>
    </row>
    <row r="15" spans="2:7" x14ac:dyDescent="0.25">
      <c r="B15" s="356" t="s">
        <v>91</v>
      </c>
      <c r="C15" s="407"/>
      <c r="D15" s="407"/>
      <c r="E15" s="407"/>
      <c r="F15" s="407"/>
      <c r="G15" s="408"/>
    </row>
    <row r="16" spans="2:7" x14ac:dyDescent="0.25">
      <c r="B16" s="359"/>
      <c r="C16" s="360"/>
      <c r="D16" s="360"/>
      <c r="E16" s="360"/>
      <c r="F16" s="360"/>
      <c r="G16" s="361"/>
    </row>
    <row r="17" spans="2:7" ht="15" customHeight="1" x14ac:dyDescent="0.25">
      <c r="B17" s="382" t="s">
        <v>170</v>
      </c>
      <c r="C17" s="383"/>
      <c r="D17" s="383"/>
      <c r="E17" s="383"/>
      <c r="F17" s="383"/>
      <c r="G17" s="386">
        <v>1.2</v>
      </c>
    </row>
    <row r="18" spans="2:7" ht="15" customHeight="1" x14ac:dyDescent="0.25">
      <c r="B18" s="384"/>
      <c r="C18" s="385"/>
      <c r="D18" s="385"/>
      <c r="E18" s="385"/>
      <c r="F18" s="385"/>
      <c r="G18" s="387"/>
    </row>
    <row r="19" spans="2:7" ht="15.75" x14ac:dyDescent="0.3">
      <c r="B19" s="388" t="s">
        <v>92</v>
      </c>
      <c r="C19" s="95" t="s">
        <v>122</v>
      </c>
      <c r="D19" s="41"/>
      <c r="E19" s="41"/>
      <c r="F19" s="42"/>
      <c r="G19" s="53" t="s">
        <v>125</v>
      </c>
    </row>
    <row r="20" spans="2:7" ht="15.75" x14ac:dyDescent="0.3">
      <c r="B20" s="390"/>
      <c r="C20" s="43" t="s">
        <v>220</v>
      </c>
      <c r="F20" s="31"/>
      <c r="G20" s="31"/>
    </row>
    <row r="21" spans="2:7" ht="15.75" x14ac:dyDescent="0.3">
      <c r="B21" s="390"/>
      <c r="C21" s="43" t="s">
        <v>221</v>
      </c>
      <c r="F21" s="31"/>
      <c r="G21" s="31"/>
    </row>
    <row r="22" spans="2:7" ht="15.75" x14ac:dyDescent="0.3">
      <c r="B22" s="390"/>
      <c r="C22" s="43"/>
      <c r="F22" s="31"/>
      <c r="G22" s="39"/>
    </row>
    <row r="23" spans="2:7" ht="15.75" x14ac:dyDescent="0.3">
      <c r="B23" s="390"/>
      <c r="C23" s="44"/>
      <c r="D23" s="33"/>
      <c r="E23" s="33"/>
      <c r="F23" s="34"/>
      <c r="G23" s="34"/>
    </row>
    <row r="24" spans="2:7" x14ac:dyDescent="0.25">
      <c r="B24" s="391"/>
      <c r="C24" s="393" t="s">
        <v>88</v>
      </c>
      <c r="D24" s="394"/>
      <c r="E24" s="394"/>
      <c r="F24" s="394"/>
      <c r="G24" s="364"/>
    </row>
    <row r="25" spans="2:7" ht="15.75" x14ac:dyDescent="0.3">
      <c r="B25" s="391"/>
      <c r="C25" s="43" t="s">
        <v>222</v>
      </c>
      <c r="D25" s="38"/>
      <c r="E25" s="38"/>
      <c r="F25" s="38"/>
      <c r="G25" s="39"/>
    </row>
    <row r="26" spans="2:7" ht="15.75" x14ac:dyDescent="0.3">
      <c r="B26" s="391"/>
      <c r="C26" s="43"/>
      <c r="G26" s="31"/>
    </row>
    <row r="27" spans="2:7" x14ac:dyDescent="0.25">
      <c r="B27" s="392"/>
      <c r="C27" s="32"/>
      <c r="D27" s="33"/>
      <c r="E27" s="33"/>
      <c r="F27" s="33"/>
      <c r="G27" s="34"/>
    </row>
    <row r="28" spans="2:7" x14ac:dyDescent="0.25">
      <c r="B28" s="328" t="s">
        <v>97</v>
      </c>
      <c r="C28" s="395"/>
      <c r="D28" s="395"/>
      <c r="E28" s="395"/>
      <c r="F28" s="395"/>
      <c r="G28" s="396"/>
    </row>
    <row r="29" spans="2:7" x14ac:dyDescent="0.25">
      <c r="B29" s="397"/>
      <c r="C29" s="398"/>
      <c r="D29" s="398"/>
      <c r="E29" s="398"/>
      <c r="F29" s="398"/>
      <c r="G29" s="399"/>
    </row>
    <row r="30" spans="2:7" x14ac:dyDescent="0.25">
      <c r="B30" s="35"/>
      <c r="C30" s="36"/>
      <c r="D30" s="37"/>
      <c r="E30" s="35"/>
      <c r="F30" s="36"/>
      <c r="G30" s="37"/>
    </row>
    <row r="31" spans="2:7" x14ac:dyDescent="0.25">
      <c r="B31" s="30"/>
      <c r="D31" s="31"/>
      <c r="E31" s="30"/>
      <c r="G31" s="31"/>
    </row>
    <row r="32" spans="2:7" x14ac:dyDescent="0.25">
      <c r="B32" s="30"/>
      <c r="C32" s="58"/>
      <c r="D32" s="31"/>
      <c r="E32" s="30"/>
      <c r="G32" s="31"/>
    </row>
    <row r="33" spans="2:7" x14ac:dyDescent="0.25">
      <c r="B33" s="30"/>
      <c r="D33" s="31"/>
      <c r="E33" s="30"/>
      <c r="G33" s="31"/>
    </row>
    <row r="34" spans="2:7" x14ac:dyDescent="0.25">
      <c r="B34" s="30"/>
      <c r="D34" s="31"/>
      <c r="E34" s="30"/>
      <c r="G34" s="31"/>
    </row>
    <row r="35" spans="2:7" x14ac:dyDescent="0.25">
      <c r="B35" s="30"/>
      <c r="D35" s="31"/>
      <c r="E35" s="30"/>
      <c r="G35" s="31"/>
    </row>
    <row r="36" spans="2:7" x14ac:dyDescent="0.25">
      <c r="B36" s="30"/>
      <c r="D36" s="31"/>
      <c r="E36" s="30"/>
      <c r="G36" s="31"/>
    </row>
    <row r="37" spans="2:7" x14ac:dyDescent="0.25">
      <c r="B37" s="30"/>
      <c r="D37" s="31"/>
      <c r="E37" s="30"/>
      <c r="G37" s="31"/>
    </row>
    <row r="38" spans="2:7" x14ac:dyDescent="0.25">
      <c r="B38" s="30"/>
      <c r="D38" s="31"/>
      <c r="E38" s="30"/>
      <c r="G38" s="31"/>
    </row>
    <row r="39" spans="2:7" x14ac:dyDescent="0.25">
      <c r="B39" s="30"/>
      <c r="D39" s="31"/>
      <c r="E39" s="30"/>
      <c r="G39" s="31"/>
    </row>
    <row r="40" spans="2:7" x14ac:dyDescent="0.25">
      <c r="B40" s="30"/>
      <c r="D40" s="31"/>
      <c r="E40" s="30"/>
      <c r="G40" s="31"/>
    </row>
    <row r="41" spans="2:7" x14ac:dyDescent="0.25">
      <c r="B41" s="30"/>
      <c r="D41" s="31"/>
      <c r="E41" s="30"/>
      <c r="G41" s="31"/>
    </row>
    <row r="42" spans="2:7" x14ac:dyDescent="0.25">
      <c r="B42" s="30"/>
      <c r="D42" s="31"/>
      <c r="E42" s="30"/>
      <c r="G42" s="31"/>
    </row>
    <row r="43" spans="2:7" x14ac:dyDescent="0.25">
      <c r="B43" s="30"/>
      <c r="D43" s="31"/>
      <c r="E43" s="30"/>
      <c r="G43" s="31"/>
    </row>
    <row r="44" spans="2:7" x14ac:dyDescent="0.25">
      <c r="B44" s="30"/>
      <c r="D44" s="31"/>
      <c r="E44" s="30"/>
      <c r="G44" s="31"/>
    </row>
    <row r="45" spans="2:7" x14ac:dyDescent="0.25">
      <c r="B45" s="30"/>
      <c r="D45" s="31"/>
      <c r="E45" s="30"/>
      <c r="G45" s="31"/>
    </row>
    <row r="46" spans="2:7" x14ac:dyDescent="0.25">
      <c r="B46" s="30"/>
      <c r="D46" s="31"/>
      <c r="E46" s="30"/>
      <c r="G46" s="31"/>
    </row>
    <row r="47" spans="2:7" x14ac:dyDescent="0.25">
      <c r="B47" s="30"/>
      <c r="D47" s="31"/>
      <c r="E47" s="30"/>
      <c r="G47" s="31"/>
    </row>
    <row r="48" spans="2:7" x14ac:dyDescent="0.25">
      <c r="B48" s="30"/>
      <c r="D48" s="31"/>
      <c r="E48" s="30"/>
      <c r="G48" s="31"/>
    </row>
    <row r="49" spans="2:7" x14ac:dyDescent="0.25">
      <c r="B49" s="32"/>
      <c r="C49" s="33"/>
      <c r="D49" s="34"/>
      <c r="E49" s="32"/>
      <c r="F49" s="33"/>
      <c r="G49" s="34"/>
    </row>
  </sheetData>
  <mergeCells count="13">
    <mergeCell ref="B28:G29"/>
    <mergeCell ref="B1:D2"/>
    <mergeCell ref="E1:F2"/>
    <mergeCell ref="G1:G2"/>
    <mergeCell ref="B3:F4"/>
    <mergeCell ref="G3:G4"/>
    <mergeCell ref="B5:B14"/>
    <mergeCell ref="C10:G10"/>
    <mergeCell ref="B15:G16"/>
    <mergeCell ref="B17:F18"/>
    <mergeCell ref="G17:G18"/>
    <mergeCell ref="B19:B27"/>
    <mergeCell ref="C24:G24"/>
  </mergeCells>
  <pageMargins left="0.25" right="0.25" top="0.75" bottom="0.75" header="0.3" footer="0.3"/>
  <pageSetup paperSize="9" orientation="portrait" r:id="rId1"/>
  <headerFooter>
    <oddFooter>&amp;R&amp;"Century Gothic,Standard"&amp;9itm I &amp;D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C2844-8238-455C-87FB-55D314D83E94}">
  <dimension ref="B1:G49"/>
  <sheetViews>
    <sheetView showWhiteSpace="0" view="pageLayout" zoomScaleNormal="100" workbookViewId="0">
      <selection activeCell="F34" sqref="F34"/>
    </sheetView>
  </sheetViews>
  <sheetFormatPr baseColWidth="10" defaultColWidth="11.42578125" defaultRowHeight="15" x14ac:dyDescent="0.25"/>
  <cols>
    <col min="1" max="1" width="4.85546875" customWidth="1"/>
    <col min="2" max="2" width="10" customWidth="1"/>
    <col min="3" max="7" width="16.28515625" customWidth="1"/>
  </cols>
  <sheetData>
    <row r="1" spans="2:7" x14ac:dyDescent="0.25">
      <c r="B1" s="340" t="s">
        <v>80</v>
      </c>
      <c r="C1" s="341"/>
      <c r="D1" s="341"/>
      <c r="E1" s="336">
        <f>Kompetenzraster!Q35</f>
        <v>46374</v>
      </c>
      <c r="F1" s="337"/>
      <c r="G1" s="334">
        <v>16</v>
      </c>
    </row>
    <row r="2" spans="2:7" x14ac:dyDescent="0.25">
      <c r="B2" s="342"/>
      <c r="C2" s="343"/>
      <c r="D2" s="343"/>
      <c r="E2" s="338"/>
      <c r="F2" s="339"/>
      <c r="G2" s="335"/>
    </row>
    <row r="3" spans="2:7" x14ac:dyDescent="0.25">
      <c r="B3" s="441" t="s">
        <v>209</v>
      </c>
      <c r="C3" s="452"/>
      <c r="D3" s="452"/>
      <c r="E3" s="452"/>
      <c r="F3" s="453"/>
      <c r="G3" s="447">
        <v>1.8</v>
      </c>
    </row>
    <row r="4" spans="2:7" x14ac:dyDescent="0.25">
      <c r="B4" s="454"/>
      <c r="C4" s="460"/>
      <c r="D4" s="460"/>
      <c r="E4" s="460"/>
      <c r="F4" s="461"/>
      <c r="G4" s="448"/>
    </row>
    <row r="5" spans="2:7" ht="15.75" x14ac:dyDescent="0.3">
      <c r="B5" s="450" t="s">
        <v>82</v>
      </c>
      <c r="C5" s="95" t="s">
        <v>120</v>
      </c>
      <c r="D5" s="41"/>
      <c r="E5" s="41"/>
      <c r="F5" s="42"/>
      <c r="G5" s="53" t="s">
        <v>125</v>
      </c>
    </row>
    <row r="6" spans="2:7" ht="15.75" x14ac:dyDescent="0.3">
      <c r="B6" s="457"/>
      <c r="C6" s="43" t="s">
        <v>223</v>
      </c>
      <c r="F6" s="31"/>
      <c r="G6" s="31"/>
    </row>
    <row r="7" spans="2:7" ht="15.75" x14ac:dyDescent="0.3">
      <c r="B7" s="457"/>
      <c r="C7" s="43" t="s">
        <v>224</v>
      </c>
      <c r="F7" s="31"/>
      <c r="G7" s="31"/>
    </row>
    <row r="8" spans="2:7" ht="15.75" x14ac:dyDescent="0.3">
      <c r="B8" s="457"/>
      <c r="C8" s="43" t="s">
        <v>225</v>
      </c>
      <c r="D8" s="38"/>
      <c r="E8" s="38"/>
      <c r="F8" s="39"/>
      <c r="G8" s="39"/>
    </row>
    <row r="9" spans="2:7" ht="15.75" x14ac:dyDescent="0.3">
      <c r="B9" s="457"/>
      <c r="C9" s="44"/>
      <c r="D9" s="33"/>
      <c r="E9" s="33"/>
      <c r="F9" s="34"/>
      <c r="G9" s="34"/>
    </row>
    <row r="10" spans="2:7" x14ac:dyDescent="0.25">
      <c r="B10" s="458"/>
      <c r="C10" s="393" t="s">
        <v>88</v>
      </c>
      <c r="D10" s="394"/>
      <c r="E10" s="394"/>
      <c r="F10" s="394"/>
      <c r="G10" s="402"/>
    </row>
    <row r="11" spans="2:7" ht="15.75" x14ac:dyDescent="0.3">
      <c r="B11" s="457"/>
      <c r="C11" s="55"/>
      <c r="D11" s="36"/>
      <c r="E11" s="36"/>
      <c r="F11" s="36"/>
      <c r="G11" s="37"/>
    </row>
    <row r="12" spans="2:7" ht="15.75" x14ac:dyDescent="0.3">
      <c r="B12" s="457"/>
      <c r="C12" s="45"/>
      <c r="D12" s="38"/>
      <c r="E12" s="38"/>
      <c r="F12" s="38"/>
      <c r="G12" s="39"/>
    </row>
    <row r="13" spans="2:7" ht="15.75" x14ac:dyDescent="0.3">
      <c r="B13" s="457"/>
      <c r="C13" s="43"/>
      <c r="D13" s="38"/>
      <c r="E13" s="38"/>
      <c r="F13" s="38"/>
      <c r="G13" s="39"/>
    </row>
    <row r="14" spans="2:7" ht="15.75" x14ac:dyDescent="0.3">
      <c r="B14" s="459"/>
      <c r="C14" s="44"/>
      <c r="D14" s="33"/>
      <c r="E14" s="33"/>
      <c r="F14" s="33"/>
      <c r="G14" s="34"/>
    </row>
    <row r="15" spans="2:7" x14ac:dyDescent="0.25">
      <c r="B15" s="356" t="s">
        <v>91</v>
      </c>
      <c r="C15" s="407"/>
      <c r="D15" s="407"/>
      <c r="E15" s="407"/>
      <c r="F15" s="407"/>
      <c r="G15" s="408"/>
    </row>
    <row r="16" spans="2:7" x14ac:dyDescent="0.25">
      <c r="B16" s="359"/>
      <c r="C16" s="360"/>
      <c r="D16" s="360"/>
      <c r="E16" s="360"/>
      <c r="F16" s="360"/>
      <c r="G16" s="361"/>
    </row>
    <row r="17" spans="2:7" ht="15" customHeight="1" x14ac:dyDescent="0.25">
      <c r="B17" s="382" t="s">
        <v>170</v>
      </c>
      <c r="C17" s="383"/>
      <c r="D17" s="383"/>
      <c r="E17" s="383"/>
      <c r="F17" s="383"/>
      <c r="G17" s="386">
        <v>1.2</v>
      </c>
    </row>
    <row r="18" spans="2:7" ht="15" customHeight="1" x14ac:dyDescent="0.25">
      <c r="B18" s="384"/>
      <c r="C18" s="385"/>
      <c r="D18" s="385"/>
      <c r="E18" s="385"/>
      <c r="F18" s="385"/>
      <c r="G18" s="387"/>
    </row>
    <row r="19" spans="2:7" ht="15.75" x14ac:dyDescent="0.3">
      <c r="B19" s="388" t="s">
        <v>92</v>
      </c>
      <c r="C19" s="95" t="s">
        <v>122</v>
      </c>
      <c r="D19" s="41"/>
      <c r="E19" s="41"/>
      <c r="F19" s="42"/>
      <c r="G19" s="50" t="s">
        <v>125</v>
      </c>
    </row>
    <row r="20" spans="2:7" ht="15.75" x14ac:dyDescent="0.3">
      <c r="B20" s="390"/>
      <c r="C20" s="43" t="s">
        <v>226</v>
      </c>
      <c r="F20" s="31"/>
      <c r="G20" s="47"/>
    </row>
    <row r="21" spans="2:7" ht="15.75" x14ac:dyDescent="0.3">
      <c r="B21" s="390"/>
      <c r="C21" s="43" t="s">
        <v>227</v>
      </c>
      <c r="F21" s="31"/>
      <c r="G21" s="47"/>
    </row>
    <row r="22" spans="2:7" ht="15.75" x14ac:dyDescent="0.3">
      <c r="B22" s="390"/>
      <c r="C22" s="43"/>
      <c r="F22" s="31"/>
      <c r="G22" s="103" t="s">
        <v>137</v>
      </c>
    </row>
    <row r="23" spans="2:7" ht="15.75" x14ac:dyDescent="0.3">
      <c r="B23" s="390"/>
      <c r="C23" s="43"/>
      <c r="F23" s="31"/>
      <c r="G23" s="47"/>
    </row>
    <row r="24" spans="2:7" x14ac:dyDescent="0.25">
      <c r="B24" s="390"/>
      <c r="C24" s="32"/>
      <c r="D24" s="33"/>
      <c r="E24" s="33"/>
      <c r="F24" s="34"/>
      <c r="G24" s="49"/>
    </row>
    <row r="25" spans="2:7" x14ac:dyDescent="0.25">
      <c r="B25" s="391"/>
      <c r="C25" s="393" t="s">
        <v>88</v>
      </c>
      <c r="D25" s="394"/>
      <c r="E25" s="394"/>
      <c r="F25" s="394"/>
      <c r="G25" s="364"/>
    </row>
    <row r="26" spans="2:7" ht="15.75" x14ac:dyDescent="0.3">
      <c r="B26" s="391"/>
      <c r="C26" s="43" t="s">
        <v>222</v>
      </c>
      <c r="D26" s="38"/>
      <c r="E26" s="38"/>
      <c r="F26" s="38"/>
      <c r="G26" s="39"/>
    </row>
    <row r="27" spans="2:7" x14ac:dyDescent="0.25">
      <c r="B27" s="392"/>
      <c r="C27" s="32"/>
      <c r="D27" s="33"/>
      <c r="E27" s="33"/>
      <c r="F27" s="33"/>
      <c r="G27" s="34"/>
    </row>
    <row r="28" spans="2:7" x14ac:dyDescent="0.25">
      <c r="B28" s="328" t="s">
        <v>97</v>
      </c>
      <c r="C28" s="395"/>
      <c r="D28" s="395"/>
      <c r="E28" s="395"/>
      <c r="F28" s="395"/>
      <c r="G28" s="396"/>
    </row>
    <row r="29" spans="2:7" x14ac:dyDescent="0.25">
      <c r="B29" s="397"/>
      <c r="C29" s="398"/>
      <c r="D29" s="398"/>
      <c r="E29" s="398"/>
      <c r="F29" s="398"/>
      <c r="G29" s="399"/>
    </row>
    <row r="30" spans="2:7" x14ac:dyDescent="0.25">
      <c r="B30" s="35"/>
      <c r="C30" s="36"/>
      <c r="D30" s="37"/>
      <c r="E30" s="35"/>
      <c r="F30" s="36"/>
      <c r="G30" s="37"/>
    </row>
    <row r="31" spans="2:7" x14ac:dyDescent="0.25">
      <c r="B31" s="30"/>
      <c r="D31" s="31"/>
      <c r="E31" s="30"/>
      <c r="G31" s="31"/>
    </row>
    <row r="32" spans="2:7" x14ac:dyDescent="0.25">
      <c r="B32" s="30"/>
      <c r="C32" s="58"/>
      <c r="D32" s="31"/>
      <c r="E32" s="30"/>
      <c r="G32" s="31"/>
    </row>
    <row r="33" spans="2:7" x14ac:dyDescent="0.25">
      <c r="B33" s="30"/>
      <c r="D33" s="31"/>
      <c r="E33" s="30"/>
      <c r="G33" s="31"/>
    </row>
    <row r="34" spans="2:7" x14ac:dyDescent="0.25">
      <c r="B34" s="30"/>
      <c r="D34" s="31"/>
      <c r="E34" s="30"/>
      <c r="G34" s="31"/>
    </row>
    <row r="35" spans="2:7" x14ac:dyDescent="0.25">
      <c r="B35" s="30"/>
      <c r="D35" s="31"/>
      <c r="E35" s="30"/>
      <c r="G35" s="31"/>
    </row>
    <row r="36" spans="2:7" x14ac:dyDescent="0.25">
      <c r="B36" s="30"/>
      <c r="D36" s="31"/>
      <c r="E36" s="30"/>
      <c r="G36" s="31"/>
    </row>
    <row r="37" spans="2:7" x14ac:dyDescent="0.25">
      <c r="B37" s="30"/>
      <c r="D37" s="31"/>
      <c r="E37" s="30"/>
      <c r="G37" s="31"/>
    </row>
    <row r="38" spans="2:7" x14ac:dyDescent="0.25">
      <c r="B38" s="30"/>
      <c r="D38" s="31"/>
      <c r="E38" s="30"/>
      <c r="G38" s="31"/>
    </row>
    <row r="39" spans="2:7" x14ac:dyDescent="0.25">
      <c r="B39" s="30"/>
      <c r="D39" s="31"/>
      <c r="E39" s="30"/>
      <c r="G39" s="31"/>
    </row>
    <row r="40" spans="2:7" x14ac:dyDescent="0.25">
      <c r="B40" s="30"/>
      <c r="D40" s="31"/>
      <c r="E40" s="30"/>
      <c r="G40" s="31"/>
    </row>
    <row r="41" spans="2:7" x14ac:dyDescent="0.25">
      <c r="B41" s="30"/>
      <c r="D41" s="31"/>
      <c r="E41" s="30"/>
      <c r="G41" s="31"/>
    </row>
    <row r="42" spans="2:7" x14ac:dyDescent="0.25">
      <c r="B42" s="30"/>
      <c r="D42" s="31"/>
      <c r="E42" s="30"/>
      <c r="G42" s="31"/>
    </row>
    <row r="43" spans="2:7" x14ac:dyDescent="0.25">
      <c r="B43" s="30"/>
      <c r="D43" s="31"/>
      <c r="E43" s="30"/>
      <c r="G43" s="31"/>
    </row>
    <row r="44" spans="2:7" x14ac:dyDescent="0.25">
      <c r="B44" s="30"/>
      <c r="D44" s="31"/>
      <c r="E44" s="30"/>
      <c r="G44" s="31"/>
    </row>
    <row r="45" spans="2:7" x14ac:dyDescent="0.25">
      <c r="B45" s="30"/>
      <c r="D45" s="31"/>
      <c r="E45" s="30"/>
      <c r="G45" s="31"/>
    </row>
    <row r="46" spans="2:7" x14ac:dyDescent="0.25">
      <c r="B46" s="30"/>
      <c r="D46" s="31"/>
      <c r="E46" s="30"/>
      <c r="G46" s="31"/>
    </row>
    <row r="47" spans="2:7" x14ac:dyDescent="0.25">
      <c r="B47" s="30"/>
      <c r="D47" s="31"/>
      <c r="E47" s="30"/>
      <c r="G47" s="31"/>
    </row>
    <row r="48" spans="2:7" x14ac:dyDescent="0.25">
      <c r="B48" s="30"/>
      <c r="D48" s="31"/>
      <c r="E48" s="30"/>
      <c r="G48" s="31"/>
    </row>
    <row r="49" spans="2:7" x14ac:dyDescent="0.25">
      <c r="B49" s="32"/>
      <c r="C49" s="33"/>
      <c r="D49" s="34"/>
      <c r="E49" s="32"/>
      <c r="F49" s="33"/>
      <c r="G49" s="34"/>
    </row>
  </sheetData>
  <mergeCells count="13">
    <mergeCell ref="B28:G29"/>
    <mergeCell ref="B1:D2"/>
    <mergeCell ref="E1:F2"/>
    <mergeCell ref="G1:G2"/>
    <mergeCell ref="B3:F4"/>
    <mergeCell ref="G3:G4"/>
    <mergeCell ref="B5:B14"/>
    <mergeCell ref="C10:G10"/>
    <mergeCell ref="B15:G16"/>
    <mergeCell ref="B17:F18"/>
    <mergeCell ref="G17:G18"/>
    <mergeCell ref="B19:B27"/>
    <mergeCell ref="C25:G25"/>
  </mergeCells>
  <pageMargins left="0.25" right="0.25" top="0.75" bottom="0.75" header="0.3" footer="0.3"/>
  <pageSetup paperSize="9" orientation="portrait" r:id="rId1"/>
  <headerFooter>
    <oddFooter>&amp;R&amp;"Century Gothic,Standard"&amp;9itm I &amp;D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734FA-E94D-41E3-8824-EBB3DF0F28E7}">
  <dimension ref="B1:G49"/>
  <sheetViews>
    <sheetView showWhiteSpace="0" topLeftCell="A4" zoomScaleNormal="100" workbookViewId="0">
      <selection activeCell="N21" sqref="N21"/>
    </sheetView>
  </sheetViews>
  <sheetFormatPr baseColWidth="10" defaultColWidth="11.42578125" defaultRowHeight="15" x14ac:dyDescent="0.25"/>
  <cols>
    <col min="1" max="1" width="4.85546875" customWidth="1"/>
    <col min="2" max="2" width="10" customWidth="1"/>
    <col min="3" max="7" width="16.28515625" customWidth="1"/>
  </cols>
  <sheetData>
    <row r="1" spans="2:7" x14ac:dyDescent="0.25">
      <c r="B1" s="340" t="s">
        <v>80</v>
      </c>
      <c r="C1" s="341"/>
      <c r="D1" s="341"/>
      <c r="E1" s="336">
        <f>Kompetenzraster!Q37</f>
        <v>46395</v>
      </c>
      <c r="F1" s="337"/>
      <c r="G1" s="334">
        <v>17</v>
      </c>
    </row>
    <row r="2" spans="2:7" x14ac:dyDescent="0.25">
      <c r="B2" s="342"/>
      <c r="C2" s="343"/>
      <c r="D2" s="343"/>
      <c r="E2" s="338"/>
      <c r="F2" s="339"/>
      <c r="G2" s="335"/>
    </row>
    <row r="3" spans="2:7" ht="15" customHeight="1" x14ac:dyDescent="0.25">
      <c r="B3" s="344" t="s">
        <v>71</v>
      </c>
      <c r="C3" s="345"/>
      <c r="D3" s="345"/>
      <c r="E3" s="345"/>
      <c r="F3" s="346"/>
      <c r="G3" s="350">
        <v>1.9</v>
      </c>
    </row>
    <row r="4" spans="2:7" ht="15" customHeight="1" x14ac:dyDescent="0.25">
      <c r="B4" s="347"/>
      <c r="C4" s="348"/>
      <c r="D4" s="348"/>
      <c r="E4" s="348"/>
      <c r="F4" s="349"/>
      <c r="G4" s="351"/>
    </row>
    <row r="5" spans="2:7" ht="15.75" x14ac:dyDescent="0.3">
      <c r="B5" s="352" t="s">
        <v>82</v>
      </c>
      <c r="C5" s="95" t="s">
        <v>228</v>
      </c>
      <c r="D5" s="41"/>
      <c r="E5" s="41"/>
      <c r="F5" s="42"/>
      <c r="G5" s="53" t="s">
        <v>125</v>
      </c>
    </row>
    <row r="6" spans="2:7" ht="15.75" x14ac:dyDescent="0.3">
      <c r="B6" s="353"/>
      <c r="C6" s="43" t="s">
        <v>229</v>
      </c>
      <c r="F6" s="31"/>
      <c r="G6" s="31"/>
    </row>
    <row r="7" spans="2:7" ht="15.75" x14ac:dyDescent="0.3">
      <c r="B7" s="353"/>
      <c r="C7" s="43" t="s">
        <v>230</v>
      </c>
      <c r="F7" s="31"/>
      <c r="G7" s="31"/>
    </row>
    <row r="8" spans="2:7" ht="15.75" x14ac:dyDescent="0.3">
      <c r="B8" s="353"/>
      <c r="C8" s="43" t="s">
        <v>231</v>
      </c>
      <c r="D8" s="38"/>
      <c r="E8" s="38"/>
      <c r="F8" s="39"/>
      <c r="G8" s="39"/>
    </row>
    <row r="9" spans="2:7" x14ac:dyDescent="0.25">
      <c r="B9" s="353"/>
      <c r="C9" s="87" t="s">
        <v>232</v>
      </c>
      <c r="D9" s="33"/>
      <c r="E9" s="33"/>
      <c r="F9" s="34"/>
      <c r="G9" s="34"/>
    </row>
    <row r="10" spans="2:7" x14ac:dyDescent="0.25">
      <c r="B10" s="354"/>
      <c r="C10" s="393" t="s">
        <v>88</v>
      </c>
      <c r="D10" s="394"/>
      <c r="E10" s="394"/>
      <c r="F10" s="394"/>
      <c r="G10" s="402"/>
    </row>
    <row r="11" spans="2:7" ht="15.75" x14ac:dyDescent="0.3">
      <c r="B11" s="353"/>
      <c r="C11" s="43" t="s">
        <v>233</v>
      </c>
      <c r="D11" s="36"/>
      <c r="E11" s="36"/>
      <c r="F11" s="36"/>
      <c r="G11" s="37"/>
    </row>
    <row r="12" spans="2:7" ht="15.75" x14ac:dyDescent="0.3">
      <c r="B12" s="353"/>
      <c r="C12" s="43" t="s">
        <v>234</v>
      </c>
      <c r="D12" s="38"/>
      <c r="E12" s="38"/>
      <c r="F12" s="38"/>
      <c r="G12" s="39"/>
    </row>
    <row r="13" spans="2:7" ht="15.75" x14ac:dyDescent="0.3">
      <c r="B13" s="353"/>
      <c r="C13" s="43"/>
      <c r="D13" s="38"/>
      <c r="E13" s="38"/>
      <c r="F13" s="38"/>
      <c r="G13" s="39"/>
    </row>
    <row r="14" spans="2:7" ht="15.75" x14ac:dyDescent="0.3">
      <c r="B14" s="465"/>
      <c r="C14" s="44"/>
      <c r="D14" s="33"/>
      <c r="E14" s="33"/>
      <c r="F14" s="33"/>
      <c r="G14" s="34"/>
    </row>
    <row r="15" spans="2:7" x14ac:dyDescent="0.25">
      <c r="B15" s="356" t="s">
        <v>91</v>
      </c>
      <c r="C15" s="407"/>
      <c r="D15" s="407"/>
      <c r="E15" s="407"/>
      <c r="F15" s="407"/>
      <c r="G15" s="408"/>
    </row>
    <row r="16" spans="2:7" x14ac:dyDescent="0.25">
      <c r="B16" s="359"/>
      <c r="C16" s="360"/>
      <c r="D16" s="360"/>
      <c r="E16" s="360"/>
      <c r="F16" s="360"/>
      <c r="G16" s="361"/>
    </row>
    <row r="17" spans="2:7" ht="15" customHeight="1" x14ac:dyDescent="0.25">
      <c r="B17" s="382"/>
      <c r="C17" s="427"/>
      <c r="D17" s="427"/>
      <c r="E17" s="427"/>
      <c r="F17" s="428"/>
      <c r="G17" s="386">
        <v>1.2</v>
      </c>
    </row>
    <row r="18" spans="2:7" ht="15" customHeight="1" x14ac:dyDescent="0.25">
      <c r="B18" s="429"/>
      <c r="C18" s="430"/>
      <c r="D18" s="430"/>
      <c r="E18" s="430"/>
      <c r="F18" s="431"/>
      <c r="G18" s="387"/>
    </row>
    <row r="19" spans="2:7" ht="15.75" x14ac:dyDescent="0.3">
      <c r="B19" s="388" t="s">
        <v>92</v>
      </c>
      <c r="C19" s="64" t="s">
        <v>235</v>
      </c>
      <c r="D19" s="65"/>
      <c r="E19" s="65"/>
      <c r="F19" s="68" t="s">
        <v>236</v>
      </c>
      <c r="G19" s="53" t="s">
        <v>125</v>
      </c>
    </row>
    <row r="20" spans="2:7" ht="15.75" x14ac:dyDescent="0.3">
      <c r="B20" s="390"/>
      <c r="C20" s="95" t="s">
        <v>122</v>
      </c>
      <c r="D20" s="41"/>
      <c r="E20" s="41"/>
      <c r="F20" s="31"/>
      <c r="G20" s="31"/>
    </row>
    <row r="21" spans="2:7" ht="15.75" x14ac:dyDescent="0.3">
      <c r="B21" s="390"/>
      <c r="C21" s="43" t="s">
        <v>237</v>
      </c>
      <c r="F21" s="31"/>
      <c r="G21" s="31"/>
    </row>
    <row r="22" spans="2:7" ht="15.75" x14ac:dyDescent="0.3">
      <c r="B22" s="390"/>
      <c r="C22" s="43" t="s">
        <v>238</v>
      </c>
      <c r="F22" s="31"/>
      <c r="G22" s="39"/>
    </row>
    <row r="23" spans="2:7" ht="15.75" x14ac:dyDescent="0.3">
      <c r="B23" s="390"/>
      <c r="C23" s="44"/>
      <c r="D23" s="33"/>
      <c r="E23" s="33"/>
      <c r="F23" s="34"/>
      <c r="G23" s="34"/>
    </row>
    <row r="24" spans="2:7" x14ac:dyDescent="0.25">
      <c r="B24" s="391"/>
      <c r="C24" s="393" t="s">
        <v>88</v>
      </c>
      <c r="D24" s="394"/>
      <c r="E24" s="394"/>
      <c r="F24" s="394"/>
      <c r="G24" s="364"/>
    </row>
    <row r="25" spans="2:7" ht="15.75" x14ac:dyDescent="0.3">
      <c r="B25" s="391"/>
      <c r="C25" s="43" t="s">
        <v>222</v>
      </c>
      <c r="D25" s="38"/>
      <c r="E25" s="38"/>
      <c r="F25" s="38"/>
      <c r="G25" s="39"/>
    </row>
    <row r="26" spans="2:7" ht="15.75" x14ac:dyDescent="0.3">
      <c r="B26" s="391"/>
      <c r="C26" s="43"/>
      <c r="G26" s="31"/>
    </row>
    <row r="27" spans="2:7" x14ac:dyDescent="0.25">
      <c r="B27" s="392"/>
      <c r="C27" s="32"/>
      <c r="D27" s="33"/>
      <c r="E27" s="33"/>
      <c r="F27" s="33"/>
      <c r="G27" s="34"/>
    </row>
    <row r="28" spans="2:7" x14ac:dyDescent="0.25">
      <c r="B28" s="328" t="s">
        <v>97</v>
      </c>
      <c r="C28" s="395"/>
      <c r="D28" s="395"/>
      <c r="E28" s="395"/>
      <c r="F28" s="395"/>
      <c r="G28" s="396"/>
    </row>
    <row r="29" spans="2:7" x14ac:dyDescent="0.25">
      <c r="B29" s="397"/>
      <c r="C29" s="398"/>
      <c r="D29" s="398"/>
      <c r="E29" s="398"/>
      <c r="F29" s="398"/>
      <c r="G29" s="399"/>
    </row>
    <row r="30" spans="2:7" x14ac:dyDescent="0.25">
      <c r="B30" s="35"/>
      <c r="C30" s="36"/>
      <c r="D30" s="37"/>
      <c r="E30" s="35"/>
      <c r="F30" s="36"/>
      <c r="G30" s="37"/>
    </row>
    <row r="31" spans="2:7" x14ac:dyDescent="0.25">
      <c r="B31" s="30"/>
      <c r="D31" s="31"/>
      <c r="E31" s="30"/>
      <c r="G31" s="31"/>
    </row>
    <row r="32" spans="2:7" x14ac:dyDescent="0.25">
      <c r="B32" s="30"/>
      <c r="C32" s="58"/>
      <c r="D32" s="31"/>
      <c r="E32" s="30"/>
      <c r="G32" s="31"/>
    </row>
    <row r="33" spans="2:7" x14ac:dyDescent="0.25">
      <c r="B33" s="30"/>
      <c r="D33" s="31"/>
      <c r="E33" s="30"/>
      <c r="G33" s="31"/>
    </row>
    <row r="34" spans="2:7" x14ac:dyDescent="0.25">
      <c r="B34" s="30"/>
      <c r="D34" s="31"/>
      <c r="E34" s="30"/>
      <c r="G34" s="31"/>
    </row>
    <row r="35" spans="2:7" x14ac:dyDescent="0.25">
      <c r="B35" s="30"/>
      <c r="D35" s="31"/>
      <c r="E35" s="30"/>
      <c r="G35" s="31"/>
    </row>
    <row r="36" spans="2:7" x14ac:dyDescent="0.25">
      <c r="B36" s="30"/>
      <c r="D36" s="31"/>
      <c r="E36" s="30"/>
      <c r="G36" s="31"/>
    </row>
    <row r="37" spans="2:7" x14ac:dyDescent="0.25">
      <c r="B37" s="30"/>
      <c r="D37" s="31"/>
      <c r="E37" s="30"/>
      <c r="G37" s="31"/>
    </row>
    <row r="38" spans="2:7" x14ac:dyDescent="0.25">
      <c r="B38" s="30"/>
      <c r="D38" s="31"/>
      <c r="E38" s="30"/>
      <c r="G38" s="31"/>
    </row>
    <row r="39" spans="2:7" x14ac:dyDescent="0.25">
      <c r="B39" s="30"/>
      <c r="D39" s="31"/>
      <c r="E39" s="30"/>
      <c r="G39" s="31"/>
    </row>
    <row r="40" spans="2:7" x14ac:dyDescent="0.25">
      <c r="B40" s="30"/>
      <c r="D40" s="31"/>
      <c r="E40" s="30"/>
      <c r="G40" s="31"/>
    </row>
    <row r="41" spans="2:7" x14ac:dyDescent="0.25">
      <c r="B41" s="30"/>
      <c r="D41" s="31"/>
      <c r="E41" s="30"/>
      <c r="G41" s="31"/>
    </row>
    <row r="42" spans="2:7" x14ac:dyDescent="0.25">
      <c r="B42" s="30"/>
      <c r="D42" s="31"/>
      <c r="E42" s="30"/>
      <c r="G42" s="31"/>
    </row>
    <row r="43" spans="2:7" x14ac:dyDescent="0.25">
      <c r="B43" s="30"/>
      <c r="D43" s="31"/>
      <c r="E43" s="30"/>
      <c r="G43" s="31"/>
    </row>
    <row r="44" spans="2:7" x14ac:dyDescent="0.25">
      <c r="B44" s="30"/>
      <c r="D44" s="31"/>
      <c r="E44" s="30"/>
      <c r="G44" s="31"/>
    </row>
    <row r="45" spans="2:7" x14ac:dyDescent="0.25">
      <c r="B45" s="30"/>
      <c r="D45" s="31"/>
      <c r="E45" s="30"/>
      <c r="G45" s="31"/>
    </row>
    <row r="46" spans="2:7" x14ac:dyDescent="0.25">
      <c r="B46" s="30"/>
      <c r="D46" s="31"/>
      <c r="E46" s="30"/>
      <c r="G46" s="31"/>
    </row>
    <row r="47" spans="2:7" x14ac:dyDescent="0.25">
      <c r="B47" s="30"/>
      <c r="D47" s="31"/>
      <c r="E47" s="30"/>
      <c r="G47" s="31"/>
    </row>
    <row r="48" spans="2:7" x14ac:dyDescent="0.25">
      <c r="B48" s="30"/>
      <c r="D48" s="31"/>
      <c r="E48" s="30"/>
      <c r="G48" s="31"/>
    </row>
    <row r="49" spans="2:7" x14ac:dyDescent="0.25">
      <c r="B49" s="32"/>
      <c r="C49" s="33"/>
      <c r="D49" s="34"/>
      <c r="E49" s="32"/>
      <c r="F49" s="33"/>
      <c r="G49" s="34"/>
    </row>
  </sheetData>
  <mergeCells count="13">
    <mergeCell ref="B28:G29"/>
    <mergeCell ref="B1:D2"/>
    <mergeCell ref="E1:F2"/>
    <mergeCell ref="G1:G2"/>
    <mergeCell ref="B3:F4"/>
    <mergeCell ref="G3:G4"/>
    <mergeCell ref="B5:B14"/>
    <mergeCell ref="C10:G10"/>
    <mergeCell ref="B15:G16"/>
    <mergeCell ref="B17:F18"/>
    <mergeCell ref="G17:G18"/>
    <mergeCell ref="B19:B27"/>
    <mergeCell ref="C24:G24"/>
  </mergeCells>
  <pageMargins left="0.25" right="0.25" top="0.75" bottom="0.75" header="0.3" footer="0.3"/>
  <pageSetup paperSize="9" orientation="portrait" r:id="rId1"/>
  <headerFooter>
    <oddFooter>&amp;R&amp;"Century Gothic,Standard"&amp;9itm I &amp;D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FB9AC-ADCA-4BE8-AB10-23B95A5603F6}">
  <dimension ref="B1:G49"/>
  <sheetViews>
    <sheetView showWhiteSpace="0" zoomScaleNormal="100" workbookViewId="0">
      <selection activeCell="G36" sqref="G36"/>
    </sheetView>
  </sheetViews>
  <sheetFormatPr baseColWidth="10" defaultColWidth="11.42578125" defaultRowHeight="15" x14ac:dyDescent="0.25"/>
  <cols>
    <col min="1" max="1" width="4.85546875" customWidth="1"/>
    <col min="2" max="2" width="10" customWidth="1"/>
    <col min="3" max="7" width="16.28515625" customWidth="1"/>
  </cols>
  <sheetData>
    <row r="1" spans="2:7" x14ac:dyDescent="0.25">
      <c r="B1" s="340" t="s">
        <v>80</v>
      </c>
      <c r="C1" s="341"/>
      <c r="D1" s="341"/>
      <c r="E1" s="336">
        <f>Kompetenzraster!Q39</f>
        <v>46402</v>
      </c>
      <c r="F1" s="337"/>
      <c r="G1" s="334">
        <v>18</v>
      </c>
    </row>
    <row r="2" spans="2:7" x14ac:dyDescent="0.25">
      <c r="B2" s="342"/>
      <c r="C2" s="343"/>
      <c r="D2" s="343"/>
      <c r="E2" s="338"/>
      <c r="F2" s="339"/>
      <c r="G2" s="335"/>
    </row>
    <row r="3" spans="2:7" x14ac:dyDescent="0.25">
      <c r="B3" s="344" t="s">
        <v>71</v>
      </c>
      <c r="C3" s="345"/>
      <c r="D3" s="345"/>
      <c r="E3" s="345"/>
      <c r="F3" s="346"/>
      <c r="G3" s="350">
        <v>1.9</v>
      </c>
    </row>
    <row r="4" spans="2:7" x14ac:dyDescent="0.25">
      <c r="B4" s="347"/>
      <c r="C4" s="348"/>
      <c r="D4" s="348"/>
      <c r="E4" s="348"/>
      <c r="F4" s="349"/>
      <c r="G4" s="351"/>
    </row>
    <row r="5" spans="2:7" ht="15.75" x14ac:dyDescent="0.3">
      <c r="B5" s="352" t="s">
        <v>82</v>
      </c>
      <c r="C5" s="95" t="s">
        <v>239</v>
      </c>
      <c r="D5" s="41"/>
      <c r="E5" s="41"/>
      <c r="F5" s="42"/>
      <c r="G5" s="53" t="s">
        <v>125</v>
      </c>
    </row>
    <row r="6" spans="2:7" ht="15.75" x14ac:dyDescent="0.3">
      <c r="B6" s="353"/>
      <c r="C6" s="43" t="s">
        <v>240</v>
      </c>
      <c r="F6" s="31"/>
      <c r="G6" s="31"/>
    </row>
    <row r="7" spans="2:7" ht="15.75" x14ac:dyDescent="0.3">
      <c r="B7" s="353"/>
      <c r="C7" s="43" t="s">
        <v>241</v>
      </c>
      <c r="F7" s="31"/>
      <c r="G7" s="31"/>
    </row>
    <row r="8" spans="2:7" ht="15.75" x14ac:dyDescent="0.3">
      <c r="B8" s="353"/>
      <c r="C8" s="43" t="s">
        <v>242</v>
      </c>
      <c r="D8" s="38"/>
      <c r="E8" s="38"/>
      <c r="F8" s="39"/>
      <c r="G8" s="39"/>
    </row>
    <row r="9" spans="2:7" x14ac:dyDescent="0.25">
      <c r="B9" s="353"/>
      <c r="C9" s="87" t="s">
        <v>243</v>
      </c>
      <c r="D9" s="33"/>
      <c r="E9" s="33"/>
      <c r="F9" s="34"/>
      <c r="G9" s="34"/>
    </row>
    <row r="10" spans="2:7" x14ac:dyDescent="0.25">
      <c r="B10" s="354"/>
      <c r="C10" s="393" t="s">
        <v>88</v>
      </c>
      <c r="D10" s="394"/>
      <c r="E10" s="394"/>
      <c r="F10" s="394"/>
      <c r="G10" s="402"/>
    </row>
    <row r="11" spans="2:7" ht="15.75" x14ac:dyDescent="0.3">
      <c r="B11" s="353"/>
      <c r="C11" s="43" t="s">
        <v>244</v>
      </c>
      <c r="D11" s="36"/>
      <c r="E11" s="36"/>
      <c r="F11" s="36"/>
      <c r="G11" s="37"/>
    </row>
    <row r="12" spans="2:7" ht="15.75" x14ac:dyDescent="0.3">
      <c r="B12" s="353"/>
      <c r="C12" s="43"/>
      <c r="D12" s="38"/>
      <c r="E12" s="38"/>
      <c r="F12" s="38"/>
      <c r="G12" s="39"/>
    </row>
    <row r="13" spans="2:7" ht="15.75" x14ac:dyDescent="0.3">
      <c r="B13" s="353"/>
      <c r="C13" s="43"/>
      <c r="D13" s="38"/>
      <c r="E13" s="38"/>
      <c r="F13" s="38"/>
      <c r="G13" s="39"/>
    </row>
    <row r="14" spans="2:7" ht="15.75" x14ac:dyDescent="0.3">
      <c r="B14" s="465"/>
      <c r="C14" s="44"/>
      <c r="D14" s="33"/>
      <c r="E14" s="33"/>
      <c r="F14" s="33"/>
      <c r="G14" s="34"/>
    </row>
    <row r="15" spans="2:7" x14ac:dyDescent="0.25">
      <c r="B15" s="356" t="s">
        <v>91</v>
      </c>
      <c r="C15" s="407"/>
      <c r="D15" s="407"/>
      <c r="E15" s="407"/>
      <c r="F15" s="407"/>
      <c r="G15" s="408"/>
    </row>
    <row r="16" spans="2:7" x14ac:dyDescent="0.25">
      <c r="B16" s="359"/>
      <c r="C16" s="360"/>
      <c r="D16" s="360"/>
      <c r="E16" s="360"/>
      <c r="F16" s="360"/>
      <c r="G16" s="361"/>
    </row>
    <row r="17" spans="2:7" ht="15" customHeight="1" x14ac:dyDescent="0.25">
      <c r="B17" s="382"/>
      <c r="C17" s="383"/>
      <c r="D17" s="383"/>
      <c r="E17" s="383"/>
      <c r="F17" s="466"/>
      <c r="G17" s="386">
        <v>1.1100000000000001</v>
      </c>
    </row>
    <row r="18" spans="2:7" ht="15" customHeight="1" x14ac:dyDescent="0.25">
      <c r="B18" s="384"/>
      <c r="C18" s="467"/>
      <c r="D18" s="467"/>
      <c r="E18" s="467"/>
      <c r="F18" s="468"/>
      <c r="G18" s="387"/>
    </row>
    <row r="19" spans="2:7" ht="15.75" x14ac:dyDescent="0.3">
      <c r="B19" s="388" t="s">
        <v>92</v>
      </c>
      <c r="C19" s="95" t="s">
        <v>245</v>
      </c>
      <c r="D19" s="41"/>
      <c r="E19" s="41"/>
      <c r="F19" s="42"/>
      <c r="G19" s="53" t="s">
        <v>125</v>
      </c>
    </row>
    <row r="20" spans="2:7" ht="15.75" x14ac:dyDescent="0.3">
      <c r="B20" s="390"/>
      <c r="C20" s="43" t="s">
        <v>246</v>
      </c>
      <c r="F20" s="31"/>
      <c r="G20" s="31"/>
    </row>
    <row r="21" spans="2:7" ht="15.75" x14ac:dyDescent="0.3">
      <c r="B21" s="390"/>
      <c r="C21" s="43" t="s">
        <v>247</v>
      </c>
      <c r="F21" s="31"/>
      <c r="G21" s="31"/>
    </row>
    <row r="22" spans="2:7" ht="15.75" x14ac:dyDescent="0.3">
      <c r="B22" s="390"/>
      <c r="C22" s="43"/>
      <c r="F22" s="31"/>
      <c r="G22" s="39"/>
    </row>
    <row r="23" spans="2:7" ht="15.75" x14ac:dyDescent="0.3">
      <c r="B23" s="390"/>
      <c r="C23" s="44"/>
      <c r="D23" s="33"/>
      <c r="E23" s="33"/>
      <c r="F23" s="34"/>
      <c r="G23" s="34"/>
    </row>
    <row r="24" spans="2:7" x14ac:dyDescent="0.25">
      <c r="B24" s="391"/>
      <c r="C24" s="393" t="s">
        <v>88</v>
      </c>
      <c r="D24" s="394"/>
      <c r="E24" s="394"/>
      <c r="F24" s="394"/>
      <c r="G24" s="364"/>
    </row>
    <row r="25" spans="2:7" ht="15.75" x14ac:dyDescent="0.3">
      <c r="B25" s="391"/>
      <c r="C25" s="43" t="s">
        <v>248</v>
      </c>
      <c r="D25" s="38"/>
      <c r="E25" s="38"/>
      <c r="F25" s="38"/>
      <c r="G25" s="39"/>
    </row>
    <row r="26" spans="2:7" ht="15.75" x14ac:dyDescent="0.3">
      <c r="B26" s="391"/>
      <c r="C26" s="43"/>
      <c r="G26" s="31"/>
    </row>
    <row r="27" spans="2:7" x14ac:dyDescent="0.25">
      <c r="B27" s="392"/>
      <c r="C27" s="32"/>
      <c r="D27" s="33"/>
      <c r="E27" s="33"/>
      <c r="F27" s="33"/>
      <c r="G27" s="34"/>
    </row>
    <row r="28" spans="2:7" x14ac:dyDescent="0.25">
      <c r="B28" s="328" t="s">
        <v>97</v>
      </c>
      <c r="C28" s="395"/>
      <c r="D28" s="395"/>
      <c r="E28" s="395"/>
      <c r="F28" s="395"/>
      <c r="G28" s="396"/>
    </row>
    <row r="29" spans="2:7" x14ac:dyDescent="0.25">
      <c r="B29" s="397"/>
      <c r="C29" s="398"/>
      <c r="D29" s="398"/>
      <c r="E29" s="398"/>
      <c r="F29" s="398"/>
      <c r="G29" s="399"/>
    </row>
    <row r="30" spans="2:7" x14ac:dyDescent="0.25">
      <c r="B30" s="35"/>
      <c r="C30" s="36"/>
      <c r="D30" s="37"/>
      <c r="E30" s="35"/>
      <c r="F30" s="36"/>
      <c r="G30" s="37"/>
    </row>
    <row r="31" spans="2:7" x14ac:dyDescent="0.25">
      <c r="B31" s="30"/>
      <c r="D31" s="31"/>
      <c r="E31" s="30"/>
      <c r="G31" s="31"/>
    </row>
    <row r="32" spans="2:7" x14ac:dyDescent="0.25">
      <c r="B32" s="30"/>
      <c r="C32" s="58"/>
      <c r="D32" s="31"/>
      <c r="E32" s="30"/>
      <c r="G32" s="31"/>
    </row>
    <row r="33" spans="2:7" x14ac:dyDescent="0.25">
      <c r="B33" s="30"/>
      <c r="D33" s="31"/>
      <c r="E33" s="30"/>
      <c r="G33" s="31"/>
    </row>
    <row r="34" spans="2:7" x14ac:dyDescent="0.25">
      <c r="B34" s="30"/>
      <c r="D34" s="31"/>
      <c r="E34" s="30"/>
      <c r="G34" s="31"/>
    </row>
    <row r="35" spans="2:7" x14ac:dyDescent="0.25">
      <c r="B35" s="30"/>
      <c r="D35" s="31"/>
      <c r="E35" s="30"/>
      <c r="G35" s="31"/>
    </row>
    <row r="36" spans="2:7" x14ac:dyDescent="0.25">
      <c r="B36" s="30"/>
      <c r="D36" s="31"/>
      <c r="E36" s="30"/>
      <c r="G36" s="31"/>
    </row>
    <row r="37" spans="2:7" x14ac:dyDescent="0.25">
      <c r="B37" s="30"/>
      <c r="D37" s="31"/>
      <c r="E37" s="30"/>
      <c r="G37" s="31"/>
    </row>
    <row r="38" spans="2:7" x14ac:dyDescent="0.25">
      <c r="B38" s="30"/>
      <c r="D38" s="31"/>
      <c r="E38" s="30"/>
      <c r="G38" s="31"/>
    </row>
    <row r="39" spans="2:7" x14ac:dyDescent="0.25">
      <c r="B39" s="30"/>
      <c r="D39" s="31"/>
      <c r="E39" s="30"/>
      <c r="G39" s="31"/>
    </row>
    <row r="40" spans="2:7" x14ac:dyDescent="0.25">
      <c r="B40" s="30"/>
      <c r="D40" s="31"/>
      <c r="E40" s="30"/>
      <c r="G40" s="31"/>
    </row>
    <row r="41" spans="2:7" x14ac:dyDescent="0.25">
      <c r="B41" s="30"/>
      <c r="D41" s="31"/>
      <c r="E41" s="30"/>
      <c r="G41" s="31"/>
    </row>
    <row r="42" spans="2:7" x14ac:dyDescent="0.25">
      <c r="B42" s="30"/>
      <c r="D42" s="31"/>
      <c r="E42" s="30"/>
      <c r="G42" s="31"/>
    </row>
    <row r="43" spans="2:7" x14ac:dyDescent="0.25">
      <c r="B43" s="30"/>
      <c r="D43" s="31"/>
      <c r="E43" s="30"/>
      <c r="G43" s="31"/>
    </row>
    <row r="44" spans="2:7" x14ac:dyDescent="0.25">
      <c r="B44" s="30"/>
      <c r="D44" s="31"/>
      <c r="E44" s="30"/>
      <c r="G44" s="31"/>
    </row>
    <row r="45" spans="2:7" x14ac:dyDescent="0.25">
      <c r="B45" s="30"/>
      <c r="D45" s="31"/>
      <c r="E45" s="30"/>
      <c r="G45" s="31"/>
    </row>
    <row r="46" spans="2:7" x14ac:dyDescent="0.25">
      <c r="B46" s="30"/>
      <c r="D46" s="31"/>
      <c r="E46" s="30"/>
      <c r="G46" s="31"/>
    </row>
    <row r="47" spans="2:7" x14ac:dyDescent="0.25">
      <c r="B47" s="30"/>
      <c r="D47" s="31"/>
      <c r="E47" s="30"/>
      <c r="G47" s="31"/>
    </row>
    <row r="48" spans="2:7" x14ac:dyDescent="0.25">
      <c r="B48" s="30"/>
      <c r="D48" s="31"/>
      <c r="E48" s="30"/>
      <c r="G48" s="31"/>
    </row>
    <row r="49" spans="2:7" x14ac:dyDescent="0.25">
      <c r="B49" s="32"/>
      <c r="C49" s="33"/>
      <c r="D49" s="34"/>
      <c r="E49" s="32"/>
      <c r="F49" s="33"/>
      <c r="G49" s="34"/>
    </row>
  </sheetData>
  <mergeCells count="13">
    <mergeCell ref="B28:G29"/>
    <mergeCell ref="B1:D2"/>
    <mergeCell ref="E1:F2"/>
    <mergeCell ref="G1:G2"/>
    <mergeCell ref="B3:F4"/>
    <mergeCell ref="G3:G4"/>
    <mergeCell ref="B5:B14"/>
    <mergeCell ref="C10:G10"/>
    <mergeCell ref="B15:G16"/>
    <mergeCell ref="B17:F18"/>
    <mergeCell ref="G17:G18"/>
    <mergeCell ref="B19:B27"/>
    <mergeCell ref="C24:G24"/>
  </mergeCells>
  <pageMargins left="0.25" right="0.25" top="0.75" bottom="0.75" header="0.3" footer="0.3"/>
  <pageSetup paperSize="9" orientation="portrait" r:id="rId1"/>
  <headerFooter>
    <oddFooter>&amp;R&amp;"Century Gothic,Standard"&amp;9itm I &amp;D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2173D-F2B1-48C7-BBB8-C885C9D9132A}">
  <dimension ref="B1:I49"/>
  <sheetViews>
    <sheetView showWhiteSpace="0" zoomScaleNormal="100" workbookViewId="0">
      <selection activeCell="F41" sqref="F41"/>
    </sheetView>
  </sheetViews>
  <sheetFormatPr baseColWidth="10" defaultColWidth="11.42578125" defaultRowHeight="15" x14ac:dyDescent="0.25"/>
  <cols>
    <col min="1" max="1" width="4.85546875" customWidth="1"/>
    <col min="2" max="2" width="10" customWidth="1"/>
    <col min="3" max="7" width="16.28515625" customWidth="1"/>
  </cols>
  <sheetData>
    <row r="1" spans="2:9" x14ac:dyDescent="0.25">
      <c r="B1" s="340" t="s">
        <v>80</v>
      </c>
      <c r="C1" s="341"/>
      <c r="D1" s="341"/>
      <c r="E1" s="336">
        <f>Kompetenzraster!Q41</f>
        <v>46409</v>
      </c>
      <c r="F1" s="337"/>
      <c r="G1" s="334">
        <v>19</v>
      </c>
    </row>
    <row r="2" spans="2:9" x14ac:dyDescent="0.25">
      <c r="B2" s="342"/>
      <c r="C2" s="343"/>
      <c r="D2" s="343"/>
      <c r="E2" s="338"/>
      <c r="F2" s="339"/>
      <c r="G2" s="335"/>
    </row>
    <row r="3" spans="2:9" x14ac:dyDescent="0.25">
      <c r="B3" s="382" t="s">
        <v>249</v>
      </c>
      <c r="C3" s="383"/>
      <c r="D3" s="383"/>
      <c r="E3" s="383"/>
      <c r="F3" s="466"/>
      <c r="G3" s="469">
        <v>1.1000000000000001</v>
      </c>
    </row>
    <row r="4" spans="2:9" x14ac:dyDescent="0.25">
      <c r="B4" s="384"/>
      <c r="C4" s="467"/>
      <c r="D4" s="467"/>
      <c r="E4" s="467"/>
      <c r="F4" s="468"/>
      <c r="G4" s="470"/>
    </row>
    <row r="5" spans="2:9" ht="15.75" x14ac:dyDescent="0.3">
      <c r="B5" s="389" t="s">
        <v>82</v>
      </c>
      <c r="C5" s="40" t="s">
        <v>250</v>
      </c>
      <c r="D5" s="41"/>
      <c r="E5" s="41"/>
      <c r="F5" s="42"/>
      <c r="G5" s="53" t="s">
        <v>125</v>
      </c>
    </row>
    <row r="6" spans="2:9" ht="15.75" x14ac:dyDescent="0.3">
      <c r="B6" s="390"/>
      <c r="C6" s="43" t="s">
        <v>251</v>
      </c>
      <c r="F6" s="31"/>
      <c r="G6" s="31"/>
    </row>
    <row r="7" spans="2:9" ht="15.75" x14ac:dyDescent="0.3">
      <c r="B7" s="390"/>
      <c r="C7" s="43"/>
      <c r="F7" s="31"/>
      <c r="G7" s="31"/>
    </row>
    <row r="8" spans="2:9" ht="15.75" x14ac:dyDescent="0.3">
      <c r="B8" s="390"/>
      <c r="C8" s="43"/>
      <c r="D8" s="38"/>
      <c r="E8" s="38"/>
      <c r="F8" s="39"/>
      <c r="G8" s="39"/>
    </row>
    <row r="9" spans="2:9" ht="15.75" x14ac:dyDescent="0.3">
      <c r="B9" s="390"/>
      <c r="C9" s="44"/>
      <c r="D9" s="33"/>
      <c r="E9" s="33"/>
      <c r="F9" s="34"/>
      <c r="G9" s="34"/>
    </row>
    <row r="10" spans="2:9" x14ac:dyDescent="0.25">
      <c r="B10" s="391"/>
      <c r="C10" s="393" t="s">
        <v>88</v>
      </c>
      <c r="D10" s="394"/>
      <c r="E10" s="394"/>
      <c r="F10" s="394"/>
      <c r="G10" s="402"/>
    </row>
    <row r="11" spans="2:9" ht="15.75" x14ac:dyDescent="0.3">
      <c r="B11" s="390"/>
      <c r="C11" s="55" t="s">
        <v>252</v>
      </c>
      <c r="D11" s="36"/>
      <c r="E11" s="36"/>
      <c r="F11" s="36"/>
      <c r="G11" s="37"/>
      <c r="I11" s="92"/>
    </row>
    <row r="12" spans="2:9" ht="15.75" x14ac:dyDescent="0.3">
      <c r="B12" s="390"/>
      <c r="C12" s="45" t="s">
        <v>253</v>
      </c>
      <c r="D12" s="38"/>
      <c r="E12" s="38"/>
      <c r="F12" s="38"/>
      <c r="G12" s="39"/>
    </row>
    <row r="13" spans="2:9" ht="15.75" x14ac:dyDescent="0.3">
      <c r="B13" s="390"/>
      <c r="C13" s="93"/>
      <c r="D13" s="38"/>
      <c r="E13" s="38"/>
      <c r="F13" s="38"/>
      <c r="G13" s="39"/>
    </row>
    <row r="14" spans="2:9" ht="15.75" x14ac:dyDescent="0.3">
      <c r="B14" s="471"/>
      <c r="C14" s="44"/>
      <c r="D14" s="33"/>
      <c r="E14" s="33"/>
      <c r="F14" s="33"/>
      <c r="G14" s="34"/>
    </row>
    <row r="15" spans="2:9" x14ac:dyDescent="0.25">
      <c r="B15" s="356" t="s">
        <v>91</v>
      </c>
      <c r="C15" s="407"/>
      <c r="D15" s="407"/>
      <c r="E15" s="407"/>
      <c r="F15" s="407"/>
      <c r="G15" s="408"/>
    </row>
    <row r="16" spans="2:9" x14ac:dyDescent="0.25">
      <c r="B16" s="359"/>
      <c r="C16" s="360"/>
      <c r="D16" s="360"/>
      <c r="E16" s="360"/>
      <c r="F16" s="360"/>
      <c r="G16" s="361"/>
    </row>
    <row r="17" spans="2:7" ht="15" customHeight="1" x14ac:dyDescent="0.25">
      <c r="B17" s="382" t="s">
        <v>75</v>
      </c>
      <c r="C17" s="383"/>
      <c r="D17" s="383"/>
      <c r="E17" s="383"/>
      <c r="F17" s="383"/>
      <c r="G17" s="386">
        <v>1.1100000000000001</v>
      </c>
    </row>
    <row r="18" spans="2:7" ht="15" customHeight="1" x14ac:dyDescent="0.25">
      <c r="B18" s="384"/>
      <c r="C18" s="385"/>
      <c r="D18" s="385"/>
      <c r="E18" s="385"/>
      <c r="F18" s="385"/>
      <c r="G18" s="387"/>
    </row>
    <row r="19" spans="2:7" ht="15.75" x14ac:dyDescent="0.3">
      <c r="B19" s="388" t="s">
        <v>92</v>
      </c>
      <c r="C19" s="40" t="s">
        <v>254</v>
      </c>
      <c r="D19" s="41"/>
      <c r="E19" s="41"/>
      <c r="F19" s="42"/>
      <c r="G19" s="53" t="s">
        <v>125</v>
      </c>
    </row>
    <row r="20" spans="2:7" ht="15.75" x14ac:dyDescent="0.3">
      <c r="B20" s="390"/>
      <c r="C20" s="43" t="s">
        <v>255</v>
      </c>
      <c r="F20" s="31"/>
      <c r="G20" s="31"/>
    </row>
    <row r="21" spans="2:7" x14ac:dyDescent="0.25">
      <c r="B21" s="390"/>
      <c r="C21" s="30"/>
      <c r="F21" s="31"/>
      <c r="G21" s="31"/>
    </row>
    <row r="22" spans="2:7" ht="15.75" x14ac:dyDescent="0.3">
      <c r="B22" s="390"/>
      <c r="C22" s="43"/>
      <c r="F22" s="31"/>
      <c r="G22" s="39"/>
    </row>
    <row r="23" spans="2:7" ht="15.75" x14ac:dyDescent="0.3">
      <c r="B23" s="390"/>
      <c r="C23" s="44"/>
      <c r="D23" s="33"/>
      <c r="E23" s="33"/>
      <c r="F23" s="34"/>
      <c r="G23" s="34"/>
    </row>
    <row r="24" spans="2:7" x14ac:dyDescent="0.25">
      <c r="B24" s="391"/>
      <c r="C24" s="393" t="s">
        <v>88</v>
      </c>
      <c r="D24" s="394"/>
      <c r="E24" s="394"/>
      <c r="F24" s="394"/>
      <c r="G24" s="364"/>
    </row>
    <row r="25" spans="2:7" ht="15.75" x14ac:dyDescent="0.3">
      <c r="B25" s="391"/>
      <c r="C25" s="43" t="s">
        <v>256</v>
      </c>
      <c r="D25" s="38"/>
      <c r="E25" s="38"/>
      <c r="F25" s="38"/>
      <c r="G25" s="39"/>
    </row>
    <row r="26" spans="2:7" ht="15.75" x14ac:dyDescent="0.3">
      <c r="B26" s="391"/>
      <c r="C26" s="43"/>
      <c r="G26" s="31"/>
    </row>
    <row r="27" spans="2:7" x14ac:dyDescent="0.25">
      <c r="B27" s="392"/>
      <c r="C27" s="32"/>
      <c r="D27" s="33"/>
      <c r="E27" s="33"/>
      <c r="F27" s="33"/>
      <c r="G27" s="34"/>
    </row>
    <row r="28" spans="2:7" x14ac:dyDescent="0.25">
      <c r="B28" s="328" t="s">
        <v>97</v>
      </c>
      <c r="C28" s="395"/>
      <c r="D28" s="395"/>
      <c r="E28" s="395"/>
      <c r="F28" s="395"/>
      <c r="G28" s="396"/>
    </row>
    <row r="29" spans="2:7" x14ac:dyDescent="0.25">
      <c r="B29" s="397"/>
      <c r="C29" s="398"/>
      <c r="D29" s="398"/>
      <c r="E29" s="398"/>
      <c r="F29" s="398"/>
      <c r="G29" s="399"/>
    </row>
    <row r="30" spans="2:7" x14ac:dyDescent="0.25">
      <c r="B30" s="35"/>
      <c r="C30" s="36"/>
      <c r="D30" s="37"/>
      <c r="E30" s="35"/>
      <c r="F30" s="36"/>
      <c r="G30" s="37"/>
    </row>
    <row r="31" spans="2:7" x14ac:dyDescent="0.25">
      <c r="B31" s="30"/>
      <c r="D31" s="31"/>
      <c r="E31" s="30"/>
      <c r="G31" s="31"/>
    </row>
    <row r="32" spans="2:7" x14ac:dyDescent="0.25">
      <c r="B32" s="30"/>
      <c r="C32" s="58"/>
      <c r="D32" s="31"/>
      <c r="E32" s="30"/>
      <c r="G32" s="31"/>
    </row>
    <row r="33" spans="2:7" x14ac:dyDescent="0.25">
      <c r="B33" s="30"/>
      <c r="D33" s="31"/>
      <c r="E33" s="30"/>
      <c r="G33" s="31"/>
    </row>
    <row r="34" spans="2:7" x14ac:dyDescent="0.25">
      <c r="B34" s="30"/>
      <c r="D34" s="31"/>
      <c r="E34" s="30"/>
      <c r="G34" s="31"/>
    </row>
    <row r="35" spans="2:7" x14ac:dyDescent="0.25">
      <c r="B35" s="30"/>
      <c r="D35" s="31"/>
      <c r="E35" s="30"/>
      <c r="G35" s="31"/>
    </row>
    <row r="36" spans="2:7" x14ac:dyDescent="0.25">
      <c r="B36" s="30"/>
      <c r="D36" s="31"/>
      <c r="E36" s="30"/>
      <c r="G36" s="31"/>
    </row>
    <row r="37" spans="2:7" x14ac:dyDescent="0.25">
      <c r="B37" s="30"/>
      <c r="D37" s="31"/>
      <c r="E37" s="30"/>
      <c r="G37" s="31"/>
    </row>
    <row r="38" spans="2:7" x14ac:dyDescent="0.25">
      <c r="B38" s="30"/>
      <c r="D38" s="31"/>
      <c r="E38" s="30"/>
      <c r="G38" s="31"/>
    </row>
    <row r="39" spans="2:7" x14ac:dyDescent="0.25">
      <c r="B39" s="30"/>
      <c r="D39" s="31"/>
      <c r="E39" s="30"/>
      <c r="G39" s="31"/>
    </row>
    <row r="40" spans="2:7" x14ac:dyDescent="0.25">
      <c r="B40" s="30"/>
      <c r="D40" s="31"/>
      <c r="E40" s="30"/>
      <c r="G40" s="31"/>
    </row>
    <row r="41" spans="2:7" x14ac:dyDescent="0.25">
      <c r="B41" s="30"/>
      <c r="D41" s="31"/>
      <c r="E41" s="30"/>
      <c r="G41" s="31"/>
    </row>
    <row r="42" spans="2:7" x14ac:dyDescent="0.25">
      <c r="B42" s="30"/>
      <c r="D42" s="31"/>
      <c r="E42" s="30"/>
      <c r="G42" s="31"/>
    </row>
    <row r="43" spans="2:7" x14ac:dyDescent="0.25">
      <c r="B43" s="30"/>
      <c r="D43" s="31"/>
      <c r="E43" s="30"/>
      <c r="G43" s="31"/>
    </row>
    <row r="44" spans="2:7" x14ac:dyDescent="0.25">
      <c r="B44" s="30"/>
      <c r="D44" s="31"/>
      <c r="E44" s="30"/>
      <c r="G44" s="31"/>
    </row>
    <row r="45" spans="2:7" x14ac:dyDescent="0.25">
      <c r="B45" s="30"/>
      <c r="D45" s="31"/>
      <c r="E45" s="30"/>
      <c r="G45" s="31"/>
    </row>
    <row r="46" spans="2:7" x14ac:dyDescent="0.25">
      <c r="B46" s="30"/>
      <c r="D46" s="31"/>
      <c r="E46" s="30"/>
      <c r="G46" s="31"/>
    </row>
    <row r="47" spans="2:7" x14ac:dyDescent="0.25">
      <c r="B47" s="30"/>
      <c r="D47" s="31"/>
      <c r="E47" s="30"/>
      <c r="G47" s="31"/>
    </row>
    <row r="48" spans="2:7" x14ac:dyDescent="0.25">
      <c r="B48" s="30"/>
      <c r="D48" s="31"/>
      <c r="E48" s="30"/>
      <c r="G48" s="31"/>
    </row>
    <row r="49" spans="2:7" x14ac:dyDescent="0.25">
      <c r="B49" s="32"/>
      <c r="C49" s="33"/>
      <c r="D49" s="34"/>
      <c r="E49" s="32"/>
      <c r="F49" s="33"/>
      <c r="G49" s="34"/>
    </row>
  </sheetData>
  <mergeCells count="13">
    <mergeCell ref="B28:G29"/>
    <mergeCell ref="B1:D2"/>
    <mergeCell ref="E1:F2"/>
    <mergeCell ref="G1:G2"/>
    <mergeCell ref="B3:F4"/>
    <mergeCell ref="G3:G4"/>
    <mergeCell ref="B5:B14"/>
    <mergeCell ref="C10:G10"/>
    <mergeCell ref="B15:G16"/>
    <mergeCell ref="B17:F18"/>
    <mergeCell ref="G17:G18"/>
    <mergeCell ref="B19:B27"/>
    <mergeCell ref="C24:G24"/>
  </mergeCells>
  <pageMargins left="0.25" right="0.25" top="0.75" bottom="0.75" header="0.3" footer="0.3"/>
  <pageSetup paperSize="9" orientation="portrait" r:id="rId1"/>
  <headerFooter>
    <oddFooter>&amp;R&amp;"Century Gothic,Standard"&amp;9itm I &amp;D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F1C35-4D44-444B-BB17-7928ADF96057}">
  <dimension ref="B1:I49"/>
  <sheetViews>
    <sheetView showWhiteSpace="0" zoomScaleNormal="100" workbookViewId="0">
      <selection activeCell="C5" sqref="C5:D5"/>
    </sheetView>
  </sheetViews>
  <sheetFormatPr baseColWidth="10" defaultColWidth="11.42578125" defaultRowHeight="15" x14ac:dyDescent="0.25"/>
  <cols>
    <col min="1" max="1" width="4.85546875" customWidth="1"/>
    <col min="2" max="2" width="10" customWidth="1"/>
    <col min="3" max="7" width="16.28515625" customWidth="1"/>
  </cols>
  <sheetData>
    <row r="1" spans="2:9" ht="15" customHeight="1" x14ac:dyDescent="0.25">
      <c r="B1" s="340" t="s">
        <v>80</v>
      </c>
      <c r="C1" s="341"/>
      <c r="D1" s="341"/>
      <c r="E1" s="336">
        <f>(Kompetenzraster!Q41)+7</f>
        <v>46416</v>
      </c>
      <c r="F1" s="337"/>
      <c r="G1" s="334">
        <v>20</v>
      </c>
    </row>
    <row r="2" spans="2:9" ht="15" customHeight="1" x14ac:dyDescent="0.25">
      <c r="B2" s="342"/>
      <c r="C2" s="343"/>
      <c r="D2" s="343"/>
      <c r="E2" s="338"/>
      <c r="F2" s="339"/>
      <c r="G2" s="335"/>
    </row>
    <row r="3" spans="2:9" x14ac:dyDescent="0.25">
      <c r="B3" s="382" t="s">
        <v>249</v>
      </c>
      <c r="C3" s="383"/>
      <c r="D3" s="383"/>
      <c r="E3" s="383"/>
      <c r="F3" s="466"/>
      <c r="G3" s="469">
        <v>1.1000000000000001</v>
      </c>
    </row>
    <row r="4" spans="2:9" x14ac:dyDescent="0.25">
      <c r="B4" s="384"/>
      <c r="C4" s="467"/>
      <c r="D4" s="467"/>
      <c r="E4" s="467"/>
      <c r="F4" s="468"/>
      <c r="G4" s="470"/>
    </row>
    <row r="5" spans="2:9" ht="15.75" x14ac:dyDescent="0.3">
      <c r="B5" s="389" t="s">
        <v>82</v>
      </c>
      <c r="C5" s="40" t="s">
        <v>250</v>
      </c>
      <c r="D5" s="41"/>
      <c r="E5" s="41"/>
      <c r="F5" s="42"/>
      <c r="G5" s="53" t="s">
        <v>125</v>
      </c>
    </row>
    <row r="6" spans="2:9" ht="15.75" x14ac:dyDescent="0.3">
      <c r="B6" s="390"/>
      <c r="C6" s="43" t="s">
        <v>251</v>
      </c>
      <c r="F6" s="31"/>
      <c r="G6" s="31"/>
    </row>
    <row r="7" spans="2:9" ht="15.75" x14ac:dyDescent="0.3">
      <c r="B7" s="390"/>
      <c r="C7" s="43"/>
      <c r="F7" s="31"/>
      <c r="G7" s="31"/>
    </row>
    <row r="8" spans="2:9" ht="15.75" x14ac:dyDescent="0.3">
      <c r="B8" s="390"/>
      <c r="C8" s="43"/>
      <c r="D8" s="38"/>
      <c r="E8" s="38"/>
      <c r="F8" s="39"/>
      <c r="G8" s="39"/>
    </row>
    <row r="9" spans="2:9" ht="15.75" x14ac:dyDescent="0.3">
      <c r="B9" s="390"/>
      <c r="C9" s="44"/>
      <c r="D9" s="33"/>
      <c r="E9" s="33"/>
      <c r="F9" s="34"/>
      <c r="G9" s="34"/>
    </row>
    <row r="10" spans="2:9" x14ac:dyDescent="0.25">
      <c r="B10" s="391"/>
      <c r="C10" s="393" t="s">
        <v>88</v>
      </c>
      <c r="D10" s="394"/>
      <c r="E10" s="394"/>
      <c r="F10" s="394"/>
      <c r="G10" s="402"/>
    </row>
    <row r="11" spans="2:9" ht="15.75" x14ac:dyDescent="0.3">
      <c r="B11" s="390"/>
      <c r="C11" s="55" t="s">
        <v>252</v>
      </c>
      <c r="D11" s="36"/>
      <c r="E11" s="36"/>
      <c r="F11" s="36"/>
      <c r="G11" s="37"/>
      <c r="I11" s="92"/>
    </row>
    <row r="12" spans="2:9" ht="15.75" x14ac:dyDescent="0.3">
      <c r="B12" s="390"/>
      <c r="C12" s="45" t="s">
        <v>253</v>
      </c>
      <c r="D12" s="38"/>
      <c r="E12" s="38"/>
      <c r="F12" s="38"/>
      <c r="G12" s="39"/>
    </row>
    <row r="13" spans="2:9" ht="15.75" x14ac:dyDescent="0.3">
      <c r="B13" s="390"/>
      <c r="C13" s="93"/>
      <c r="D13" s="38"/>
      <c r="E13" s="38"/>
      <c r="F13" s="38"/>
      <c r="G13" s="39"/>
    </row>
    <row r="14" spans="2:9" ht="15.75" x14ac:dyDescent="0.3">
      <c r="B14" s="471"/>
      <c r="C14" s="44"/>
      <c r="D14" s="33"/>
      <c r="E14" s="33"/>
      <c r="F14" s="33"/>
      <c r="G14" s="34"/>
    </row>
    <row r="15" spans="2:9" x14ac:dyDescent="0.25">
      <c r="B15" s="356" t="s">
        <v>91</v>
      </c>
      <c r="C15" s="407"/>
      <c r="D15" s="407"/>
      <c r="E15" s="407"/>
      <c r="F15" s="407"/>
      <c r="G15" s="408"/>
    </row>
    <row r="16" spans="2:9" x14ac:dyDescent="0.25">
      <c r="B16" s="359"/>
      <c r="C16" s="360"/>
      <c r="D16" s="360"/>
      <c r="E16" s="360"/>
      <c r="F16" s="360"/>
      <c r="G16" s="361"/>
    </row>
    <row r="17" spans="2:7" ht="15" customHeight="1" x14ac:dyDescent="0.25">
      <c r="B17" s="382" t="s">
        <v>75</v>
      </c>
      <c r="C17" s="383"/>
      <c r="D17" s="383"/>
      <c r="E17" s="383"/>
      <c r="F17" s="383"/>
      <c r="G17" s="386">
        <v>1.1100000000000001</v>
      </c>
    </row>
    <row r="18" spans="2:7" ht="15" customHeight="1" x14ac:dyDescent="0.25">
      <c r="B18" s="384"/>
      <c r="C18" s="385"/>
      <c r="D18" s="385"/>
      <c r="E18" s="385"/>
      <c r="F18" s="385"/>
      <c r="G18" s="387"/>
    </row>
    <row r="19" spans="2:7" ht="15.75" x14ac:dyDescent="0.3">
      <c r="B19" s="388" t="s">
        <v>92</v>
      </c>
      <c r="C19" s="40" t="s">
        <v>254</v>
      </c>
      <c r="D19" s="41"/>
      <c r="E19" s="41"/>
      <c r="F19" s="42"/>
      <c r="G19" s="53" t="s">
        <v>125</v>
      </c>
    </row>
    <row r="20" spans="2:7" ht="15.75" x14ac:dyDescent="0.3">
      <c r="B20" s="390"/>
      <c r="C20" s="43" t="s">
        <v>255</v>
      </c>
      <c r="F20" s="31"/>
      <c r="G20" s="31"/>
    </row>
    <row r="21" spans="2:7" x14ac:dyDescent="0.25">
      <c r="B21" s="390"/>
      <c r="C21" s="30"/>
      <c r="F21" s="31"/>
      <c r="G21" s="31"/>
    </row>
    <row r="22" spans="2:7" ht="15.75" x14ac:dyDescent="0.3">
      <c r="B22" s="390"/>
      <c r="C22" s="43"/>
      <c r="F22" s="31"/>
      <c r="G22" s="39"/>
    </row>
    <row r="23" spans="2:7" ht="15.75" x14ac:dyDescent="0.3">
      <c r="B23" s="390"/>
      <c r="C23" s="44"/>
      <c r="D23" s="33"/>
      <c r="E23" s="33"/>
      <c r="F23" s="34"/>
      <c r="G23" s="34"/>
    </row>
    <row r="24" spans="2:7" x14ac:dyDescent="0.25">
      <c r="B24" s="391"/>
      <c r="C24" s="393" t="s">
        <v>88</v>
      </c>
      <c r="D24" s="394"/>
      <c r="E24" s="394"/>
      <c r="F24" s="394"/>
      <c r="G24" s="364"/>
    </row>
    <row r="25" spans="2:7" ht="15.75" x14ac:dyDescent="0.3">
      <c r="B25" s="391"/>
      <c r="C25" s="43" t="s">
        <v>256</v>
      </c>
      <c r="D25" s="38"/>
      <c r="E25" s="38"/>
      <c r="F25" s="38"/>
      <c r="G25" s="39"/>
    </row>
    <row r="26" spans="2:7" ht="15.75" x14ac:dyDescent="0.3">
      <c r="B26" s="391"/>
      <c r="C26" s="43"/>
      <c r="G26" s="31"/>
    </row>
    <row r="27" spans="2:7" x14ac:dyDescent="0.25">
      <c r="B27" s="392"/>
      <c r="C27" s="32"/>
      <c r="D27" s="33"/>
      <c r="E27" s="33"/>
      <c r="F27" s="33"/>
      <c r="G27" s="34"/>
    </row>
    <row r="28" spans="2:7" x14ac:dyDescent="0.25">
      <c r="B28" s="328" t="s">
        <v>97</v>
      </c>
      <c r="C28" s="395"/>
      <c r="D28" s="395"/>
      <c r="E28" s="395"/>
      <c r="F28" s="395"/>
      <c r="G28" s="396"/>
    </row>
    <row r="29" spans="2:7" x14ac:dyDescent="0.25">
      <c r="B29" s="397"/>
      <c r="C29" s="398"/>
      <c r="D29" s="398"/>
      <c r="E29" s="398"/>
      <c r="F29" s="398"/>
      <c r="G29" s="399"/>
    </row>
    <row r="30" spans="2:7" x14ac:dyDescent="0.25">
      <c r="B30" s="35"/>
      <c r="C30" s="36"/>
      <c r="D30" s="37"/>
      <c r="E30" s="35"/>
      <c r="F30" s="36"/>
      <c r="G30" s="37"/>
    </row>
    <row r="31" spans="2:7" x14ac:dyDescent="0.25">
      <c r="B31" s="30"/>
      <c r="C31" s="94" t="s">
        <v>257</v>
      </c>
      <c r="D31" s="31"/>
      <c r="E31" s="30"/>
      <c r="G31" s="31"/>
    </row>
    <row r="32" spans="2:7" x14ac:dyDescent="0.25">
      <c r="B32" s="30"/>
      <c r="C32" s="58"/>
      <c r="D32" s="31"/>
      <c r="E32" s="30"/>
      <c r="G32" s="31"/>
    </row>
    <row r="33" spans="2:7" x14ac:dyDescent="0.25">
      <c r="B33" s="30"/>
      <c r="D33" s="31"/>
      <c r="E33" s="30"/>
      <c r="G33" s="31"/>
    </row>
    <row r="34" spans="2:7" x14ac:dyDescent="0.25">
      <c r="B34" s="30"/>
      <c r="D34" s="31"/>
      <c r="E34" s="30"/>
      <c r="G34" s="31"/>
    </row>
    <row r="35" spans="2:7" x14ac:dyDescent="0.25">
      <c r="B35" s="30"/>
      <c r="D35" s="31"/>
      <c r="E35" s="30"/>
      <c r="G35" s="31"/>
    </row>
    <row r="36" spans="2:7" x14ac:dyDescent="0.25">
      <c r="B36" s="30"/>
      <c r="D36" s="31"/>
      <c r="E36" s="30"/>
      <c r="G36" s="31"/>
    </row>
    <row r="37" spans="2:7" x14ac:dyDescent="0.25">
      <c r="B37" s="30"/>
      <c r="D37" s="31"/>
      <c r="E37" s="30"/>
      <c r="G37" s="31"/>
    </row>
    <row r="38" spans="2:7" x14ac:dyDescent="0.25">
      <c r="B38" s="30"/>
      <c r="D38" s="31"/>
      <c r="E38" s="30"/>
      <c r="G38" s="31"/>
    </row>
    <row r="39" spans="2:7" x14ac:dyDescent="0.25">
      <c r="B39" s="30"/>
      <c r="D39" s="31"/>
      <c r="E39" s="30"/>
      <c r="G39" s="31"/>
    </row>
    <row r="40" spans="2:7" x14ac:dyDescent="0.25">
      <c r="B40" s="30"/>
      <c r="D40" s="31"/>
      <c r="E40" s="30"/>
      <c r="G40" s="31"/>
    </row>
    <row r="41" spans="2:7" x14ac:dyDescent="0.25">
      <c r="B41" s="30"/>
      <c r="D41" s="31"/>
      <c r="E41" s="30"/>
      <c r="G41" s="31"/>
    </row>
    <row r="42" spans="2:7" x14ac:dyDescent="0.25">
      <c r="B42" s="30"/>
      <c r="D42" s="31"/>
      <c r="E42" s="30"/>
      <c r="G42" s="31"/>
    </row>
    <row r="43" spans="2:7" x14ac:dyDescent="0.25">
      <c r="B43" s="30"/>
      <c r="D43" s="31"/>
      <c r="E43" s="30"/>
      <c r="G43" s="31"/>
    </row>
    <row r="44" spans="2:7" x14ac:dyDescent="0.25">
      <c r="B44" s="30"/>
      <c r="D44" s="31"/>
      <c r="E44" s="30"/>
      <c r="G44" s="31"/>
    </row>
    <row r="45" spans="2:7" x14ac:dyDescent="0.25">
      <c r="B45" s="30"/>
      <c r="D45" s="31"/>
      <c r="E45" s="30"/>
      <c r="G45" s="31"/>
    </row>
    <row r="46" spans="2:7" x14ac:dyDescent="0.25">
      <c r="B46" s="30"/>
      <c r="D46" s="31"/>
      <c r="E46" s="30"/>
      <c r="G46" s="31"/>
    </row>
    <row r="47" spans="2:7" x14ac:dyDescent="0.25">
      <c r="B47" s="30"/>
      <c r="D47" s="31"/>
      <c r="E47" s="30"/>
      <c r="G47" s="31"/>
    </row>
    <row r="48" spans="2:7" x14ac:dyDescent="0.25">
      <c r="B48" s="30"/>
      <c r="D48" s="31"/>
      <c r="E48" s="30"/>
      <c r="G48" s="31"/>
    </row>
    <row r="49" spans="2:7" x14ac:dyDescent="0.25">
      <c r="B49" s="32"/>
      <c r="C49" s="33"/>
      <c r="D49" s="34"/>
      <c r="E49" s="32"/>
      <c r="F49" s="33"/>
      <c r="G49" s="34"/>
    </row>
  </sheetData>
  <mergeCells count="13">
    <mergeCell ref="B28:G29"/>
    <mergeCell ref="B1:D2"/>
    <mergeCell ref="E1:F2"/>
    <mergeCell ref="G1:G2"/>
    <mergeCell ref="B3:F4"/>
    <mergeCell ref="G3:G4"/>
    <mergeCell ref="B5:B14"/>
    <mergeCell ref="C10:G10"/>
    <mergeCell ref="B15:G16"/>
    <mergeCell ref="B17:F18"/>
    <mergeCell ref="G17:G18"/>
    <mergeCell ref="B19:B27"/>
    <mergeCell ref="C24:G24"/>
  </mergeCells>
  <pageMargins left="0.25" right="0.25" top="0.75" bottom="0.75" header="0.3" footer="0.3"/>
  <pageSetup paperSize="9" orientation="portrait" r:id="rId1"/>
  <headerFooter>
    <oddFooter>&amp;R&amp;"Century Gothic,Standard"&amp;9itm I &amp;D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B9EEB-B5DA-4D8F-9554-0E5F94FD4D13}">
  <dimension ref="B1:I49"/>
  <sheetViews>
    <sheetView showWhiteSpace="0" zoomScaleNormal="100" workbookViewId="0">
      <selection activeCell="F8" sqref="F8"/>
    </sheetView>
  </sheetViews>
  <sheetFormatPr baseColWidth="10" defaultColWidth="11.42578125" defaultRowHeight="15" x14ac:dyDescent="0.25"/>
  <cols>
    <col min="1" max="1" width="4.85546875" customWidth="1"/>
    <col min="2" max="2" width="10" customWidth="1"/>
    <col min="3" max="7" width="16.28515625" customWidth="1"/>
  </cols>
  <sheetData>
    <row r="1" spans="2:9" ht="15" customHeight="1" x14ac:dyDescent="0.25">
      <c r="B1" s="340" t="s">
        <v>80</v>
      </c>
      <c r="C1" s="341"/>
      <c r="D1" s="341"/>
      <c r="E1" s="336">
        <f>(Kompetenzraster!Q41)+7</f>
        <v>46416</v>
      </c>
      <c r="F1" s="337"/>
      <c r="G1" s="334">
        <v>20</v>
      </c>
    </row>
    <row r="2" spans="2:9" ht="15" customHeight="1" x14ac:dyDescent="0.25">
      <c r="B2" s="342"/>
      <c r="C2" s="343"/>
      <c r="D2" s="343"/>
      <c r="E2" s="338"/>
      <c r="F2" s="339"/>
      <c r="G2" s="335"/>
    </row>
    <row r="3" spans="2:9" x14ac:dyDescent="0.25">
      <c r="B3" s="382" t="s">
        <v>249</v>
      </c>
      <c r="C3" s="383"/>
      <c r="D3" s="383"/>
      <c r="E3" s="383"/>
      <c r="F3" s="466"/>
      <c r="G3" s="469">
        <v>1.1000000000000001</v>
      </c>
    </row>
    <row r="4" spans="2:9" x14ac:dyDescent="0.25">
      <c r="B4" s="384"/>
      <c r="C4" s="467"/>
      <c r="D4" s="467"/>
      <c r="E4" s="467"/>
      <c r="F4" s="468"/>
      <c r="G4" s="470"/>
    </row>
    <row r="5" spans="2:9" ht="15.75" x14ac:dyDescent="0.3">
      <c r="B5" s="389" t="s">
        <v>82</v>
      </c>
      <c r="C5" s="40" t="s">
        <v>258</v>
      </c>
      <c r="D5" s="41"/>
      <c r="E5" s="41"/>
      <c r="F5" s="42"/>
      <c r="G5" s="53" t="s">
        <v>125</v>
      </c>
    </row>
    <row r="6" spans="2:9" ht="15.75" x14ac:dyDescent="0.3">
      <c r="B6" s="390"/>
      <c r="C6" s="43" t="s">
        <v>251</v>
      </c>
      <c r="F6" s="31"/>
      <c r="G6" s="31"/>
    </row>
    <row r="7" spans="2:9" ht="15.75" x14ac:dyDescent="0.3">
      <c r="B7" s="390"/>
      <c r="C7" s="43"/>
      <c r="F7" s="31"/>
      <c r="G7" s="31"/>
    </row>
    <row r="8" spans="2:9" ht="15.75" x14ac:dyDescent="0.3">
      <c r="B8" s="390"/>
      <c r="C8" s="43"/>
      <c r="D8" s="38"/>
      <c r="E8" s="38"/>
      <c r="F8" s="39"/>
      <c r="G8" s="39"/>
    </row>
    <row r="9" spans="2:9" ht="15.75" x14ac:dyDescent="0.3">
      <c r="B9" s="390"/>
      <c r="C9" s="44"/>
      <c r="D9" s="33"/>
      <c r="E9" s="33"/>
      <c r="F9" s="34"/>
      <c r="G9" s="34"/>
    </row>
    <row r="10" spans="2:9" x14ac:dyDescent="0.25">
      <c r="B10" s="391"/>
      <c r="C10" s="393" t="s">
        <v>88</v>
      </c>
      <c r="D10" s="394"/>
      <c r="E10" s="394"/>
      <c r="F10" s="394"/>
      <c r="G10" s="402"/>
    </row>
    <row r="11" spans="2:9" ht="15.75" x14ac:dyDescent="0.3">
      <c r="B11" s="390"/>
      <c r="C11" s="55" t="s">
        <v>252</v>
      </c>
      <c r="D11" s="36"/>
      <c r="E11" s="36"/>
      <c r="F11" s="36"/>
      <c r="G11" s="37"/>
      <c r="I11" s="92"/>
    </row>
    <row r="12" spans="2:9" ht="15.75" x14ac:dyDescent="0.3">
      <c r="B12" s="390"/>
      <c r="C12" s="45" t="s">
        <v>253</v>
      </c>
      <c r="D12" s="38"/>
      <c r="E12" s="38"/>
      <c r="F12" s="38"/>
      <c r="G12" s="39"/>
    </row>
    <row r="13" spans="2:9" ht="15.75" x14ac:dyDescent="0.3">
      <c r="B13" s="390"/>
      <c r="C13" s="93"/>
      <c r="D13" s="38"/>
      <c r="E13" s="38"/>
      <c r="F13" s="38"/>
      <c r="G13" s="39"/>
    </row>
    <row r="14" spans="2:9" ht="15.75" x14ac:dyDescent="0.3">
      <c r="B14" s="471"/>
      <c r="C14" s="44"/>
      <c r="D14" s="33"/>
      <c r="E14" s="33"/>
      <c r="F14" s="33"/>
      <c r="G14" s="34"/>
    </row>
    <row r="15" spans="2:9" x14ac:dyDescent="0.25">
      <c r="B15" s="356" t="s">
        <v>91</v>
      </c>
      <c r="C15" s="407"/>
      <c r="D15" s="407"/>
      <c r="E15" s="407"/>
      <c r="F15" s="407"/>
      <c r="G15" s="408"/>
    </row>
    <row r="16" spans="2:9" x14ac:dyDescent="0.25">
      <c r="B16" s="359"/>
      <c r="C16" s="360"/>
      <c r="D16" s="360"/>
      <c r="E16" s="360"/>
      <c r="F16" s="360"/>
      <c r="G16" s="361"/>
    </row>
    <row r="17" spans="2:7" ht="15" customHeight="1" x14ac:dyDescent="0.25">
      <c r="B17" s="382" t="s">
        <v>75</v>
      </c>
      <c r="C17" s="383"/>
      <c r="D17" s="383"/>
      <c r="E17" s="383"/>
      <c r="F17" s="383"/>
      <c r="G17" s="386">
        <v>1.1100000000000001</v>
      </c>
    </row>
    <row r="18" spans="2:7" ht="15" customHeight="1" x14ac:dyDescent="0.25">
      <c r="B18" s="384"/>
      <c r="C18" s="385"/>
      <c r="D18" s="385"/>
      <c r="E18" s="385"/>
      <c r="F18" s="385"/>
      <c r="G18" s="387"/>
    </row>
    <row r="19" spans="2:7" ht="15.75" x14ac:dyDescent="0.3">
      <c r="B19" s="388" t="s">
        <v>92</v>
      </c>
      <c r="C19" s="40" t="s">
        <v>254</v>
      </c>
      <c r="D19" s="41"/>
      <c r="E19" s="41"/>
      <c r="F19" s="42"/>
      <c r="G19" s="53" t="s">
        <v>125</v>
      </c>
    </row>
    <row r="20" spans="2:7" ht="15.75" x14ac:dyDescent="0.3">
      <c r="B20" s="390"/>
      <c r="C20" s="43" t="s">
        <v>255</v>
      </c>
      <c r="F20" s="31"/>
      <c r="G20" s="31"/>
    </row>
    <row r="21" spans="2:7" x14ac:dyDescent="0.25">
      <c r="B21" s="390"/>
      <c r="C21" s="30"/>
      <c r="F21" s="31"/>
      <c r="G21" s="31"/>
    </row>
    <row r="22" spans="2:7" ht="15.75" x14ac:dyDescent="0.3">
      <c r="B22" s="390"/>
      <c r="C22" s="43"/>
      <c r="F22" s="31"/>
      <c r="G22" s="39"/>
    </row>
    <row r="23" spans="2:7" ht="15.75" x14ac:dyDescent="0.3">
      <c r="B23" s="390"/>
      <c r="C23" s="44"/>
      <c r="D23" s="33"/>
      <c r="E23" s="33"/>
      <c r="F23" s="34"/>
      <c r="G23" s="34"/>
    </row>
    <row r="24" spans="2:7" x14ac:dyDescent="0.25">
      <c r="B24" s="391"/>
      <c r="C24" s="393" t="s">
        <v>88</v>
      </c>
      <c r="D24" s="394"/>
      <c r="E24" s="394"/>
      <c r="F24" s="394"/>
      <c r="G24" s="364"/>
    </row>
    <row r="25" spans="2:7" ht="15.75" x14ac:dyDescent="0.3">
      <c r="B25" s="391"/>
      <c r="C25" s="43" t="s">
        <v>256</v>
      </c>
      <c r="D25" s="38"/>
      <c r="E25" s="38"/>
      <c r="F25" s="38"/>
      <c r="G25" s="39"/>
    </row>
    <row r="26" spans="2:7" ht="15.75" x14ac:dyDescent="0.3">
      <c r="B26" s="391"/>
      <c r="C26" s="43"/>
      <c r="G26" s="31"/>
    </row>
    <row r="27" spans="2:7" x14ac:dyDescent="0.25">
      <c r="B27" s="392"/>
      <c r="C27" s="32"/>
      <c r="D27" s="33"/>
      <c r="E27" s="33"/>
      <c r="F27" s="33"/>
      <c r="G27" s="34"/>
    </row>
    <row r="28" spans="2:7" x14ac:dyDescent="0.25">
      <c r="B28" s="328" t="s">
        <v>97</v>
      </c>
      <c r="C28" s="395"/>
      <c r="D28" s="395"/>
      <c r="E28" s="395"/>
      <c r="F28" s="395"/>
      <c r="G28" s="396"/>
    </row>
    <row r="29" spans="2:7" x14ac:dyDescent="0.25">
      <c r="B29" s="397"/>
      <c r="C29" s="398"/>
      <c r="D29" s="398"/>
      <c r="E29" s="398"/>
      <c r="F29" s="398"/>
      <c r="G29" s="399"/>
    </row>
    <row r="30" spans="2:7" x14ac:dyDescent="0.25">
      <c r="B30" s="35"/>
      <c r="C30" s="36"/>
      <c r="D30" s="37"/>
      <c r="E30" s="35"/>
      <c r="F30" s="36"/>
      <c r="G30" s="37"/>
    </row>
    <row r="31" spans="2:7" x14ac:dyDescent="0.25">
      <c r="B31" s="30"/>
      <c r="C31" s="94" t="s">
        <v>257</v>
      </c>
      <c r="D31" s="31"/>
      <c r="E31" s="30"/>
      <c r="G31" s="31"/>
    </row>
    <row r="32" spans="2:7" x14ac:dyDescent="0.25">
      <c r="B32" s="30"/>
      <c r="C32" s="58"/>
      <c r="D32" s="31"/>
      <c r="E32" s="30"/>
      <c r="G32" s="31"/>
    </row>
    <row r="33" spans="2:7" x14ac:dyDescent="0.25">
      <c r="B33" s="30"/>
      <c r="D33" s="31"/>
      <c r="E33" s="30"/>
      <c r="G33" s="31"/>
    </row>
    <row r="34" spans="2:7" x14ac:dyDescent="0.25">
      <c r="B34" s="30"/>
      <c r="D34" s="31"/>
      <c r="E34" s="30"/>
      <c r="G34" s="31"/>
    </row>
    <row r="35" spans="2:7" x14ac:dyDescent="0.25">
      <c r="B35" s="30"/>
      <c r="D35" s="31"/>
      <c r="E35" s="30"/>
      <c r="G35" s="31"/>
    </row>
    <row r="36" spans="2:7" x14ac:dyDescent="0.25">
      <c r="B36" s="30"/>
      <c r="D36" s="31"/>
      <c r="E36" s="30"/>
      <c r="G36" s="31"/>
    </row>
    <row r="37" spans="2:7" x14ac:dyDescent="0.25">
      <c r="B37" s="30"/>
      <c r="D37" s="31"/>
      <c r="E37" s="30"/>
      <c r="G37" s="31"/>
    </row>
    <row r="38" spans="2:7" x14ac:dyDescent="0.25">
      <c r="B38" s="30"/>
      <c r="D38" s="31"/>
      <c r="E38" s="30"/>
      <c r="G38" s="31"/>
    </row>
    <row r="39" spans="2:7" x14ac:dyDescent="0.25">
      <c r="B39" s="30"/>
      <c r="D39" s="31"/>
      <c r="E39" s="30"/>
      <c r="G39" s="31"/>
    </row>
    <row r="40" spans="2:7" x14ac:dyDescent="0.25">
      <c r="B40" s="30"/>
      <c r="D40" s="31"/>
      <c r="E40" s="30"/>
      <c r="G40" s="31"/>
    </row>
    <row r="41" spans="2:7" x14ac:dyDescent="0.25">
      <c r="B41" s="30"/>
      <c r="D41" s="31"/>
      <c r="E41" s="30"/>
      <c r="G41" s="31"/>
    </row>
    <row r="42" spans="2:7" x14ac:dyDescent="0.25">
      <c r="B42" s="30"/>
      <c r="D42" s="31"/>
      <c r="E42" s="30"/>
      <c r="G42" s="31"/>
    </row>
    <row r="43" spans="2:7" x14ac:dyDescent="0.25">
      <c r="B43" s="30"/>
      <c r="D43" s="31"/>
      <c r="E43" s="30"/>
      <c r="G43" s="31"/>
    </row>
    <row r="44" spans="2:7" x14ac:dyDescent="0.25">
      <c r="B44" s="30"/>
      <c r="D44" s="31"/>
      <c r="E44" s="30"/>
      <c r="G44" s="31"/>
    </row>
    <row r="45" spans="2:7" x14ac:dyDescent="0.25">
      <c r="B45" s="30"/>
      <c r="D45" s="31"/>
      <c r="E45" s="30"/>
      <c r="G45" s="31"/>
    </row>
    <row r="46" spans="2:7" x14ac:dyDescent="0.25">
      <c r="B46" s="30"/>
      <c r="D46" s="31"/>
      <c r="E46" s="30"/>
      <c r="G46" s="31"/>
    </row>
    <row r="47" spans="2:7" x14ac:dyDescent="0.25">
      <c r="B47" s="30"/>
      <c r="D47" s="31"/>
      <c r="E47" s="30"/>
      <c r="G47" s="31"/>
    </row>
    <row r="48" spans="2:7" x14ac:dyDescent="0.25">
      <c r="B48" s="30"/>
      <c r="D48" s="31"/>
      <c r="E48" s="30"/>
      <c r="G48" s="31"/>
    </row>
    <row r="49" spans="2:7" x14ac:dyDescent="0.25">
      <c r="B49" s="32"/>
      <c r="C49" s="33"/>
      <c r="D49" s="34"/>
      <c r="E49" s="32"/>
      <c r="F49" s="33"/>
      <c r="G49" s="34"/>
    </row>
  </sheetData>
  <mergeCells count="13">
    <mergeCell ref="B28:G29"/>
    <mergeCell ref="B1:D2"/>
    <mergeCell ref="E1:F2"/>
    <mergeCell ref="G1:G2"/>
    <mergeCell ref="B3:F4"/>
    <mergeCell ref="G3:G4"/>
    <mergeCell ref="B5:B14"/>
    <mergeCell ref="C10:G10"/>
    <mergeCell ref="B15:G16"/>
    <mergeCell ref="B17:F18"/>
    <mergeCell ref="G17:G18"/>
    <mergeCell ref="B19:B27"/>
    <mergeCell ref="C24:G24"/>
  </mergeCells>
  <pageMargins left="0.25" right="0.25" top="0.75" bottom="0.75" header="0.3" footer="0.3"/>
  <pageSetup paperSize="9" orientation="portrait" r:id="rId1"/>
  <headerFooter>
    <oddFooter>&amp;R&amp;"Century Gothic,Standard"&amp;9itm I &amp;D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F7820-2C2C-428D-95A4-52032B1969B7}">
  <dimension ref="B1:K126"/>
  <sheetViews>
    <sheetView zoomScaleNormal="100" workbookViewId="0">
      <selection activeCell="B4" sqref="B4:F14"/>
    </sheetView>
  </sheetViews>
  <sheetFormatPr baseColWidth="10" defaultColWidth="11.42578125" defaultRowHeight="15" x14ac:dyDescent="0.25"/>
  <cols>
    <col min="1" max="1" width="2.85546875" customWidth="1"/>
    <col min="2" max="2" width="14.85546875" customWidth="1"/>
    <col min="3" max="5" width="16.28515625" customWidth="1"/>
    <col min="6" max="6" width="27.140625" customWidth="1"/>
    <col min="7" max="7" width="2.85546875" customWidth="1"/>
  </cols>
  <sheetData>
    <row r="1" spans="2:6" x14ac:dyDescent="0.25">
      <c r="B1" s="486" t="s">
        <v>261</v>
      </c>
      <c r="C1" s="487"/>
      <c r="D1" s="487"/>
      <c r="E1" s="488"/>
      <c r="F1" s="489"/>
    </row>
    <row r="2" spans="2:6" x14ac:dyDescent="0.25">
      <c r="B2" s="490"/>
      <c r="C2" s="491"/>
      <c r="D2" s="491"/>
      <c r="E2" s="492"/>
      <c r="F2" s="493"/>
    </row>
    <row r="3" spans="2:6" ht="12.75" customHeight="1" x14ac:dyDescent="0.25">
      <c r="C3" s="104"/>
      <c r="D3" s="104"/>
      <c r="E3" s="104"/>
      <c r="F3" s="104"/>
    </row>
    <row r="4" spans="2:6" x14ac:dyDescent="0.25">
      <c r="B4" s="475" t="s">
        <v>7</v>
      </c>
      <c r="C4" s="477" t="s">
        <v>263</v>
      </c>
      <c r="D4" s="478"/>
      <c r="E4" s="478"/>
      <c r="F4" s="479"/>
    </row>
    <row r="5" spans="2:6" ht="15.75" customHeight="1" x14ac:dyDescent="0.25">
      <c r="B5" s="476"/>
      <c r="C5" s="480"/>
      <c r="D5" s="481"/>
      <c r="E5" s="481"/>
      <c r="F5" s="482"/>
    </row>
    <row r="6" spans="2:6" x14ac:dyDescent="0.25">
      <c r="B6" s="106" t="s">
        <v>260</v>
      </c>
      <c r="C6" s="480"/>
      <c r="D6" s="481"/>
      <c r="E6" s="481"/>
      <c r="F6" s="482"/>
    </row>
    <row r="7" spans="2:6" x14ac:dyDescent="0.25">
      <c r="B7" s="105">
        <f>Kompetenzraster!N20</f>
        <v>2</v>
      </c>
      <c r="C7" s="480"/>
      <c r="D7" s="481"/>
      <c r="E7" s="481"/>
      <c r="F7" s="482"/>
    </row>
    <row r="8" spans="2:6" ht="15.75" customHeight="1" x14ac:dyDescent="0.25">
      <c r="B8" s="472"/>
      <c r="C8" s="480"/>
      <c r="D8" s="481"/>
      <c r="E8" s="481"/>
      <c r="F8" s="482"/>
    </row>
    <row r="9" spans="2:6" ht="15.75" customHeight="1" x14ac:dyDescent="0.25">
      <c r="B9" s="473"/>
      <c r="C9" s="480"/>
      <c r="D9" s="481"/>
      <c r="E9" s="481"/>
      <c r="F9" s="482"/>
    </row>
    <row r="10" spans="2:6" ht="15.75" customHeight="1" x14ac:dyDescent="0.25">
      <c r="B10" s="473"/>
      <c r="C10" s="480"/>
      <c r="D10" s="481"/>
      <c r="E10" s="481"/>
      <c r="F10" s="482"/>
    </row>
    <row r="11" spans="2:6" ht="15.75" customHeight="1" x14ac:dyDescent="0.25">
      <c r="B11" s="473"/>
      <c r="C11" s="480"/>
      <c r="D11" s="481"/>
      <c r="E11" s="481"/>
      <c r="F11" s="482"/>
    </row>
    <row r="12" spans="2:6" x14ac:dyDescent="0.25">
      <c r="B12" s="473"/>
      <c r="C12" s="480"/>
      <c r="D12" s="481"/>
      <c r="E12" s="481"/>
      <c r="F12" s="482"/>
    </row>
    <row r="13" spans="2:6" x14ac:dyDescent="0.25">
      <c r="B13" s="473"/>
      <c r="C13" s="480"/>
      <c r="D13" s="481"/>
      <c r="E13" s="481"/>
      <c r="F13" s="482"/>
    </row>
    <row r="14" spans="2:6" ht="15.75" customHeight="1" x14ac:dyDescent="0.25">
      <c r="B14" s="474"/>
      <c r="C14" s="483"/>
      <c r="D14" s="484"/>
      <c r="E14" s="484"/>
      <c r="F14" s="485"/>
    </row>
    <row r="15" spans="2:6" x14ac:dyDescent="0.25">
      <c r="B15" s="475" t="s">
        <v>8</v>
      </c>
      <c r="C15" s="477" t="s">
        <v>264</v>
      </c>
      <c r="D15" s="478"/>
      <c r="E15" s="478"/>
      <c r="F15" s="479"/>
    </row>
    <row r="16" spans="2:6" x14ac:dyDescent="0.25">
      <c r="B16" s="476"/>
      <c r="C16" s="480"/>
      <c r="D16" s="481"/>
      <c r="E16" s="481"/>
      <c r="F16" s="482"/>
    </row>
    <row r="17" spans="2:6" x14ac:dyDescent="0.25">
      <c r="B17" s="106" t="s">
        <v>260</v>
      </c>
      <c r="C17" s="480"/>
      <c r="D17" s="481"/>
      <c r="E17" s="481"/>
      <c r="F17" s="482"/>
    </row>
    <row r="18" spans="2:6" x14ac:dyDescent="0.25">
      <c r="B18" s="105">
        <f>Kompetenzraster!N21</f>
        <v>3</v>
      </c>
      <c r="C18" s="480"/>
      <c r="D18" s="481"/>
      <c r="E18" s="481"/>
      <c r="F18" s="482"/>
    </row>
    <row r="19" spans="2:6" x14ac:dyDescent="0.25">
      <c r="B19" s="472"/>
      <c r="C19" s="480"/>
      <c r="D19" s="481"/>
      <c r="E19" s="481"/>
      <c r="F19" s="482"/>
    </row>
    <row r="20" spans="2:6" x14ac:dyDescent="0.25">
      <c r="B20" s="473"/>
      <c r="C20" s="480"/>
      <c r="D20" s="481"/>
      <c r="E20" s="481"/>
      <c r="F20" s="482"/>
    </row>
    <row r="21" spans="2:6" x14ac:dyDescent="0.25">
      <c r="B21" s="473"/>
      <c r="C21" s="480"/>
      <c r="D21" s="481"/>
      <c r="E21" s="481"/>
      <c r="F21" s="482"/>
    </row>
    <row r="22" spans="2:6" x14ac:dyDescent="0.25">
      <c r="B22" s="473"/>
      <c r="C22" s="480"/>
      <c r="D22" s="481"/>
      <c r="E22" s="481"/>
      <c r="F22" s="482"/>
    </row>
    <row r="23" spans="2:6" x14ac:dyDescent="0.25">
      <c r="B23" s="473"/>
      <c r="C23" s="480"/>
      <c r="D23" s="481"/>
      <c r="E23" s="481"/>
      <c r="F23" s="482"/>
    </row>
    <row r="24" spans="2:6" x14ac:dyDescent="0.25">
      <c r="B24" s="473"/>
      <c r="C24" s="480"/>
      <c r="D24" s="481"/>
      <c r="E24" s="481"/>
      <c r="F24" s="482"/>
    </row>
    <row r="25" spans="2:6" x14ac:dyDescent="0.25">
      <c r="B25" s="473"/>
      <c r="C25" s="480"/>
      <c r="D25" s="481"/>
      <c r="E25" s="481"/>
      <c r="F25" s="482"/>
    </row>
    <row r="26" spans="2:6" x14ac:dyDescent="0.25">
      <c r="B26" s="473"/>
      <c r="C26" s="480"/>
      <c r="D26" s="481"/>
      <c r="E26" s="481"/>
      <c r="F26" s="482"/>
    </row>
    <row r="27" spans="2:6" x14ac:dyDescent="0.25">
      <c r="B27" s="473"/>
      <c r="C27" s="480"/>
      <c r="D27" s="481"/>
      <c r="E27" s="481"/>
      <c r="F27" s="482"/>
    </row>
    <row r="28" spans="2:6" x14ac:dyDescent="0.25">
      <c r="B28" s="473"/>
      <c r="C28" s="480"/>
      <c r="D28" s="481"/>
      <c r="E28" s="481"/>
      <c r="F28" s="482"/>
    </row>
    <row r="29" spans="2:6" x14ac:dyDescent="0.25">
      <c r="B29" s="474"/>
      <c r="C29" s="483"/>
      <c r="D29" s="484"/>
      <c r="E29" s="484"/>
      <c r="F29" s="485"/>
    </row>
    <row r="30" spans="2:6" ht="15" customHeight="1" x14ac:dyDescent="0.25">
      <c r="B30" s="475" t="s">
        <v>9</v>
      </c>
      <c r="C30" s="477" t="s">
        <v>265</v>
      </c>
      <c r="D30" s="478"/>
      <c r="E30" s="478"/>
      <c r="F30" s="479"/>
    </row>
    <row r="31" spans="2:6" x14ac:dyDescent="0.25">
      <c r="B31" s="476"/>
      <c r="C31" s="480"/>
      <c r="D31" s="481"/>
      <c r="E31" s="481"/>
      <c r="F31" s="482"/>
    </row>
    <row r="32" spans="2:6" x14ac:dyDescent="0.25">
      <c r="B32" s="106" t="s">
        <v>260</v>
      </c>
      <c r="C32" s="480"/>
      <c r="D32" s="481"/>
      <c r="E32" s="481"/>
      <c r="F32" s="482"/>
    </row>
    <row r="33" spans="2:6" x14ac:dyDescent="0.25">
      <c r="B33" s="105">
        <f>Kompetenzraster!N22</f>
        <v>1</v>
      </c>
      <c r="C33" s="480"/>
      <c r="D33" s="481"/>
      <c r="E33" s="481"/>
      <c r="F33" s="482"/>
    </row>
    <row r="34" spans="2:6" x14ac:dyDescent="0.25">
      <c r="B34" s="472"/>
      <c r="C34" s="480"/>
      <c r="D34" s="481"/>
      <c r="E34" s="481"/>
      <c r="F34" s="482"/>
    </row>
    <row r="35" spans="2:6" x14ac:dyDescent="0.25">
      <c r="B35" s="473"/>
      <c r="C35" s="480"/>
      <c r="D35" s="481"/>
      <c r="E35" s="481"/>
      <c r="F35" s="482"/>
    </row>
    <row r="36" spans="2:6" x14ac:dyDescent="0.25">
      <c r="B36" s="473"/>
      <c r="C36" s="480"/>
      <c r="D36" s="481"/>
      <c r="E36" s="481"/>
      <c r="F36" s="482"/>
    </row>
    <row r="37" spans="2:6" x14ac:dyDescent="0.25">
      <c r="B37" s="473"/>
      <c r="C37" s="480"/>
      <c r="D37" s="481"/>
      <c r="E37" s="481"/>
      <c r="F37" s="482"/>
    </row>
    <row r="38" spans="2:6" x14ac:dyDescent="0.25">
      <c r="B38" s="473"/>
      <c r="C38" s="480"/>
      <c r="D38" s="481"/>
      <c r="E38" s="481"/>
      <c r="F38" s="482"/>
    </row>
    <row r="39" spans="2:6" x14ac:dyDescent="0.25">
      <c r="B39" s="473"/>
      <c r="C39" s="480"/>
      <c r="D39" s="481"/>
      <c r="E39" s="481"/>
      <c r="F39" s="482"/>
    </row>
    <row r="40" spans="2:6" x14ac:dyDescent="0.25">
      <c r="B40" s="473"/>
      <c r="C40" s="480"/>
      <c r="D40" s="481"/>
      <c r="E40" s="481"/>
      <c r="F40" s="482"/>
    </row>
    <row r="41" spans="2:6" x14ac:dyDescent="0.25">
      <c r="B41" s="473"/>
      <c r="C41" s="480"/>
      <c r="D41" s="481"/>
      <c r="E41" s="481"/>
      <c r="F41" s="482"/>
    </row>
    <row r="42" spans="2:6" x14ac:dyDescent="0.25">
      <c r="B42" s="473"/>
      <c r="C42" s="480"/>
      <c r="D42" s="481"/>
      <c r="E42" s="481"/>
      <c r="F42" s="482"/>
    </row>
    <row r="43" spans="2:6" x14ac:dyDescent="0.25">
      <c r="B43" s="474"/>
      <c r="C43" s="483"/>
      <c r="D43" s="484"/>
      <c r="E43" s="484"/>
      <c r="F43" s="485"/>
    </row>
    <row r="44" spans="2:6" x14ac:dyDescent="0.25">
      <c r="B44" s="475" t="s">
        <v>31</v>
      </c>
      <c r="C44" s="477" t="s">
        <v>266</v>
      </c>
      <c r="D44" s="478"/>
      <c r="E44" s="478"/>
      <c r="F44" s="479"/>
    </row>
    <row r="45" spans="2:6" x14ac:dyDescent="0.25">
      <c r="B45" s="476"/>
      <c r="C45" s="480"/>
      <c r="D45" s="481"/>
      <c r="E45" s="481"/>
      <c r="F45" s="482"/>
    </row>
    <row r="46" spans="2:6" x14ac:dyDescent="0.25">
      <c r="B46" s="106" t="s">
        <v>260</v>
      </c>
      <c r="C46" s="480"/>
      <c r="D46" s="481"/>
      <c r="E46" s="481"/>
      <c r="F46" s="482"/>
    </row>
    <row r="47" spans="2:6" x14ac:dyDescent="0.25">
      <c r="B47" s="105">
        <f>Kompetenzraster!N27</f>
        <v>1.5</v>
      </c>
      <c r="C47" s="480"/>
      <c r="D47" s="481"/>
      <c r="E47" s="481"/>
      <c r="F47" s="482"/>
    </row>
    <row r="48" spans="2:6" x14ac:dyDescent="0.25">
      <c r="B48" s="472"/>
      <c r="C48" s="480"/>
      <c r="D48" s="481"/>
      <c r="E48" s="481"/>
      <c r="F48" s="482"/>
    </row>
    <row r="49" spans="2:6" x14ac:dyDescent="0.25">
      <c r="B49" s="473"/>
      <c r="C49" s="480"/>
      <c r="D49" s="481"/>
      <c r="E49" s="481"/>
      <c r="F49" s="482"/>
    </row>
    <row r="50" spans="2:6" x14ac:dyDescent="0.25">
      <c r="B50" s="473"/>
      <c r="C50" s="480"/>
      <c r="D50" s="481"/>
      <c r="E50" s="481"/>
      <c r="F50" s="482"/>
    </row>
    <row r="51" spans="2:6" x14ac:dyDescent="0.25">
      <c r="B51" s="473"/>
      <c r="C51" s="480"/>
      <c r="D51" s="481"/>
      <c r="E51" s="481"/>
      <c r="F51" s="482"/>
    </row>
    <row r="52" spans="2:6" x14ac:dyDescent="0.25">
      <c r="B52" s="473"/>
      <c r="C52" s="480"/>
      <c r="D52" s="481"/>
      <c r="E52" s="481"/>
      <c r="F52" s="482"/>
    </row>
    <row r="53" spans="2:6" x14ac:dyDescent="0.25">
      <c r="B53" s="473"/>
      <c r="C53" s="480"/>
      <c r="D53" s="481"/>
      <c r="E53" s="481"/>
      <c r="F53" s="482"/>
    </row>
    <row r="54" spans="2:6" x14ac:dyDescent="0.25">
      <c r="B54" s="474"/>
      <c r="C54" s="483"/>
      <c r="D54" s="484"/>
      <c r="E54" s="484"/>
      <c r="F54" s="485"/>
    </row>
    <row r="55" spans="2:6" x14ac:dyDescent="0.25">
      <c r="B55" s="475" t="s">
        <v>32</v>
      </c>
      <c r="C55" s="477" t="s">
        <v>267</v>
      </c>
      <c r="D55" s="478"/>
      <c r="E55" s="478"/>
      <c r="F55" s="479"/>
    </row>
    <row r="56" spans="2:6" x14ac:dyDescent="0.25">
      <c r="B56" s="476"/>
      <c r="C56" s="480"/>
      <c r="D56" s="481"/>
      <c r="E56" s="481"/>
      <c r="F56" s="482"/>
    </row>
    <row r="57" spans="2:6" x14ac:dyDescent="0.25">
      <c r="B57" s="106" t="s">
        <v>260</v>
      </c>
      <c r="C57" s="480"/>
      <c r="D57" s="481"/>
      <c r="E57" s="481"/>
      <c r="F57" s="482"/>
    </row>
    <row r="58" spans="2:6" x14ac:dyDescent="0.25">
      <c r="B58" s="105">
        <f>[1]Kompetenzraster!N14</f>
        <v>0</v>
      </c>
      <c r="C58" s="480"/>
      <c r="D58" s="481"/>
      <c r="E58" s="481"/>
      <c r="F58" s="482"/>
    </row>
    <row r="59" spans="2:6" x14ac:dyDescent="0.25">
      <c r="B59" s="472"/>
      <c r="C59" s="480"/>
      <c r="D59" s="481"/>
      <c r="E59" s="481"/>
      <c r="F59" s="482"/>
    </row>
    <row r="60" spans="2:6" x14ac:dyDescent="0.25">
      <c r="B60" s="473"/>
      <c r="C60" s="480"/>
      <c r="D60" s="481"/>
      <c r="E60" s="481"/>
      <c r="F60" s="482"/>
    </row>
    <row r="61" spans="2:6" x14ac:dyDescent="0.25">
      <c r="B61" s="473"/>
      <c r="C61" s="480"/>
      <c r="D61" s="481"/>
      <c r="E61" s="481"/>
      <c r="F61" s="482"/>
    </row>
    <row r="62" spans="2:6" x14ac:dyDescent="0.25">
      <c r="B62" s="473"/>
      <c r="C62" s="480"/>
      <c r="D62" s="481"/>
      <c r="E62" s="481"/>
      <c r="F62" s="482"/>
    </row>
    <row r="63" spans="2:6" x14ac:dyDescent="0.25">
      <c r="B63" s="473"/>
      <c r="C63" s="480"/>
      <c r="D63" s="481"/>
      <c r="E63" s="481"/>
      <c r="F63" s="482"/>
    </row>
    <row r="64" spans="2:6" x14ac:dyDescent="0.25">
      <c r="B64" s="473"/>
      <c r="C64" s="480"/>
      <c r="D64" s="481"/>
      <c r="E64" s="481"/>
      <c r="F64" s="482"/>
    </row>
    <row r="65" spans="2:6" x14ac:dyDescent="0.25">
      <c r="B65" s="473"/>
      <c r="C65" s="480"/>
      <c r="D65" s="481"/>
      <c r="E65" s="481"/>
      <c r="F65" s="482"/>
    </row>
    <row r="66" spans="2:6" x14ac:dyDescent="0.25">
      <c r="B66" s="473"/>
      <c r="C66" s="480"/>
      <c r="D66" s="481"/>
      <c r="E66" s="481"/>
      <c r="F66" s="482"/>
    </row>
    <row r="67" spans="2:6" x14ac:dyDescent="0.25">
      <c r="B67" s="473"/>
      <c r="C67" s="480"/>
      <c r="D67" s="481"/>
      <c r="E67" s="481"/>
      <c r="F67" s="482"/>
    </row>
    <row r="68" spans="2:6" x14ac:dyDescent="0.25">
      <c r="B68" s="473"/>
      <c r="C68" s="480"/>
      <c r="D68" s="481"/>
      <c r="E68" s="481"/>
      <c r="F68" s="482"/>
    </row>
    <row r="69" spans="2:6" x14ac:dyDescent="0.25">
      <c r="B69" s="473"/>
      <c r="C69" s="480"/>
      <c r="D69" s="481"/>
      <c r="E69" s="481"/>
      <c r="F69" s="482"/>
    </row>
    <row r="70" spans="2:6" x14ac:dyDescent="0.25">
      <c r="B70" s="473"/>
      <c r="C70" s="480"/>
      <c r="D70" s="481"/>
      <c r="E70" s="481"/>
      <c r="F70" s="482"/>
    </row>
    <row r="71" spans="2:6" x14ac:dyDescent="0.25">
      <c r="B71" s="474"/>
      <c r="C71" s="483"/>
      <c r="D71" s="484"/>
      <c r="E71" s="484"/>
      <c r="F71" s="485"/>
    </row>
    <row r="72" spans="2:6" x14ac:dyDescent="0.25">
      <c r="B72" s="475" t="s">
        <v>34</v>
      </c>
      <c r="C72" s="477" t="s">
        <v>268</v>
      </c>
      <c r="D72" s="478"/>
      <c r="E72" s="478"/>
      <c r="F72" s="479"/>
    </row>
    <row r="73" spans="2:6" x14ac:dyDescent="0.25">
      <c r="B73" s="476"/>
      <c r="C73" s="480"/>
      <c r="D73" s="481"/>
      <c r="E73" s="481"/>
      <c r="F73" s="482"/>
    </row>
    <row r="74" spans="2:6" x14ac:dyDescent="0.25">
      <c r="B74" s="106" t="s">
        <v>260</v>
      </c>
      <c r="C74" s="480"/>
      <c r="D74" s="481"/>
      <c r="E74" s="481"/>
      <c r="F74" s="482"/>
    </row>
    <row r="75" spans="2:6" x14ac:dyDescent="0.25">
      <c r="B75" s="105">
        <f>[1]Kompetenzraster!N15</f>
        <v>0</v>
      </c>
      <c r="C75" s="480"/>
      <c r="D75" s="481"/>
      <c r="E75" s="481"/>
      <c r="F75" s="482"/>
    </row>
    <row r="76" spans="2:6" x14ac:dyDescent="0.25">
      <c r="B76" s="472"/>
      <c r="C76" s="480"/>
      <c r="D76" s="481"/>
      <c r="E76" s="481"/>
      <c r="F76" s="482"/>
    </row>
    <row r="77" spans="2:6" x14ac:dyDescent="0.25">
      <c r="B77" s="473"/>
      <c r="C77" s="480"/>
      <c r="D77" s="481"/>
      <c r="E77" s="481"/>
      <c r="F77" s="482"/>
    </row>
    <row r="78" spans="2:6" x14ac:dyDescent="0.25">
      <c r="B78" s="473"/>
      <c r="C78" s="480"/>
      <c r="D78" s="481"/>
      <c r="E78" s="481"/>
      <c r="F78" s="482"/>
    </row>
    <row r="79" spans="2:6" x14ac:dyDescent="0.25">
      <c r="B79" s="473"/>
      <c r="C79" s="480"/>
      <c r="D79" s="481"/>
      <c r="E79" s="481"/>
      <c r="F79" s="482"/>
    </row>
    <row r="80" spans="2:6" x14ac:dyDescent="0.25">
      <c r="B80" s="473"/>
      <c r="C80" s="480"/>
      <c r="D80" s="481"/>
      <c r="E80" s="481"/>
      <c r="F80" s="482"/>
    </row>
    <row r="81" spans="2:6" x14ac:dyDescent="0.25">
      <c r="B81" s="473"/>
      <c r="C81" s="480"/>
      <c r="D81" s="481"/>
      <c r="E81" s="481"/>
      <c r="F81" s="482"/>
    </row>
    <row r="82" spans="2:6" x14ac:dyDescent="0.25">
      <c r="B82" s="473"/>
      <c r="C82" s="480"/>
      <c r="D82" s="481"/>
      <c r="E82" s="481"/>
      <c r="F82" s="482"/>
    </row>
    <row r="83" spans="2:6" x14ac:dyDescent="0.25">
      <c r="B83" s="473"/>
      <c r="C83" s="480"/>
      <c r="D83" s="481"/>
      <c r="E83" s="481"/>
      <c r="F83" s="482"/>
    </row>
    <row r="84" spans="2:6" x14ac:dyDescent="0.25">
      <c r="B84" s="473"/>
      <c r="C84" s="480"/>
      <c r="D84" s="481"/>
      <c r="E84" s="481"/>
      <c r="F84" s="482"/>
    </row>
    <row r="85" spans="2:6" x14ac:dyDescent="0.25">
      <c r="B85" s="473"/>
      <c r="C85" s="480"/>
      <c r="D85" s="481"/>
      <c r="E85" s="481"/>
      <c r="F85" s="482"/>
    </row>
    <row r="86" spans="2:6" x14ac:dyDescent="0.25">
      <c r="B86" s="473"/>
      <c r="C86" s="480"/>
      <c r="D86" s="481"/>
      <c r="E86" s="481"/>
      <c r="F86" s="482"/>
    </row>
    <row r="87" spans="2:6" x14ac:dyDescent="0.25">
      <c r="B87" s="473"/>
      <c r="C87" s="480"/>
      <c r="D87" s="481"/>
      <c r="E87" s="481"/>
      <c r="F87" s="482"/>
    </row>
    <row r="88" spans="2:6" x14ac:dyDescent="0.25">
      <c r="B88" s="474"/>
      <c r="C88" s="483"/>
      <c r="D88" s="484"/>
      <c r="E88" s="484"/>
      <c r="F88" s="485"/>
    </row>
    <row r="89" spans="2:6" x14ac:dyDescent="0.25">
      <c r="B89" s="475" t="s">
        <v>41</v>
      </c>
      <c r="C89" s="477" t="s">
        <v>269</v>
      </c>
      <c r="D89" s="478"/>
      <c r="E89" s="478"/>
      <c r="F89" s="479"/>
    </row>
    <row r="90" spans="2:6" x14ac:dyDescent="0.25">
      <c r="B90" s="476"/>
      <c r="C90" s="480"/>
      <c r="D90" s="481"/>
      <c r="E90" s="481"/>
      <c r="F90" s="482"/>
    </row>
    <row r="91" spans="2:6" x14ac:dyDescent="0.25">
      <c r="B91" s="106" t="s">
        <v>260</v>
      </c>
      <c r="C91" s="480"/>
      <c r="D91" s="481"/>
      <c r="E91" s="481"/>
      <c r="F91" s="482"/>
    </row>
    <row r="92" spans="2:6" x14ac:dyDescent="0.25">
      <c r="B92" s="105">
        <f>Kompetenzraster!N30</f>
        <v>2</v>
      </c>
      <c r="C92" s="480"/>
      <c r="D92" s="481"/>
      <c r="E92" s="481"/>
      <c r="F92" s="482"/>
    </row>
    <row r="93" spans="2:6" x14ac:dyDescent="0.25">
      <c r="B93" s="472"/>
      <c r="C93" s="480"/>
      <c r="D93" s="481"/>
      <c r="E93" s="481"/>
      <c r="F93" s="482"/>
    </row>
    <row r="94" spans="2:6" x14ac:dyDescent="0.25">
      <c r="B94" s="473"/>
      <c r="C94" s="480"/>
      <c r="D94" s="481"/>
      <c r="E94" s="481"/>
      <c r="F94" s="482"/>
    </row>
    <row r="95" spans="2:6" x14ac:dyDescent="0.25">
      <c r="B95" s="473"/>
      <c r="C95" s="480"/>
      <c r="D95" s="481"/>
      <c r="E95" s="481"/>
      <c r="F95" s="482"/>
    </row>
    <row r="96" spans="2:6" x14ac:dyDescent="0.25">
      <c r="B96" s="473"/>
      <c r="C96" s="480"/>
      <c r="D96" s="481"/>
      <c r="E96" s="481"/>
      <c r="F96" s="482"/>
    </row>
    <row r="97" spans="2:6" x14ac:dyDescent="0.25">
      <c r="B97" s="473"/>
      <c r="C97" s="480"/>
      <c r="D97" s="481"/>
      <c r="E97" s="481"/>
      <c r="F97" s="482"/>
    </row>
    <row r="98" spans="2:6" x14ac:dyDescent="0.25">
      <c r="B98" s="473"/>
      <c r="C98" s="480"/>
      <c r="D98" s="481"/>
      <c r="E98" s="481"/>
      <c r="F98" s="482"/>
    </row>
    <row r="99" spans="2:6" x14ac:dyDescent="0.25">
      <c r="B99" s="473"/>
      <c r="C99" s="480"/>
      <c r="D99" s="481"/>
      <c r="E99" s="481"/>
      <c r="F99" s="482"/>
    </row>
    <row r="100" spans="2:6" x14ac:dyDescent="0.25">
      <c r="B100" s="474"/>
      <c r="C100" s="483"/>
      <c r="D100" s="484"/>
      <c r="E100" s="484"/>
      <c r="F100" s="485"/>
    </row>
    <row r="101" spans="2:6" x14ac:dyDescent="0.25">
      <c r="B101" s="475" t="s">
        <v>44</v>
      </c>
      <c r="C101" s="477" t="s">
        <v>270</v>
      </c>
      <c r="D101" s="478"/>
      <c r="E101" s="478"/>
      <c r="F101" s="479"/>
    </row>
    <row r="102" spans="2:6" x14ac:dyDescent="0.25">
      <c r="B102" s="476"/>
      <c r="C102" s="480"/>
      <c r="D102" s="481"/>
      <c r="E102" s="481"/>
      <c r="F102" s="482"/>
    </row>
    <row r="103" spans="2:6" x14ac:dyDescent="0.25">
      <c r="B103" s="106" t="s">
        <v>260</v>
      </c>
      <c r="C103" s="480"/>
      <c r="D103" s="481"/>
      <c r="E103" s="481"/>
      <c r="F103" s="482"/>
    </row>
    <row r="104" spans="2:6" x14ac:dyDescent="0.25">
      <c r="B104" s="105">
        <f>Kompetenzraster!N31</f>
        <v>2</v>
      </c>
      <c r="C104" s="480"/>
      <c r="D104" s="481"/>
      <c r="E104" s="481"/>
      <c r="F104" s="482"/>
    </row>
    <row r="105" spans="2:6" x14ac:dyDescent="0.25">
      <c r="B105" s="472"/>
      <c r="C105" s="480"/>
      <c r="D105" s="481"/>
      <c r="E105" s="481"/>
      <c r="F105" s="482"/>
    </row>
    <row r="106" spans="2:6" x14ac:dyDescent="0.25">
      <c r="B106" s="473"/>
      <c r="C106" s="480"/>
      <c r="D106" s="481"/>
      <c r="E106" s="481"/>
      <c r="F106" s="482"/>
    </row>
    <row r="107" spans="2:6" x14ac:dyDescent="0.25">
      <c r="B107" s="473"/>
      <c r="C107" s="480"/>
      <c r="D107" s="481"/>
      <c r="E107" s="481"/>
      <c r="F107" s="482"/>
    </row>
    <row r="108" spans="2:6" x14ac:dyDescent="0.25">
      <c r="B108" s="473"/>
      <c r="C108" s="480"/>
      <c r="D108" s="481"/>
      <c r="E108" s="481"/>
      <c r="F108" s="482"/>
    </row>
    <row r="109" spans="2:6" x14ac:dyDescent="0.25">
      <c r="B109" s="473"/>
      <c r="C109" s="480"/>
      <c r="D109" s="481"/>
      <c r="E109" s="481"/>
      <c r="F109" s="482"/>
    </row>
    <row r="110" spans="2:6" x14ac:dyDescent="0.25">
      <c r="B110" s="473"/>
      <c r="C110" s="480"/>
      <c r="D110" s="481"/>
      <c r="E110" s="481"/>
      <c r="F110" s="482"/>
    </row>
    <row r="111" spans="2:6" x14ac:dyDescent="0.25">
      <c r="B111" s="473"/>
      <c r="C111" s="480"/>
      <c r="D111" s="481"/>
      <c r="E111" s="481"/>
      <c r="F111" s="482"/>
    </row>
    <row r="112" spans="2:6" x14ac:dyDescent="0.25">
      <c r="B112" s="473"/>
      <c r="C112" s="480"/>
      <c r="D112" s="481"/>
      <c r="E112" s="481"/>
      <c r="F112" s="482"/>
    </row>
    <row r="113" spans="2:11" x14ac:dyDescent="0.25">
      <c r="B113" s="474"/>
      <c r="C113" s="483"/>
      <c r="D113" s="484"/>
      <c r="E113" s="484"/>
      <c r="F113" s="485"/>
    </row>
    <row r="114" spans="2:11" x14ac:dyDescent="0.25">
      <c r="B114" s="475" t="s">
        <v>45</v>
      </c>
      <c r="C114" s="477" t="s">
        <v>271</v>
      </c>
      <c r="D114" s="478"/>
      <c r="E114" s="478"/>
      <c r="F114" s="479"/>
    </row>
    <row r="115" spans="2:11" x14ac:dyDescent="0.25">
      <c r="B115" s="476"/>
      <c r="C115" s="480"/>
      <c r="D115" s="481"/>
      <c r="E115" s="481"/>
      <c r="F115" s="482"/>
    </row>
    <row r="116" spans="2:11" x14ac:dyDescent="0.25">
      <c r="B116" s="106" t="s">
        <v>260</v>
      </c>
      <c r="C116" s="480"/>
      <c r="D116" s="481"/>
      <c r="E116" s="481"/>
      <c r="F116" s="482"/>
      <c r="K116" s="107"/>
    </row>
    <row r="117" spans="2:11" x14ac:dyDescent="0.25">
      <c r="B117" s="105">
        <f>Kompetenzraster!N23</f>
        <v>1</v>
      </c>
      <c r="C117" s="480"/>
      <c r="D117" s="481"/>
      <c r="E117" s="481"/>
      <c r="F117" s="482"/>
    </row>
    <row r="118" spans="2:11" x14ac:dyDescent="0.25">
      <c r="B118" s="472"/>
      <c r="C118" s="480"/>
      <c r="D118" s="481"/>
      <c r="E118" s="481"/>
      <c r="F118" s="482"/>
    </row>
    <row r="119" spans="2:11" x14ac:dyDescent="0.25">
      <c r="B119" s="473"/>
      <c r="C119" s="480"/>
      <c r="D119" s="481"/>
      <c r="E119" s="481"/>
      <c r="F119" s="482"/>
    </row>
    <row r="120" spans="2:11" x14ac:dyDescent="0.25">
      <c r="B120" s="473"/>
      <c r="C120" s="480"/>
      <c r="D120" s="481"/>
      <c r="E120" s="481"/>
      <c r="F120" s="482"/>
    </row>
    <row r="121" spans="2:11" x14ac:dyDescent="0.25">
      <c r="B121" s="473"/>
      <c r="C121" s="480"/>
      <c r="D121" s="481"/>
      <c r="E121" s="481"/>
      <c r="F121" s="482"/>
    </row>
    <row r="122" spans="2:11" x14ac:dyDescent="0.25">
      <c r="B122" s="473"/>
      <c r="C122" s="480"/>
      <c r="D122" s="481"/>
      <c r="E122" s="481"/>
      <c r="F122" s="482"/>
    </row>
    <row r="123" spans="2:11" x14ac:dyDescent="0.25">
      <c r="B123" s="473"/>
      <c r="C123" s="480"/>
      <c r="D123" s="481"/>
      <c r="E123" s="481"/>
      <c r="F123" s="482"/>
    </row>
    <row r="124" spans="2:11" x14ac:dyDescent="0.25">
      <c r="B124" s="473"/>
      <c r="C124" s="480"/>
      <c r="D124" s="481"/>
      <c r="E124" s="481"/>
      <c r="F124" s="482"/>
    </row>
    <row r="125" spans="2:11" x14ac:dyDescent="0.25">
      <c r="B125" s="473"/>
      <c r="C125" s="480"/>
      <c r="D125" s="481"/>
      <c r="E125" s="481"/>
      <c r="F125" s="482"/>
    </row>
    <row r="126" spans="2:11" x14ac:dyDescent="0.25">
      <c r="B126" s="474"/>
      <c r="C126" s="483"/>
      <c r="D126" s="484"/>
      <c r="E126" s="484"/>
      <c r="F126" s="485"/>
    </row>
  </sheetData>
  <mergeCells count="28">
    <mergeCell ref="B1:F2"/>
    <mergeCell ref="B4:B5"/>
    <mergeCell ref="C4:F14"/>
    <mergeCell ref="B15:B16"/>
    <mergeCell ref="C15:F29"/>
    <mergeCell ref="C30:F43"/>
    <mergeCell ref="B44:B45"/>
    <mergeCell ref="C44:F54"/>
    <mergeCell ref="B72:B73"/>
    <mergeCell ref="C72:F88"/>
    <mergeCell ref="B55:B56"/>
    <mergeCell ref="C55:F71"/>
    <mergeCell ref="B118:B126"/>
    <mergeCell ref="B114:B115"/>
    <mergeCell ref="C114:F126"/>
    <mergeCell ref="B8:B14"/>
    <mergeCell ref="B19:B29"/>
    <mergeCell ref="B34:B43"/>
    <mergeCell ref="B48:B54"/>
    <mergeCell ref="B59:B71"/>
    <mergeCell ref="B76:B88"/>
    <mergeCell ref="B93:B100"/>
    <mergeCell ref="B89:B90"/>
    <mergeCell ref="C89:F100"/>
    <mergeCell ref="B101:B102"/>
    <mergeCell ref="C101:F113"/>
    <mergeCell ref="B105:B113"/>
    <mergeCell ref="B30:B31"/>
  </mergeCells>
  <pageMargins left="0.25" right="0.25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s_Teacher_Only_SectionGroup xmlns="550b22fb-13da-4cf5-969f-c4932bbd4a2b" xsi:nil="true"/>
    <FolderType xmlns="550b22fb-13da-4cf5-969f-c4932bbd4a2b" xsi:nil="true"/>
    <Invited_Teachers xmlns="550b22fb-13da-4cf5-969f-c4932bbd4a2b" xsi:nil="true"/>
    <Invited_Students xmlns="550b22fb-13da-4cf5-969f-c4932bbd4a2b" xsi:nil="true"/>
    <IsNotebookLocked xmlns="550b22fb-13da-4cf5-969f-c4932bbd4a2b" xsi:nil="true"/>
    <Self_Registration_Enabled xmlns="550b22fb-13da-4cf5-969f-c4932bbd4a2b" xsi:nil="true"/>
    <Teachers xmlns="550b22fb-13da-4cf5-969f-c4932bbd4a2b">
      <UserInfo>
        <DisplayName/>
        <AccountId xsi:nil="true"/>
        <AccountType/>
      </UserInfo>
    </Teachers>
    <Is_Collaboration_Space_Locked xmlns="550b22fb-13da-4cf5-969f-c4932bbd4a2b" xsi:nil="true"/>
    <CultureName xmlns="550b22fb-13da-4cf5-969f-c4932bbd4a2b" xsi:nil="true"/>
    <Templates xmlns="550b22fb-13da-4cf5-969f-c4932bbd4a2b" xsi:nil="true"/>
    <NotebookType xmlns="550b22fb-13da-4cf5-969f-c4932bbd4a2b" xsi:nil="true"/>
    <Student_Groups xmlns="550b22fb-13da-4cf5-969f-c4932bbd4a2b">
      <UserInfo>
        <DisplayName/>
        <AccountId xsi:nil="true"/>
        <AccountType/>
      </UserInfo>
    </Student_Groups>
    <TeamsChannelId xmlns="550b22fb-13da-4cf5-969f-c4932bbd4a2b" xsi:nil="true"/>
    <Math_Settings xmlns="550b22fb-13da-4cf5-969f-c4932bbd4a2b" xsi:nil="true"/>
    <Owner xmlns="550b22fb-13da-4cf5-969f-c4932bbd4a2b">
      <UserInfo>
        <DisplayName/>
        <AccountId xsi:nil="true"/>
        <AccountType/>
      </UserInfo>
    </Owner>
    <Students xmlns="550b22fb-13da-4cf5-969f-c4932bbd4a2b">
      <UserInfo>
        <DisplayName/>
        <AccountId xsi:nil="true"/>
        <AccountType/>
      </UserInfo>
    </Students>
    <Distribution_Groups xmlns="550b22fb-13da-4cf5-969f-c4932bbd4a2b" xsi:nil="true"/>
    <AppVersion xmlns="550b22fb-13da-4cf5-969f-c4932bbd4a2b" xsi:nil="true"/>
    <LMS_Mappings xmlns="550b22fb-13da-4cf5-969f-c4932bbd4a2b" xsi:nil="true"/>
    <DefaultSectionNames xmlns="550b22fb-13da-4cf5-969f-c4932bbd4a2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7C54C6B4757CD47A3EC38904B6DF68F" ma:contentTypeVersion="31" ma:contentTypeDescription="Ein neues Dokument erstellen." ma:contentTypeScope="" ma:versionID="378ca918972306f8bcea32dcee92943e">
  <xsd:schema xmlns:xsd="http://www.w3.org/2001/XMLSchema" xmlns:xs="http://www.w3.org/2001/XMLSchema" xmlns:p="http://schemas.microsoft.com/office/2006/metadata/properties" xmlns:ns3="550b22fb-13da-4cf5-969f-c4932bbd4a2b" xmlns:ns4="e6d905db-4f59-4a3b-930f-acb1d61e4a6c" targetNamespace="http://schemas.microsoft.com/office/2006/metadata/properties" ma:root="true" ma:fieldsID="f6b321631842e57c4f471f5baaeb880f" ns3:_="" ns4:_="">
    <xsd:import namespace="550b22fb-13da-4cf5-969f-c4932bbd4a2b"/>
    <xsd:import namespace="e6d905db-4f59-4a3b-930f-acb1d61e4a6c"/>
    <xsd:element name="properties">
      <xsd:complexType>
        <xsd:sequence>
          <xsd:element name="documentManagement">
            <xsd:complexType>
              <xsd:all>
                <xsd:element ref="ns3:NotebookType" minOccurs="0"/>
                <xsd:element ref="ns3:FolderType" minOccurs="0"/>
                <xsd:element ref="ns3:Owner" minOccurs="0"/>
                <xsd:element ref="ns3:DefaultSectionNames" minOccurs="0"/>
                <xsd:element ref="ns3:Templates" minOccurs="0"/>
                <xsd:element ref="ns3:CultureName" minOccurs="0"/>
                <xsd:element ref="ns3:AppVersion" minOccurs="0"/>
                <xsd:element ref="ns3:Teachers" minOccurs="0"/>
                <xsd:element ref="ns3:Students" minOccurs="0"/>
                <xsd:element ref="ns3:Student_Groups" minOccurs="0"/>
                <xsd:element ref="ns3:Invited_Teachers" minOccurs="0"/>
                <xsd:element ref="ns3:Invited_Students" minOccurs="0"/>
                <xsd:element ref="ns3:Self_Registration_Enabled" minOccurs="0"/>
                <xsd:element ref="ns3:Has_Teacher_Only_SectionGroup" minOccurs="0"/>
                <xsd:element ref="ns3:Is_Collaboration_Space_Locked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TeamsChannelId" minOccurs="0"/>
                <xsd:element ref="ns3:IsNotebookLocked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ath_Settings" minOccurs="0"/>
                <xsd:element ref="ns3:MediaServiceGenerationTime" minOccurs="0"/>
                <xsd:element ref="ns3:MediaServiceEventHashCode" minOccurs="0"/>
                <xsd:element ref="ns3:Distribution_Groups" minOccurs="0"/>
                <xsd:element ref="ns3:LMS_Mappin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0b22fb-13da-4cf5-969f-c4932bbd4a2b" elementFormDefault="qualified">
    <xsd:import namespace="http://schemas.microsoft.com/office/2006/documentManagement/types"/>
    <xsd:import namespace="http://schemas.microsoft.com/office/infopath/2007/PartnerControls"/>
    <xsd:element name="NotebookType" ma:index="8" nillable="true" ma:displayName="Notebook Type" ma:internalName="NotebookType">
      <xsd:simpleType>
        <xsd:restriction base="dms:Text"/>
      </xsd:simpleType>
    </xsd:element>
    <xsd:element name="FolderType" ma:index="9" nillable="true" ma:displayName="Folder Type" ma:internalName="FolderType">
      <xsd:simpleType>
        <xsd:restriction base="dms:Text"/>
      </xsd:simpleType>
    </xsd:element>
    <xsd:element name="Owner" ma:index="10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efaultSectionNames" ma:index="11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2" nillable="true" ma:displayName="Templates" ma:internalName="Templates">
      <xsd:simpleType>
        <xsd:restriction base="dms:Note">
          <xsd:maxLength value="255"/>
        </xsd:restriction>
      </xsd:simpleType>
    </xsd:element>
    <xsd:element name="CultureName" ma:index="13" nillable="true" ma:displayName="Culture Name" ma:internalName="CultureName">
      <xsd:simpleType>
        <xsd:restriction base="dms:Text"/>
      </xsd:simpleType>
    </xsd:element>
    <xsd:element name="AppVersion" ma:index="14" nillable="true" ma:displayName="App Version" ma:internalName="AppVersion">
      <xsd:simpleType>
        <xsd:restriction base="dms:Text"/>
      </xsd:simpleType>
    </xsd:element>
    <xsd:element name="Teachers" ma:index="15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16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17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nvited_Teachers" ma:index="18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19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20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21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22" nillable="true" ma:displayName="Is Collaboration Space Locked" ma:internalName="Is_Collaboration_Space_Locked">
      <xsd:simpleType>
        <xsd:restriction base="dms:Boolean"/>
      </xsd:simpleType>
    </xsd:element>
    <xsd:element name="MediaServiceMetadata" ma:index="2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7" nillable="true" ma:displayName="MediaServiceFastMetadata" ma:hidden="true" ma:internalName="MediaServiceFastMetadata" ma:readOnly="true">
      <xsd:simpleType>
        <xsd:restriction base="dms:Note"/>
      </xsd:simpleType>
    </xsd:element>
    <xsd:element name="TeamsChannelId" ma:index="28" nillable="true" ma:displayName="Teams Channel Id" ma:internalName="TeamsChannelId">
      <xsd:simpleType>
        <xsd:restriction base="dms:Text"/>
      </xsd:simpleType>
    </xsd:element>
    <xsd:element name="IsNotebookLocked" ma:index="29" nillable="true" ma:displayName="Is Notebook Locked" ma:internalName="IsNotebookLocked">
      <xsd:simpleType>
        <xsd:restriction base="dms:Boolean"/>
      </xsd:simpleType>
    </xsd:element>
    <xsd:element name="MediaServiceAutoTags" ma:index="30" nillable="true" ma:displayName="MediaServiceAutoTags" ma:internalName="MediaServiceAutoTags" ma:readOnly="true">
      <xsd:simpleType>
        <xsd:restriction base="dms:Text"/>
      </xsd:simpleType>
    </xsd:element>
    <xsd:element name="MediaServiceOCR" ma:index="3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3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33" nillable="true" ma:displayName="Location" ma:internalName="MediaServiceLocation" ma:readOnly="true">
      <xsd:simpleType>
        <xsd:restriction base="dms:Text"/>
      </xsd:simpleType>
    </xsd:element>
    <xsd:element name="Math_Settings" ma:index="34" nillable="true" ma:displayName="Math Settings" ma:internalName="Math_Settings">
      <xsd:simpleType>
        <xsd:restriction base="dms:Text"/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Distribution_Groups" ma:index="37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8" nillable="true" ma:displayName="LMS Mappings" ma:internalName="LMS_Mapping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d905db-4f59-4a3b-930f-acb1d61e4a6c" elementFormDefault="qualified">
    <xsd:import namespace="http://schemas.microsoft.com/office/2006/documentManagement/types"/>
    <xsd:import namespace="http://schemas.microsoft.com/office/infopath/2007/PartnerControls"/>
    <xsd:element name="SharedWithUsers" ma:index="23" nillable="true" ma:displayName="Freigegeben für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4" nillable="true" ma:displayName="Freigegeben für -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5" nillable="true" ma:displayName="Freigabehinweishash" ma:description="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4F57DC-141E-4AB1-87CC-0E2B5E397D59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e6d905db-4f59-4a3b-930f-acb1d61e4a6c"/>
    <ds:schemaRef ds:uri="550b22fb-13da-4cf5-969f-c4932bbd4a2b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2F2AA97-FA8A-488E-A75B-B1EC579558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0b22fb-13da-4cf5-969f-c4932bbd4a2b"/>
    <ds:schemaRef ds:uri="e6d905db-4f59-4a3b-930f-acb1d61e4a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EB53204-ECB9-430B-80C6-D40F92B99CF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06a8f2b-28e4-44c4-ac01-7357a3a2b9e7}" enabled="1" method="Standard" siteId="{5daf41bd-338c-4311-b1b0-e1299889c34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23</vt:i4>
      </vt:variant>
    </vt:vector>
  </HeadingPairs>
  <TitlesOfParts>
    <vt:vector size="23" baseType="lpstr">
      <vt:lpstr>Kompetenzraster</vt:lpstr>
      <vt:lpstr>ST_1_KW33</vt:lpstr>
      <vt:lpstr>ST_2_KW34</vt:lpstr>
      <vt:lpstr>ST_3_KW35</vt:lpstr>
      <vt:lpstr>ST_4_KW36</vt:lpstr>
      <vt:lpstr>ST_5_KW37</vt:lpstr>
      <vt:lpstr>ST_6_KW38</vt:lpstr>
      <vt:lpstr>ST_7_KW39</vt:lpstr>
      <vt:lpstr>ST_8_KW43</vt:lpstr>
      <vt:lpstr>ST_9_KW44</vt:lpstr>
      <vt:lpstr>ST_10_KW45</vt:lpstr>
      <vt:lpstr>ST_11_KW46</vt:lpstr>
      <vt:lpstr>ST_12_KW47</vt:lpstr>
      <vt:lpstr>ST_13_KW48</vt:lpstr>
      <vt:lpstr>ST_14_KW49</vt:lpstr>
      <vt:lpstr>ST_15_KW50</vt:lpstr>
      <vt:lpstr>ST_16_KW51</vt:lpstr>
      <vt:lpstr>ST_17_KW52</vt:lpstr>
      <vt:lpstr>ST_18_KW2</vt:lpstr>
      <vt:lpstr>ST_19_KW3 </vt:lpstr>
      <vt:lpstr>ST_20_KW4</vt:lpstr>
      <vt:lpstr>ST_21_KW5</vt:lpstr>
      <vt:lpstr>Aufgaben_Teams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Marcel Item</dc:creator>
  <cp:keywords/>
  <dc:description/>
  <cp:lastModifiedBy>Arnold Tobias GBS-LPGB</cp:lastModifiedBy>
  <cp:revision/>
  <cp:lastPrinted>2024-08-05T07:45:40Z</cp:lastPrinted>
  <dcterms:created xsi:type="dcterms:W3CDTF">2018-02-19T12:02:46Z</dcterms:created>
  <dcterms:modified xsi:type="dcterms:W3CDTF">2026-06-17T08:34:56Z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0x01010017C54C6B4757CD47A3EC38904B6DF68F</vt:lpwstr>
  </property>
</Properties>
</file>