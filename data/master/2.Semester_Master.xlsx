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2.Semester/"/>
    </mc:Choice>
  </mc:AlternateContent>
  <xr:revisionPtr revIDLastSave="297" documentId="8_{6464E36D-E770-4149-8AF5-9766A0C4A42B}" xr6:coauthVersionLast="47" xr6:coauthVersionMax="47" xr10:uidLastSave="{F7D37F21-7DAA-47E1-8314-1477A72E261B}"/>
  <bookViews>
    <workbookView xWindow="-120" yWindow="-120" windowWidth="51840" windowHeight="21120" tabRatio="878" xr2:uid="{00000000-000D-0000-FFFF-FFFF00000000}"/>
  </bookViews>
  <sheets>
    <sheet name="Kompetenzraster" sheetId="13" r:id="rId1"/>
    <sheet name="ST_1_KW_6" sheetId="14" r:id="rId2"/>
    <sheet name="ST_2_KW_7" sheetId="15" r:id="rId3"/>
    <sheet name="ST_3_KW_8" sheetId="16" r:id="rId4"/>
    <sheet name="ST_4_KW_9" sheetId="17" r:id="rId5"/>
    <sheet name="ST_5_KW_10" sheetId="18" r:id="rId6"/>
    <sheet name="ST_6_KW_11" sheetId="19" r:id="rId7"/>
    <sheet name="ST_7_KW_12" sheetId="20" r:id="rId8"/>
    <sheet name="ST_8_KW_13" sheetId="21" r:id="rId9"/>
    <sheet name="ST_9_KW_14" sheetId="22" r:id="rId10"/>
    <sheet name="ST_10_KW_15" sheetId="23" r:id="rId11"/>
    <sheet name="ST_11_KW_20" sheetId="24" r:id="rId12"/>
    <sheet name="ST_12_KW_21" sheetId="25" r:id="rId13"/>
    <sheet name="ST_13_KW_22" sheetId="26" r:id="rId14"/>
    <sheet name="ST_14_KW_23" sheetId="27" r:id="rId15"/>
    <sheet name="ST_15_KW_24" sheetId="29" r:id="rId16"/>
    <sheet name="ST_16_KW_25" sheetId="28" r:id="rId17"/>
    <sheet name="ST_17_KW_26" sheetId="31" r:id="rId18"/>
    <sheet name="ST_18_KW_27" sheetId="35" r:id="rId19"/>
    <sheet name="ST_19_KW_28" sheetId="36" r:id="rId20"/>
    <sheet name="ST_20_KW_29" sheetId="30" r:id="rId21"/>
    <sheet name="Aufgaben_Teams" sheetId="33" r:id="rId2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3" l="1"/>
  <c r="N23" i="13"/>
  <c r="N31" i="13"/>
  <c r="Q7" i="13" l="1"/>
  <c r="E1" i="14"/>
  <c r="Q9" i="13" l="1"/>
  <c r="E1" i="15"/>
  <c r="Q11" i="13" l="1"/>
  <c r="E1" i="16"/>
  <c r="E1" i="17" l="1"/>
  <c r="Q13" i="13"/>
  <c r="Q15" i="13" s="1"/>
  <c r="E1" i="18" l="1"/>
  <c r="Q17" i="13" l="1"/>
  <c r="Q19" i="13" s="1"/>
  <c r="E1" i="19"/>
  <c r="E1" i="20" l="1"/>
  <c r="Q21" i="13" l="1"/>
  <c r="E1" i="21"/>
  <c r="Q23" i="13" l="1"/>
  <c r="E1" i="22"/>
  <c r="Q25" i="13" l="1"/>
  <c r="E1" i="23"/>
  <c r="Q27" i="13" l="1"/>
  <c r="E1" i="24"/>
  <c r="Q29" i="13" l="1"/>
  <c r="E1" i="25"/>
  <c r="Q31" i="13" l="1"/>
  <c r="Q33" i="13" s="1"/>
  <c r="Q35" i="13" s="1"/>
  <c r="Q37" i="13" s="1"/>
  <c r="E1" i="26"/>
  <c r="E1" i="27" l="1"/>
  <c r="E1" i="29"/>
  <c r="E1" i="31"/>
  <c r="Q39" i="13"/>
  <c r="E1" i="30"/>
  <c r="E1" i="28"/>
  <c r="Q41" i="13" l="1"/>
  <c r="E1" i="35"/>
</calcChain>
</file>

<file path=xl/sharedStrings.xml><?xml version="1.0" encoding="utf-8"?>
<sst xmlns="http://schemas.openxmlformats.org/spreadsheetml/2006/main" count="609" uniqueCount="253">
  <si>
    <t>Kompetenzraster 2.Semester  Sanitärinstallateur/in EFZ</t>
  </si>
  <si>
    <t>Semesterstart:</t>
  </si>
  <si>
    <t>Schultag:</t>
  </si>
  <si>
    <t>Montag</t>
  </si>
  <si>
    <t>Handlungsfelder und Kompetenzen</t>
  </si>
  <si>
    <t>Bewertung / Benotung</t>
  </si>
  <si>
    <t xml:space="preserve">Unterichtsplanung </t>
  </si>
  <si>
    <t>Auftrag 2.1</t>
  </si>
  <si>
    <t>Auftrag 2.2</t>
  </si>
  <si>
    <t>Brand - und Schallschutz</t>
  </si>
  <si>
    <t>4 Schultage (8L)</t>
  </si>
  <si>
    <t>12 Schultage (20L)</t>
  </si>
  <si>
    <r>
      <t>2.3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2.1</t>
    </r>
  </si>
  <si>
    <t>Bauablauf, Schnittstellen &amp; Volumen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</si>
  <si>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</si>
  <si>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Sie beschreiben einen Bauablauf und erklären die Schnittstellen zu anderen Gewerken. (K2)</t>
  </si>
  <si>
    <t xml:space="preserve">Sie berechnen das Volumen verschiedener Behältnisse. (K3) </t>
  </si>
  <si>
    <t xml:space="preserve">Sie kennen die Grundlagen der Z-Mass Methode und wenden diese in einfachen Beispielen an. </t>
  </si>
  <si>
    <t>Sie erstellen selbstständig einfache Z-Mass Vorfabrikationszeichnungen inkl. Rohrlängen und Stückliste</t>
  </si>
  <si>
    <t>Sie erstellen selbstständig anspruchsvolle Z-Mass Vorfabrikationszeichnungen inkl. Rohrlängen und Stückliste</t>
  </si>
  <si>
    <t>Sie benennen die Rollen der am Bau beteiligten Fachpersonen (z.B. Polier, Bauleiter, Architekt). (K1)</t>
  </si>
  <si>
    <t xml:space="preserve">Auftrag 2.1 </t>
  </si>
  <si>
    <r>
      <t>2.5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2.1</t>
    </r>
  </si>
  <si>
    <t>Pläne lesen &amp; verstehen</t>
  </si>
  <si>
    <t>Auftrag 2.3</t>
  </si>
  <si>
    <r>
      <t>2.5</t>
    </r>
    <r>
      <rPr>
        <sz val="8"/>
        <color theme="1"/>
        <rFont val="Century Gothic"/>
        <family val="2"/>
      </rPr>
      <t xml:space="preserve">  </t>
    </r>
    <r>
      <rPr>
        <b/>
        <sz val="8"/>
        <color theme="1"/>
        <rFont val="Century Gothic"/>
        <family val="2"/>
      </rPr>
      <t xml:space="preserve"> 2.1</t>
    </r>
  </si>
  <si>
    <t>Auftrag 2.4</t>
  </si>
  <si>
    <t xml:space="preserve">HF 2     </t>
  </si>
  <si>
    <t>Auftrag 2.5</t>
  </si>
  <si>
    <r>
      <t>2.6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2.2</t>
    </r>
  </si>
  <si>
    <t>Grundlagen der Z-Mass Methode</t>
  </si>
  <si>
    <t>2 Schultage (6L)</t>
  </si>
  <si>
    <t>4 Schultage (12L)</t>
  </si>
  <si>
    <t>Auftrag 2.6</t>
  </si>
  <si>
    <t>Normen &amp; Vorschriften von Abwasserleitungen</t>
  </si>
  <si>
    <t>Installieren von Wasserleitungen</t>
  </si>
  <si>
    <t>Sie erläutern die Vorschriften in Bezug auf den Schallschutz bei Wasserleitungen. (K2)</t>
  </si>
  <si>
    <t>Sie beschreiben die Inhalte der aktuellen Vorschriften in Bezug auf die Wasserleitungs- installation. (K2)</t>
  </si>
  <si>
    <t xml:space="preserve">Sie erklären den Zweck und die Funktion verschiedener Armaturen für Wasserleitungen. (K2) </t>
  </si>
  <si>
    <t xml:space="preserve">Sie interpretieren einfache Aussparungspläne für die Installation von Wasserleitungen. (K4) </t>
  </si>
  <si>
    <t>Sie interpretieren einfache Montage- und Einlegepläne für die Installation von Wasserleitungen. (K4)</t>
  </si>
  <si>
    <t>Auftrag 2.7</t>
  </si>
  <si>
    <t>Auftrag 2.9</t>
  </si>
  <si>
    <t xml:space="preserve">Sie erläutern die Vorschriften in Bezug auf den baulichen Brandschutz. (K2) </t>
  </si>
  <si>
    <t>Rapporte schreiben und Ausmass erstellen</t>
  </si>
  <si>
    <r>
      <t>2.9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2.2</t>
    </r>
  </si>
  <si>
    <t xml:space="preserve">HF 4       </t>
  </si>
  <si>
    <t>Bauteile &amp; Armaturen in Wasserleitungen</t>
  </si>
  <si>
    <t>3 Schultage (12L)</t>
  </si>
  <si>
    <t xml:space="preserve"> 4 Schultage (12L)</t>
  </si>
  <si>
    <r>
      <t>2.4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2.2</t>
    </r>
  </si>
  <si>
    <t>Installieren von Entsorgungsleitungen</t>
  </si>
  <si>
    <t>Sie beschreiben die  Vorschriften in Bezug auf die Installation von Entsorgungsleitungen. (K2)</t>
  </si>
  <si>
    <t>Sie beschreiben Einsatzgebiete, und Eigenschaften der Dämmmaterialien für Entsorgungsleitungen. (K2)</t>
  </si>
  <si>
    <t xml:space="preserve">Sie beschreiben die Funktionsweise der Abwasserentsorgung  (K2) </t>
  </si>
  <si>
    <t>Sie erläutern die Problematik der Rückstauhöhen. (K2)</t>
  </si>
  <si>
    <t>Sie erklären die Funktionsweise einer Abwasserreinigungsanlage. (K2)</t>
  </si>
  <si>
    <t>Zeugnisnote</t>
  </si>
  <si>
    <t>Abwasserentsorgung &amp; Aufbereitung</t>
  </si>
  <si>
    <t>2.7   2.2</t>
  </si>
  <si>
    <t>1 Schultag (3L)</t>
  </si>
  <si>
    <t>Sie erläutern die Unterschiede und den Sinn und Zweck der verschiedenen Rapport-Arten.(K2)</t>
  </si>
  <si>
    <t>Sie benennen Apparate, Armaturen und Garnituren sowie deren Bestandteile. (K1)</t>
  </si>
  <si>
    <t xml:space="preserve">Grundlagen der Z-Mass  </t>
  </si>
  <si>
    <t>Sie erstellen einen Materialauszug aufgrund einer typischen Baustellensituation. (K3)</t>
  </si>
  <si>
    <t>Sie erstellen ein Materialausmass anhand von verschiedenen Beispielen. (K3)</t>
  </si>
  <si>
    <t>QV Woche</t>
  </si>
  <si>
    <t>Exkursion Wasserversorgung</t>
  </si>
  <si>
    <t xml:space="preserve">Fachgruppe Sanitär Spengler </t>
  </si>
  <si>
    <t>itm I sanitärlernen.ch</t>
  </si>
  <si>
    <t>Kanton St.Gallen Gewerbliches Berufs- und Weiterbildungszentrum</t>
  </si>
  <si>
    <t>Unterrichtsverlauf</t>
  </si>
  <si>
    <t>Normen in der Sanitärtechnik</t>
  </si>
  <si>
    <t>1 - 3 Lektion</t>
  </si>
  <si>
    <t>Auftrag 1</t>
  </si>
  <si>
    <t>Filme / Theorie</t>
  </si>
  <si>
    <t>* Kennenlernen der Kapitel 3,4,5 der W3 / Fragen aus Auftrag.</t>
  </si>
  <si>
    <t>* Bearbeitung in Gruppen Lösung präsentieren im Roulettemodus</t>
  </si>
  <si>
    <t>Lernziele</t>
  </si>
  <si>
    <t>Sie beschreiben die Inhalte der aktuellen Vorschriften in Bezug auf die Wasserleitungsinstallation.</t>
  </si>
  <si>
    <t>Sie erläutern die Vorschriften in Bezug auf den baulichen Brandschutz.</t>
  </si>
  <si>
    <t>Pause</t>
  </si>
  <si>
    <t>Ein Haus entsteht</t>
  </si>
  <si>
    <t>4 - 5 Lektion</t>
  </si>
  <si>
    <t>* Erstellung eines Bauablaufes als Gruppenarbeit / Einstieg</t>
  </si>
  <si>
    <t xml:space="preserve">* Theorie besprechen / Fragen beantworten und Klären </t>
  </si>
  <si>
    <t>* Kennenlernen der Gewerke als Gruppenarbeit / Einstieg</t>
  </si>
  <si>
    <t xml:space="preserve"> =&gt; Hinweis / Zeit für Leistungsnachweis!</t>
  </si>
  <si>
    <t>Sie beschreiben einen Bauablauf und erklären die Schnittstellen zu anderen Gewerken.</t>
  </si>
  <si>
    <t>Sie benennen die Rollen der am Bau beteiligten Fachpersonen.</t>
  </si>
  <si>
    <t>Hausaufgaben</t>
  </si>
  <si>
    <t>Administratives</t>
  </si>
  <si>
    <t>Auftrag 2</t>
  </si>
  <si>
    <t>* Brandschutznorm kennen lernen / Fragen Auftrag</t>
  </si>
  <si>
    <t xml:space="preserve"> =&gt; Hinweis Leistungsnachweis!</t>
  </si>
  <si>
    <t>Auftrag 3</t>
  </si>
  <si>
    <t xml:space="preserve">* Schallschutznorm kennen lernen </t>
  </si>
  <si>
    <t>* Kleiner Versuch / Fragen und Besprechung</t>
  </si>
  <si>
    <t>Lernziele / Prüfung</t>
  </si>
  <si>
    <t>* Nächste Woche Prüfung / Lernziele beachten!</t>
  </si>
  <si>
    <t>Auftrag 3 + 4</t>
  </si>
  <si>
    <t xml:space="preserve">* Einstieg in die Volumenberechnung </t>
  </si>
  <si>
    <t>* Thema: Rechteckige Volumen</t>
  </si>
  <si>
    <t>* Beispielrechnungen machen und üben</t>
  </si>
  <si>
    <t>Pläne lesen und verstehen</t>
  </si>
  <si>
    <t>Prüfung Auftrag 2.3</t>
  </si>
  <si>
    <t>20min</t>
  </si>
  <si>
    <t xml:space="preserve">* Einstieg mit allen 5 Planarten </t>
  </si>
  <si>
    <t>* Einstieg mit den Grundlagen Aufgaben 1-7</t>
  </si>
  <si>
    <t>* Hinweis Pläne mitnehmen für Leistungsnachweis</t>
  </si>
  <si>
    <t xml:space="preserve">Sie interpretieren einfache Aussparungspläne für die Installation von Wasserleitungen. </t>
  </si>
  <si>
    <t>Sie interpretieren einfache Montagepläne für die Installation von Wasserleitungen.</t>
  </si>
  <si>
    <t>Auftrag 5</t>
  </si>
  <si>
    <t>* Thema: Zylindrische Volumen</t>
  </si>
  <si>
    <t>Sie berechnen das Volumen verschiedener Behältnisse.</t>
  </si>
  <si>
    <t>* Übungen Höhenkoten, Aussparungen und Kreuzworträtsel</t>
  </si>
  <si>
    <t>* Plan gemeinsam betrachten und Übungen dazu lösen</t>
  </si>
  <si>
    <t>* Masse aus Plänen heraus lesen</t>
  </si>
  <si>
    <t>* Hinweis Leistungsnachweis / Planarten erklären</t>
  </si>
  <si>
    <t>Auftrag 4 + 5</t>
  </si>
  <si>
    <t xml:space="preserve">* Volumenberechnung weiter üben </t>
  </si>
  <si>
    <t>Auftrag 6</t>
  </si>
  <si>
    <t>* Leistungsnachweis ausfüllen / Selbstkontrolle</t>
  </si>
  <si>
    <t>Entsorgungsleitungen &amp; Verbindungen</t>
  </si>
  <si>
    <t>Prüfung Auftrag 2.1</t>
  </si>
  <si>
    <t>* Einstieg mit Bezeichnungsübung</t>
  </si>
  <si>
    <t>* Beispiele aus dem LM mit Anschauungsmaterial erklären</t>
  </si>
  <si>
    <t>* Fragen 2-16  zu den Grundlagen</t>
  </si>
  <si>
    <t>Sie beschreiben die Inhalte der Vorschriften in Bezug auf die Installation von Entsorgungsleitungen.</t>
  </si>
  <si>
    <t>Arbeitsvorbereitung</t>
  </si>
  <si>
    <t>* Einstieg mit Vorwand / Werkstattplan</t>
  </si>
  <si>
    <t>* Übungen Grundlagen selbstständig lösen</t>
  </si>
  <si>
    <t>Sie kennen die Grundlagen der Z-Mass Methode und wenden diese in einfachen Beispielen an.</t>
  </si>
  <si>
    <t>* Umsetzung der Regel an konkretem Beispiel</t>
  </si>
  <si>
    <t>* Situation 2 &amp; 3 selbstständig lösen</t>
  </si>
  <si>
    <t xml:space="preserve">* Zusatzübungen abgeben </t>
  </si>
  <si>
    <t>Auftrag 4</t>
  </si>
  <si>
    <t>* Leistungsnachweis abgeben</t>
  </si>
  <si>
    <t>* Zeichnung 1 &amp; Zeichnung 2 selbstständig lösen</t>
  </si>
  <si>
    <t>* Dreiecke zeichnen / Übungen</t>
  </si>
  <si>
    <t>* Einstieg Repetition Grundlagen Schallschutz</t>
  </si>
  <si>
    <t>* Grundlagen Schall / Demoraum / LM / Aufgaben 16 - 22</t>
  </si>
  <si>
    <t>* Abluss Auftrag 2.6 / Kondensation / Armaflex</t>
  </si>
  <si>
    <t>* Ansage Prüfung inkl. Abgabe Lernziele</t>
  </si>
  <si>
    <t xml:space="preserve">Sie beschreiben Einsatzgebiete, und Eigenschaften der Dämmmaterialien für Entsorgungsleitungen. </t>
  </si>
  <si>
    <t>* Z-Masse suchen, finden und eintragen!</t>
  </si>
  <si>
    <t>* Start mit "normalen" Z-Massen</t>
  </si>
  <si>
    <t>* Fittingkombinationen</t>
  </si>
  <si>
    <t>* Mindestrohrstücke</t>
  </si>
  <si>
    <t>Rapporte erstellen</t>
  </si>
  <si>
    <t>Prüfung Auftrag 2.6</t>
  </si>
  <si>
    <t>30min</t>
  </si>
  <si>
    <t>* Die unterschiedlichen Rapportarten kennen lernen</t>
  </si>
  <si>
    <t>* Übung 1 / 2 machen =&gt; besprechen</t>
  </si>
  <si>
    <t>* Gemeinsames Beispiel lösen / Rapport ausfüllen!</t>
  </si>
  <si>
    <t>Sie erläutern die Unterschiede und den Sinn und Zweck der verschiedenen Rapport Arten.</t>
  </si>
  <si>
    <t>* Aufgabe 6 &amp; 7 I Dichtstellen zeichnen / Kombinationen berechnen</t>
  </si>
  <si>
    <t>* Aufgabe 8 - 9 I Selbstständige Übung</t>
  </si>
  <si>
    <t>* Hinweis Aufgabe 10 = Leistungsnachweis 1.Teil</t>
  </si>
  <si>
    <t>* Einstieg Repetition Rapportarten</t>
  </si>
  <si>
    <t>* Übung 4 / 4 machen =&gt; besprechen</t>
  </si>
  <si>
    <t>Sie erstellen einen Materialauszug aufgrund einer typischen Baustellensituation.</t>
  </si>
  <si>
    <t>Sie erstellen ein Materialausmass anhand von verschiedenen Beispielen.</t>
  </si>
  <si>
    <t>* Aufgabe 9 / Wichtige Zeichensymbole</t>
  </si>
  <si>
    <t>* Aufgabe 10 / Gemeinsam eine Aufgabe zeichnen</t>
  </si>
  <si>
    <t>* Aufgabe 10 / Zweite Aufgabe selbstständig zeichnen</t>
  </si>
  <si>
    <t>Armaturen Kaltwasser</t>
  </si>
  <si>
    <t>* Einstieg Repetition Armaturengruppen  I  Aufgabe 1-3</t>
  </si>
  <si>
    <t>* Der Werkstoff Rotguss  I  Aufgabe 4</t>
  </si>
  <si>
    <t>Playlist beachten</t>
  </si>
  <si>
    <t>* Aufteilung Arbeiten am Vortrag</t>
  </si>
  <si>
    <t>Sie erklären den Zweck und die Funktion verschiedener Armaturen für Wasserleitungen.</t>
  </si>
  <si>
    <t>* Aufgabe 3.1 &amp; 3.2</t>
  </si>
  <si>
    <t>* Arbeiten am Vortrag</t>
  </si>
  <si>
    <t>* Aufgabe 3.3 &amp; 4.1</t>
  </si>
  <si>
    <t>* Ansage Prüfung / Lernziele</t>
  </si>
  <si>
    <t>* Individuelles Lernen für Prüfung</t>
  </si>
  <si>
    <t>* Vorträge Thema 1-8</t>
  </si>
  <si>
    <t>* Fragen zu den Themen beantworten</t>
  </si>
  <si>
    <t>* Aufgabe 4.2</t>
  </si>
  <si>
    <t>Prüfung Auftrag 2.2</t>
  </si>
  <si>
    <t>60min</t>
  </si>
  <si>
    <t>* Fragen Aufgaben 5-8 klären / besprechen</t>
  </si>
  <si>
    <t>* Vorträge Thema 9 -12</t>
  </si>
  <si>
    <t>* Aufgabe 4.3</t>
  </si>
  <si>
    <t>Kanalisation &amp; Abwasseraufbereitung</t>
  </si>
  <si>
    <t>Prüfung Auftrag 2.4</t>
  </si>
  <si>
    <t>* Einstieg mit Video / Überschwemmung</t>
  </si>
  <si>
    <t>* Bearbeitung der Verständnisfragen 1 - 5</t>
  </si>
  <si>
    <t xml:space="preserve">* Selbstständige Bearbeitung &amp; Korrektur </t>
  </si>
  <si>
    <t>* Bearbeitung der Verständnisfragen 6 - 8</t>
  </si>
  <si>
    <t>Sie beschreiben die Funktionsweise der Abwasserentsorgung.</t>
  </si>
  <si>
    <t>* Aufgabe 4.4</t>
  </si>
  <si>
    <t>* Einstieg mit Video / Rückstauebene</t>
  </si>
  <si>
    <t>* Erklärung / Herleitung Rückstauebene</t>
  </si>
  <si>
    <t>Sie erläutern die Problematik der Rückstauhöhen.</t>
  </si>
  <si>
    <t>Sie erklären die Funktionsweise der Abwasserentsorgung.</t>
  </si>
  <si>
    <t>* Aufgabe 4.5</t>
  </si>
  <si>
    <t>* Aufgabe 4.6</t>
  </si>
  <si>
    <t>* Sie kennen die Herkunft und die Herstellung von Eisen.</t>
  </si>
  <si>
    <t>* Einstieg mit Video zur Abwasserreinigungsanlage</t>
  </si>
  <si>
    <t>* Auftrag Leistungsnachweis Funktion der ARA</t>
  </si>
  <si>
    <t>Sie erklären die Funktionsweise der Abwassereinigungsanlage.</t>
  </si>
  <si>
    <t xml:space="preserve">* Individuelle Vorbereitung für Prüfung AVOR </t>
  </si>
  <si>
    <t>Film:</t>
  </si>
  <si>
    <t>Das Toiletten Tabu</t>
  </si>
  <si>
    <t>Exkursion Reservoir Speicherstrasse</t>
  </si>
  <si>
    <t>Aufgaben Teams</t>
  </si>
  <si>
    <t>Punkte</t>
  </si>
  <si>
    <r>
      <t xml:space="preserve">Lernziele:
</t>
    </r>
    <r>
      <rPr>
        <sz val="11"/>
        <color theme="1"/>
        <rFont val="Calibri"/>
        <family val="2"/>
        <scheme val="minor"/>
      </rPr>
      <t xml:space="preserve">- Sie beschreiben einen Bauablauf und erklären die Schnittstellen zu anderen Gewerken. 
- Sie benennen die Rollen der am Bau beteiligten Fachpersonen.
- Sie berechnen das Volumen verschiedener Behältnisse. 
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>- Übersicht «Schnittstellen &amp; Personen » 
- Bestandene elektronische Lernzielkontrolle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</si>
  <si>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die Grundlagen der Z-Mass Methode und wenden diese in einfachen 
   Beispielen an. 
- Sie erstellen selbstständig einfache Z-Mass Vorfabrikationszeichnungen 
   inkl. Rohrlängen und Stückliste.
- Sie erstellen selbstständig anspruchsvolle Z-Mass Vorfabrikationszeichnungen inkl. 
  Rohrlängen und Stückliste.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Abgabe der Fachzeichnung «Leistungsnachweis»
- Abgabe von 3 korrigierten Fachzeichnungen (Auswahl 3.3 – 4.6)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</si>
  <si>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Vorschriften in Bezug auf den Schallschutz bei Wasserleitungen. 
- Sie erläutern die Vorschriften in Bezug auf den baulichen Brandschutz. 
- Sie beschreiben die Inhalte der aktuellen Vorschriften in Bezug auf die 
   Wasserleitungs- installation. 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Lernprodukt «Übersicht – Die Brandschutzmanschette»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</si>
  <si>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erklären den Zweck und die Funktion verschiedener 
  Armaturen für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Lernprodukt «Vortrag»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</si>
  <si>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interpretieren einfache Aussparungspläne für die Installation von Wasserleitungen.
- Sie interpretieren einfache Montage- und Einlegepläne für die Installation 
  von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Lernprodukt «Cast – Planarten auf der Baustelle »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</si>
  <si>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 Vorschriften in Bezug auf die Installation von Entsorgungsleitungen. 
- Sie beschreiben Einsatzgebiete, und Eigenschaften der Dämmmaterialien für 
   Entsorgungsleitungen.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«Anschlussleitungen»</t>
    </r>
  </si>
  <si>
    <r>
      <rPr>
        <b/>
        <sz val="11"/>
        <color theme="1"/>
        <rFont val="Calibri"/>
        <family val="2"/>
        <scheme val="minor"/>
      </rPr>
      <t xml:space="preserve">Lernziele:
</t>
    </r>
    <r>
      <rPr>
        <sz val="11"/>
        <color theme="1"/>
        <rFont val="Calibri"/>
        <family val="2"/>
        <scheme val="minor"/>
      </rPr>
      <t xml:space="preserve">
- Sie beschreiben die Funktionsweise der Abwasserentsorgung.
- Sie erläutern die Problematik der Rückstauhöhen. 
- Sie erklären die Funktionsweise der Abwasserreinigungsanlage.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«Funktion der Abwasserreinigung»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</si>
  <si>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Unterschiede und den Sinn und Zweck der verschiedenen 
   Rapport Arten. 
- Sie benennen Apparate, Armaturen und Garnituren sowie deren Bestandteile.
- Sie erstellen einen Materialauszug aufgrund einer typischen Baustellensituation.
- Sie erstellen ein Materialausmass anhand von verschiedenen Beispielen.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«Regierapport 1»</t>
    </r>
  </si>
  <si>
    <t xml:space="preserve">HF 1/H7  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</si>
  <si>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</si>
  <si>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Leistungsnachweise</t>
  </si>
  <si>
    <t xml:space="preserve">Die Note der Leistungsnachweise entsteht aus den während des Semestes erzielten Punkten. </t>
  </si>
  <si>
    <t>Planen der Arbeiten</t>
  </si>
  <si>
    <t xml:space="preserve">Total Punkte </t>
  </si>
  <si>
    <t>Montieren von Sanitäranlagen</t>
  </si>
  <si>
    <t>* Gruppenbildung</t>
  </si>
  <si>
    <t>* Unterlagen erstellen / Präsentation vorbereiten</t>
  </si>
  <si>
    <t>Hinweis Semesterabschluss / Zeugnisbesprechung</t>
  </si>
  <si>
    <t>Repetition 2. Semester</t>
  </si>
  <si>
    <t>• Sie erläutern relevante Vorschriften, erklären die Funktion von Armaturen</t>
  </si>
  <si>
    <t>• Sie beschreiben die Eigenschaften von Dämmmaterialien,</t>
  </si>
  <si>
    <t xml:space="preserve">    und interpretieren einfache Ausführungs- und Einlegepläne.</t>
  </si>
  <si>
    <t>• Sie erklären den Bauablauf, benennen beteiligte Fachpersonen</t>
  </si>
  <si>
    <t xml:space="preserve">   und berechnen das Volumen einfacher Behältnisse. </t>
  </si>
  <si>
    <t xml:space="preserve">   erklären die Funktion von Abwassersystemen und erläutern die</t>
  </si>
  <si>
    <t xml:space="preserve">   Problematik von Rückstausicherungen.</t>
  </si>
  <si>
    <t>Auftrag 2.11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</si>
  <si>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erklären den Bauablauf, benennen beteiligte Fachpersonen
   und berechnen das Volumen einfacher Behältnisse. 
- Sie erläutern relevante Vorschriften, erklären die Funktion von Armaturen
   und interpretieren einfache Ausführungs- und Einlegepläne.
- Sie beschreiben die Eigenschaften von Dämmmaterialien,
  erklären die Funktion von Abwassersystemen und erläutern die Rückstauebene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Flipchart pro Gruppe &amp; Thema
- Fragekarten 8-12 Fragen inklusive Antworten
- Visuelle Zusammenfassung des Themas</t>
    </r>
  </si>
  <si>
    <t>Auftrag 2-4</t>
  </si>
  <si>
    <t>Zeugnisbesprechung</t>
  </si>
  <si>
    <t>* Austausch in der Gruppe</t>
  </si>
  <si>
    <t>Gruppenarbeit Semesterrepetition / Erarbeitung</t>
  </si>
  <si>
    <t>Gruppenarbeit Semesterrepetition / Durchführung</t>
  </si>
  <si>
    <t>Abschluss / Ausblick / Exkursion</t>
  </si>
  <si>
    <t>Auftrag 1 &amp; 2</t>
  </si>
  <si>
    <t xml:space="preserve">* Abschluss Quizacademy </t>
  </si>
  <si>
    <t xml:space="preserve">Einstieg mit Quizacademy </t>
  </si>
  <si>
    <t>* Einstieg mit Quizacademy/ Armaturengruppen</t>
  </si>
  <si>
    <t>Exkursionstag</t>
  </si>
  <si>
    <t xml:space="preserve">Sie erklären den Bauablauf, benennen beteiligte Fachpersonen
und berechnen das Volumen einfacher Behältnisse. </t>
  </si>
  <si>
    <t>Sie erläutern relevante Vorschriften, erklären die Funktion von Armaturen
und interpretieren einfache Ausführungs- und Einlegepläne.</t>
  </si>
  <si>
    <t>Sie beschreiben die Eigenschaften von Dämmmaterialien,
erklären die Funktion von Abwassersystemen und erläutern die
Problematik von Rückstausicherungen.</t>
  </si>
  <si>
    <t xml:space="preserve">HF 1/2/4       </t>
  </si>
  <si>
    <t>Exkursion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</si>
</sst>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sz val="8"/>
      <color theme="0" tint="-0.499984740745262"/>
      <name val="Calibri"/>
      <family val="2"/>
      <scheme val="minor"/>
    </font>
    <font>
      <b/>
      <sz val="10"/>
      <name val="Century Gothic"/>
      <family val="2"/>
    </font>
    <font>
      <b/>
      <sz val="10"/>
      <name val="Calibri"/>
      <family val="2"/>
      <scheme val="minor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7"/>
      <color theme="1"/>
      <name val="Century Gothic"/>
      <family val="2"/>
    </font>
    <font>
      <i/>
      <sz val="8"/>
      <color theme="1" tint="0.499984740745262"/>
      <name val="Century Gothic"/>
      <family val="2"/>
    </font>
    <font>
      <i/>
      <sz val="8"/>
      <color theme="0" tint="-0.499984740745262"/>
      <name val="Century Gothic"/>
      <family val="2"/>
    </font>
    <font>
      <sz val="7"/>
      <color theme="1"/>
      <name val="Calibri"/>
      <family val="2"/>
      <scheme val="minor"/>
    </font>
    <font>
      <sz val="9"/>
      <color rgb="FFFF0000"/>
      <name val="Century Gothic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8"/>
      <color rgb="FF000000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20"/>
      <color theme="1"/>
      <name val="Century Gothic"/>
      <family val="2"/>
    </font>
    <font>
      <b/>
      <u/>
      <sz val="11"/>
      <color theme="1"/>
      <name val="Calibri"/>
      <family val="2"/>
      <scheme val="minor"/>
    </font>
    <font>
      <sz val="9"/>
      <color theme="0" tint="-0.34998626667073579"/>
      <name val="Century Gothic"/>
      <family val="2"/>
    </font>
    <font>
      <u/>
      <sz val="9"/>
      <color theme="0" tint="-0.34998626667073579"/>
      <name val="Century Gothic"/>
      <family val="2"/>
    </font>
    <font>
      <i/>
      <sz val="8"/>
      <color theme="1"/>
      <name val="Century Gothic"/>
      <family val="2"/>
    </font>
    <font>
      <sz val="11"/>
      <color rgb="FFFF0000"/>
      <name val="Calibri"/>
      <family val="2"/>
      <scheme val="minor"/>
    </font>
    <font>
      <sz val="8"/>
      <color rgb="FFFF000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4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8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7" fillId="3" borderId="1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2" xfId="0" applyFont="1" applyFill="1" applyBorder="1"/>
    <xf numFmtId="14" fontId="24" fillId="3" borderId="30" xfId="0" applyNumberFormat="1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23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locked="0" hidden="1"/>
    </xf>
    <xf numFmtId="0" fontId="5" fillId="3" borderId="33" xfId="0" applyFont="1" applyFill="1" applyBorder="1"/>
    <xf numFmtId="0" fontId="5" fillId="3" borderId="6" xfId="0" applyFont="1" applyFill="1" applyBorder="1"/>
    <xf numFmtId="0" fontId="5" fillId="3" borderId="13" xfId="0" applyFont="1" applyFill="1" applyBorder="1"/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36" fillId="4" borderId="3" xfId="0" applyFont="1" applyFill="1" applyBorder="1"/>
    <xf numFmtId="0" fontId="5" fillId="4" borderId="2" xfId="0" applyFont="1" applyFill="1" applyBorder="1" applyAlignment="1">
      <alignment vertical="center"/>
    </xf>
    <xf numFmtId="0" fontId="24" fillId="3" borderId="21" xfId="0" applyFont="1" applyFill="1" applyBorder="1" applyAlignment="1">
      <alignment horizontal="center" vertical="center"/>
    </xf>
    <xf numFmtId="14" fontId="24" fillId="3" borderId="18" xfId="0" applyNumberFormat="1" applyFont="1" applyFill="1" applyBorder="1" applyAlignment="1">
      <alignment horizontal="center" vertical="center"/>
    </xf>
    <xf numFmtId="0" fontId="14" fillId="0" borderId="27" xfId="0" applyFont="1" applyBorder="1"/>
    <xf numFmtId="0" fontId="34" fillId="0" borderId="9" xfId="0" applyFont="1" applyBorder="1" applyAlignment="1">
      <alignment horizontal="center"/>
    </xf>
    <xf numFmtId="0" fontId="14" fillId="0" borderId="34" xfId="0" applyFont="1" applyBorder="1"/>
    <xf numFmtId="0" fontId="0" fillId="0" borderId="20" xfId="0" applyBorder="1"/>
    <xf numFmtId="0" fontId="14" fillId="0" borderId="0" xfId="0" applyFont="1"/>
    <xf numFmtId="0" fontId="14" fillId="0" borderId="20" xfId="0" applyFont="1" applyBorder="1"/>
    <xf numFmtId="0" fontId="14" fillId="0" borderId="37" xfId="0" applyFont="1" applyBorder="1"/>
    <xf numFmtId="0" fontId="0" fillId="0" borderId="26" xfId="0" applyBorder="1"/>
    <xf numFmtId="0" fontId="0" fillId="0" borderId="39" xfId="0" applyBorder="1"/>
    <xf numFmtId="0" fontId="5" fillId="0" borderId="34" xfId="0" applyFont="1" applyBorder="1"/>
    <xf numFmtId="0" fontId="0" fillId="0" borderId="42" xfId="0" applyBorder="1"/>
    <xf numFmtId="0" fontId="5" fillId="0" borderId="0" xfId="0" applyFont="1"/>
    <xf numFmtId="0" fontId="14" fillId="0" borderId="42" xfId="0" applyFont="1" applyBorder="1"/>
    <xf numFmtId="0" fontId="0" fillId="0" borderId="37" xfId="0" applyBorder="1"/>
    <xf numFmtId="0" fontId="0" fillId="0" borderId="38" xfId="0" applyBorder="1"/>
    <xf numFmtId="0" fontId="14" fillId="0" borderId="36" xfId="0" applyFont="1" applyBorder="1"/>
    <xf numFmtId="0" fontId="14" fillId="0" borderId="26" xfId="0" applyFont="1" applyBorder="1"/>
    <xf numFmtId="0" fontId="14" fillId="0" borderId="38" xfId="0" applyFont="1" applyBorder="1"/>
    <xf numFmtId="0" fontId="0" fillId="0" borderId="35" xfId="0" applyBorder="1"/>
    <xf numFmtId="0" fontId="0" fillId="0" borderId="27" xfId="0" applyBorder="1"/>
    <xf numFmtId="0" fontId="0" fillId="0" borderId="36" xfId="0" applyBorder="1"/>
    <xf numFmtId="0" fontId="0" fillId="0" borderId="34" xfId="0" applyBorder="1"/>
    <xf numFmtId="0" fontId="43" fillId="0" borderId="34" xfId="0" applyFont="1" applyBorder="1"/>
    <xf numFmtId="14" fontId="35" fillId="0" borderId="0" xfId="0" applyNumberFormat="1" applyFont="1"/>
    <xf numFmtId="0" fontId="34" fillId="0" borderId="35" xfId="0" applyFont="1" applyBorder="1"/>
    <xf numFmtId="0" fontId="34" fillId="0" borderId="34" xfId="0" applyFont="1" applyBorder="1"/>
    <xf numFmtId="0" fontId="5" fillId="0" borderId="37" xfId="0" applyFont="1" applyBorder="1"/>
    <xf numFmtId="0" fontId="44" fillId="0" borderId="0" xfId="0" applyFont="1"/>
    <xf numFmtId="0" fontId="45" fillId="0" borderId="27" xfId="1" applyFont="1" applyBorder="1"/>
    <xf numFmtId="0" fontId="14" fillId="0" borderId="39" xfId="0" applyFont="1" applyBorder="1"/>
    <xf numFmtId="0" fontId="14" fillId="5" borderId="35" xfId="0" applyFont="1" applyFill="1" applyBorder="1"/>
    <xf numFmtId="0" fontId="14" fillId="5" borderId="27" xfId="0" applyFont="1" applyFill="1" applyBorder="1"/>
    <xf numFmtId="0" fontId="34" fillId="0" borderId="36" xfId="0" applyFont="1" applyBorder="1" applyAlignment="1">
      <alignment horizontal="center"/>
    </xf>
    <xf numFmtId="0" fontId="14" fillId="5" borderId="36" xfId="0" applyFont="1" applyFill="1" applyBorder="1"/>
    <xf numFmtId="0" fontId="8" fillId="0" borderId="0" xfId="1"/>
    <xf numFmtId="0" fontId="14" fillId="0" borderId="35" xfId="0" applyFont="1" applyBorder="1"/>
    <xf numFmtId="0" fontId="5" fillId="0" borderId="42" xfId="0" applyFont="1" applyBorder="1" applyAlignment="1">
      <alignment horizontal="left"/>
    </xf>
    <xf numFmtId="0" fontId="14" fillId="0" borderId="42" xfId="0" applyFont="1" applyBorder="1" applyAlignment="1">
      <alignment horizontal="left"/>
    </xf>
    <xf numFmtId="0" fontId="46" fillId="0" borderId="37" xfId="0" applyFont="1" applyBorder="1"/>
    <xf numFmtId="0" fontId="47" fillId="0" borderId="42" xfId="0" applyFont="1" applyBorder="1"/>
    <xf numFmtId="0" fontId="47" fillId="0" borderId="38" xfId="0" applyFont="1" applyBorder="1"/>
    <xf numFmtId="0" fontId="48" fillId="0" borderId="42" xfId="0" applyFont="1" applyBorder="1" applyAlignment="1">
      <alignment horizontal="left"/>
    </xf>
    <xf numFmtId="0" fontId="32" fillId="0" borderId="42" xfId="0" applyFont="1" applyBorder="1" applyAlignment="1">
      <alignment horizontal="left"/>
    </xf>
    <xf numFmtId="0" fontId="14" fillId="5" borderId="40" xfId="0" applyFont="1" applyFill="1" applyBorder="1"/>
    <xf numFmtId="0" fontId="14" fillId="5" borderId="31" xfId="0" applyFont="1" applyFill="1" applyBorder="1"/>
    <xf numFmtId="0" fontId="14" fillId="5" borderId="41" xfId="0" applyFont="1" applyFill="1" applyBorder="1"/>
    <xf numFmtId="0" fontId="49" fillId="0" borderId="42" xfId="0" applyFont="1" applyBorder="1" applyAlignment="1">
      <alignment horizontal="center"/>
    </xf>
    <xf numFmtId="0" fontId="47" fillId="0" borderId="20" xfId="0" applyFont="1" applyBorder="1"/>
    <xf numFmtId="0" fontId="48" fillId="0" borderId="20" xfId="0" applyFont="1" applyBorder="1" applyAlignment="1">
      <alignment horizontal="left"/>
    </xf>
    <xf numFmtId="0" fontId="50" fillId="0" borderId="20" xfId="0" applyFont="1" applyBorder="1" applyAlignment="1">
      <alignment horizontal="center"/>
    </xf>
    <xf numFmtId="0" fontId="47" fillId="0" borderId="39" xfId="0" applyFont="1" applyBorder="1"/>
    <xf numFmtId="0" fontId="50" fillId="0" borderId="42" xfId="0" applyFont="1" applyBorder="1" applyAlignment="1">
      <alignment horizontal="center"/>
    </xf>
    <xf numFmtId="49" fontId="14" fillId="0" borderId="37" xfId="0" applyNumberFormat="1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0" borderId="38" xfId="0" applyNumberFormat="1" applyBorder="1" applyAlignment="1">
      <alignment horizontal="center"/>
    </xf>
    <xf numFmtId="0" fontId="6" fillId="0" borderId="43" xfId="0" applyFont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5" fillId="0" borderId="35" xfId="0" applyFont="1" applyBorder="1"/>
    <xf numFmtId="0" fontId="34" fillId="0" borderId="20" xfId="0" applyFont="1" applyBorder="1" applyAlignment="1">
      <alignment horizontal="center"/>
    </xf>
    <xf numFmtId="0" fontId="51" fillId="0" borderId="42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2" borderId="0" xfId="0" applyFont="1" applyFill="1"/>
    <xf numFmtId="0" fontId="5" fillId="2" borderId="2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4" fillId="2" borderId="5" xfId="0" applyFont="1" applyFill="1" applyBorder="1" applyAlignment="1">
      <alignment horizontal="left"/>
    </xf>
    <xf numFmtId="0" fontId="24" fillId="9" borderId="7" xfId="0" applyFont="1" applyFill="1" applyBorder="1" applyAlignment="1">
      <alignment horizontal="left"/>
    </xf>
    <xf numFmtId="0" fontId="0" fillId="9" borderId="8" xfId="0" applyFill="1" applyBorder="1"/>
    <xf numFmtId="0" fontId="0" fillId="9" borderId="14" xfId="0" applyFill="1" applyBorder="1"/>
    <xf numFmtId="0" fontId="5" fillId="9" borderId="25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5" fillId="9" borderId="15" xfId="0" applyFont="1" applyFill="1" applyBorder="1" applyAlignment="1">
      <alignment horizontal="left"/>
    </xf>
    <xf numFmtId="0" fontId="24" fillId="9" borderId="5" xfId="0" applyFont="1" applyFill="1" applyBorder="1" applyAlignment="1">
      <alignment horizontal="left"/>
    </xf>
    <xf numFmtId="0" fontId="34" fillId="0" borderId="42" xfId="0" applyFont="1" applyBorder="1" applyAlignment="1">
      <alignment horizontal="center"/>
    </xf>
    <xf numFmtId="14" fontId="24" fillId="3" borderId="47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24" fillId="3" borderId="29" xfId="0" applyNumberFormat="1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8" fillId="0" borderId="42" xfId="1" applyBorder="1" applyAlignment="1">
      <alignment horizontal="left" vertical="center"/>
    </xf>
    <xf numFmtId="0" fontId="5" fillId="3" borderId="34" xfId="0" applyFont="1" applyFill="1" applyBorder="1"/>
    <xf numFmtId="0" fontId="5" fillId="3" borderId="0" xfId="0" applyFont="1" applyFill="1"/>
    <xf numFmtId="0" fontId="5" fillId="3" borderId="12" xfId="0" applyFont="1" applyFill="1" applyBorder="1"/>
    <xf numFmtId="0" fontId="5" fillId="3" borderId="6" xfId="0" applyFont="1" applyFill="1" applyBorder="1"/>
    <xf numFmtId="0" fontId="5" fillId="3" borderId="13" xfId="0" applyFont="1" applyFill="1" applyBorder="1"/>
    <xf numFmtId="0" fontId="24" fillId="3" borderId="32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3" borderId="32" xfId="0" applyFont="1" applyFill="1" applyBorder="1"/>
    <xf numFmtId="0" fontId="5" fillId="3" borderId="8" xfId="0" applyFont="1" applyFill="1" applyBorder="1"/>
    <xf numFmtId="0" fontId="5" fillId="3" borderId="14" xfId="0" applyFont="1" applyFill="1" applyBorder="1"/>
    <xf numFmtId="0" fontId="21" fillId="9" borderId="9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1" fillId="9" borderId="23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" vertical="center"/>
    </xf>
    <xf numFmtId="0" fontId="29" fillId="9" borderId="26" xfId="0" applyFont="1" applyFill="1" applyBorder="1" applyAlignment="1">
      <alignment horizontal="center" vertical="center"/>
    </xf>
    <xf numFmtId="0" fontId="5" fillId="3" borderId="33" xfId="0" applyFont="1" applyFill="1" applyBorder="1"/>
    <xf numFmtId="49" fontId="30" fillId="9" borderId="15" xfId="0" applyNumberFormat="1" applyFont="1" applyFill="1" applyBorder="1" applyAlignment="1">
      <alignment horizontal="center"/>
    </xf>
    <xf numFmtId="49" fontId="30" fillId="9" borderId="26" xfId="0" applyNumberFormat="1" applyFont="1" applyFill="1" applyBorder="1" applyAlignment="1">
      <alignment horizontal="center"/>
    </xf>
    <xf numFmtId="49" fontId="30" fillId="9" borderId="16" xfId="0" applyNumberFormat="1" applyFont="1" applyFill="1" applyBorder="1" applyAlignment="1">
      <alignment horizontal="center"/>
    </xf>
    <xf numFmtId="0" fontId="21" fillId="9" borderId="21" xfId="0" applyFont="1" applyFill="1" applyBorder="1" applyAlignment="1">
      <alignment horizontal="center" wrapText="1"/>
    </xf>
    <xf numFmtId="0" fontId="0" fillId="9" borderId="18" xfId="0" applyFill="1" applyBorder="1" applyAlignment="1">
      <alignment horizontal="center" wrapText="1"/>
    </xf>
    <xf numFmtId="0" fontId="0" fillId="9" borderId="19" xfId="0" applyFill="1" applyBorder="1" applyAlignment="1">
      <alignment horizontal="center" wrapText="1"/>
    </xf>
    <xf numFmtId="0" fontId="21" fillId="9" borderId="25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/>
      <protection locked="0" hidden="1"/>
    </xf>
    <xf numFmtId="0" fontId="0" fillId="4" borderId="3" xfId="0" applyFill="1" applyBorder="1" applyAlignment="1" applyProtection="1">
      <alignment horizontal="left" vertical="center"/>
      <protection locked="0" hidden="1"/>
    </xf>
    <xf numFmtId="0" fontId="26" fillId="2" borderId="3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17" fillId="9" borderId="14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"/>
    </xf>
    <xf numFmtId="0" fontId="30" fillId="9" borderId="1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21" fillId="9" borderId="2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19" fillId="9" borderId="26" xfId="0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9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28" fillId="2" borderId="25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11" fillId="2" borderId="25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14" fontId="9" fillId="2" borderId="7" xfId="0" applyNumberFormat="1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49" fontId="15" fillId="2" borderId="15" xfId="0" applyNumberFormat="1" applyFont="1" applyFill="1" applyBorder="1" applyAlignment="1">
      <alignment horizontal="center"/>
    </xf>
    <xf numFmtId="49" fontId="16" fillId="2" borderId="26" xfId="0" applyNumberFormat="1" applyFont="1" applyFill="1" applyBorder="1" applyAlignment="1">
      <alignment horizontal="center"/>
    </xf>
    <xf numFmtId="49" fontId="16" fillId="2" borderId="16" xfId="0" applyNumberFormat="1" applyFont="1" applyFill="1" applyBorder="1" applyAlignment="1">
      <alignment horizontal="center"/>
    </xf>
    <xf numFmtId="49" fontId="12" fillId="9" borderId="7" xfId="0" applyNumberFormat="1" applyFont="1" applyFill="1" applyBorder="1" applyAlignment="1">
      <alignment horizontal="left" vertical="center" wrapText="1"/>
    </xf>
    <xf numFmtId="0" fontId="0" fillId="9" borderId="8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0" fillId="9" borderId="26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5" fillId="9" borderId="26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12" xfId="0" applyFill="1" applyBorder="1" applyAlignment="1">
      <alignment horizontal="center"/>
    </xf>
    <xf numFmtId="0" fontId="9" fillId="4" borderId="44" xfId="0" applyFont="1" applyFill="1" applyBorder="1" applyAlignment="1">
      <alignment horizontal="center"/>
    </xf>
    <xf numFmtId="0" fontId="9" fillId="4" borderId="45" xfId="0" applyFont="1" applyFill="1" applyBorder="1" applyAlignment="1">
      <alignment horizontal="center"/>
    </xf>
    <xf numFmtId="0" fontId="9" fillId="4" borderId="46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7" fillId="4" borderId="44" xfId="0" applyFont="1" applyFill="1" applyBorder="1" applyAlignment="1">
      <alignment horizontal="center"/>
    </xf>
    <xf numFmtId="0" fontId="17" fillId="4" borderId="45" xfId="0" applyFont="1" applyFill="1" applyBorder="1" applyAlignment="1">
      <alignment horizontal="center"/>
    </xf>
    <xf numFmtId="0" fontId="0" fillId="4" borderId="46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4" fillId="2" borderId="7" xfId="0" applyFont="1" applyFill="1" applyBorder="1" applyAlignment="1">
      <alignment horizontal="left"/>
    </xf>
    <xf numFmtId="0" fontId="0" fillId="2" borderId="8" xfId="0" applyFill="1" applyBorder="1"/>
    <xf numFmtId="0" fontId="0" fillId="2" borderId="14" xfId="0" applyFill="1" applyBorder="1"/>
    <xf numFmtId="0" fontId="21" fillId="4" borderId="25" xfId="0" applyFont="1" applyFill="1" applyBorder="1" applyAlignment="1">
      <alignment horizontal="center" wrapText="1"/>
    </xf>
    <xf numFmtId="0" fontId="0" fillId="4" borderId="28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 vertical="center" wrapText="1"/>
    </xf>
    <xf numFmtId="0" fontId="33" fillId="4" borderId="12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49" fontId="12" fillId="4" borderId="7" xfId="0" applyNumberFormat="1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26" xfId="0" applyFill="1" applyBorder="1" applyAlignment="1">
      <alignment horizontal="left" vertical="center"/>
    </xf>
    <xf numFmtId="0" fontId="13" fillId="4" borderId="25" xfId="0" applyFont="1" applyFill="1" applyBorder="1" applyAlignment="1">
      <alignment horizontal="left" vertical="center" wrapText="1"/>
    </xf>
    <xf numFmtId="0" fontId="13" fillId="4" borderId="27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49" fontId="15" fillId="4" borderId="15" xfId="0" applyNumberFormat="1" applyFont="1" applyFill="1" applyBorder="1" applyAlignment="1">
      <alignment horizontal="center"/>
    </xf>
    <xf numFmtId="49" fontId="16" fillId="4" borderId="26" xfId="0" applyNumberFormat="1" applyFont="1" applyFill="1" applyBorder="1" applyAlignment="1">
      <alignment horizontal="center"/>
    </xf>
    <xf numFmtId="49" fontId="16" fillId="4" borderId="16" xfId="0" applyNumberFormat="1" applyFont="1" applyFill="1" applyBorder="1" applyAlignment="1">
      <alignment horizontal="center"/>
    </xf>
    <xf numFmtId="0" fontId="28" fillId="4" borderId="25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2" xfId="0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9" borderId="27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13" fillId="9" borderId="25" xfId="0" applyFont="1" applyFill="1" applyBorder="1" applyAlignment="1">
      <alignment horizontal="left" vertical="center" wrapText="1"/>
    </xf>
    <xf numFmtId="0" fontId="0" fillId="9" borderId="27" xfId="0" applyFill="1" applyBorder="1" applyAlignment="1">
      <alignment horizontal="left" vertical="center"/>
    </xf>
    <xf numFmtId="0" fontId="0" fillId="9" borderId="28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13" fillId="9" borderId="27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5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21" fillId="9" borderId="2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37" fillId="4" borderId="3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37" fillId="4" borderId="35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/>
    </xf>
    <xf numFmtId="0" fontId="37" fillId="4" borderId="37" xfId="0" applyFont="1" applyFill="1" applyBorder="1" applyAlignment="1">
      <alignment horizontal="left" vertical="center"/>
    </xf>
    <xf numFmtId="0" fontId="37" fillId="4" borderId="26" xfId="0" applyFont="1" applyFill="1" applyBorder="1" applyAlignment="1">
      <alignment horizontal="left" vertical="center"/>
    </xf>
    <xf numFmtId="14" fontId="37" fillId="4" borderId="35" xfId="0" applyNumberFormat="1" applyFont="1" applyFill="1" applyBorder="1" applyAlignment="1">
      <alignment horizontal="center" vertical="center"/>
    </xf>
    <xf numFmtId="0" fontId="37" fillId="4" borderId="36" xfId="0" applyFont="1" applyFill="1" applyBorder="1" applyAlignment="1">
      <alignment horizontal="center" vertical="center"/>
    </xf>
    <xf numFmtId="0" fontId="37" fillId="4" borderId="37" xfId="0" applyFont="1" applyFill="1" applyBorder="1" applyAlignment="1">
      <alignment horizontal="center" vertical="center"/>
    </xf>
    <xf numFmtId="0" fontId="37" fillId="4" borderId="38" xfId="0" applyFont="1" applyFill="1" applyBorder="1" applyAlignment="1">
      <alignment horizontal="center" vertical="center"/>
    </xf>
    <xf numFmtId="0" fontId="37" fillId="4" borderId="9" xfId="0" applyFont="1" applyFill="1" applyBorder="1" applyAlignment="1">
      <alignment horizontal="center" vertical="center"/>
    </xf>
    <xf numFmtId="0" fontId="37" fillId="4" borderId="39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/>
    </xf>
    <xf numFmtId="0" fontId="38" fillId="3" borderId="27" xfId="0" applyFont="1" applyFill="1" applyBorder="1" applyAlignment="1">
      <alignment horizontal="left" vertical="center"/>
    </xf>
    <xf numFmtId="0" fontId="38" fillId="3" borderId="36" xfId="0" applyFont="1" applyFill="1" applyBorder="1" applyAlignment="1">
      <alignment horizontal="left" vertical="center"/>
    </xf>
    <xf numFmtId="0" fontId="38" fillId="3" borderId="37" xfId="0" applyFont="1" applyFill="1" applyBorder="1" applyAlignment="1">
      <alignment horizontal="left" vertical="center"/>
    </xf>
    <xf numFmtId="0" fontId="38" fillId="3" borderId="0" xfId="0" applyFont="1" applyFill="1" applyAlignment="1">
      <alignment horizontal="left" vertical="center"/>
    </xf>
    <xf numFmtId="0" fontId="38" fillId="3" borderId="42" xfId="0" applyFont="1" applyFill="1" applyBorder="1" applyAlignment="1">
      <alignment horizontal="left" vertical="center"/>
    </xf>
    <xf numFmtId="0" fontId="37" fillId="3" borderId="9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37" fillId="3" borderId="34" xfId="0" applyFont="1" applyFill="1" applyBorder="1" applyAlignment="1">
      <alignment horizontal="center" vertical="center" textRotation="90"/>
    </xf>
    <xf numFmtId="0" fontId="39" fillId="3" borderId="34" xfId="0" applyFont="1" applyFill="1" applyBorder="1" applyAlignment="1">
      <alignment horizontal="center" vertical="center" textRotation="90"/>
    </xf>
    <xf numFmtId="0" fontId="39" fillId="3" borderId="37" xfId="0" applyFont="1" applyFill="1" applyBorder="1"/>
    <xf numFmtId="0" fontId="34" fillId="4" borderId="37" xfId="0" applyFont="1" applyFill="1" applyBorder="1"/>
    <xf numFmtId="0" fontId="34" fillId="4" borderId="26" xfId="0" applyFont="1" applyFill="1" applyBorder="1"/>
    <xf numFmtId="0" fontId="34" fillId="4" borderId="41" xfId="0" applyFont="1" applyFill="1" applyBorder="1"/>
    <xf numFmtId="0" fontId="40" fillId="4" borderId="35" xfId="0" applyFont="1" applyFill="1" applyBorder="1" applyAlignment="1">
      <alignment horizontal="center" vertical="center"/>
    </xf>
    <xf numFmtId="0" fontId="41" fillId="4" borderId="27" xfId="0" applyFont="1" applyFill="1" applyBorder="1" applyAlignment="1">
      <alignment horizontal="center"/>
    </xf>
    <xf numFmtId="0" fontId="41" fillId="4" borderId="36" xfId="0" applyFont="1" applyFill="1" applyBorder="1" applyAlignment="1">
      <alignment horizontal="center"/>
    </xf>
    <xf numFmtId="0" fontId="41" fillId="4" borderId="37" xfId="0" applyFont="1" applyFill="1" applyBorder="1" applyAlignment="1">
      <alignment horizontal="center"/>
    </xf>
    <xf numFmtId="0" fontId="41" fillId="4" borderId="26" xfId="0" applyFont="1" applyFill="1" applyBorder="1" applyAlignment="1">
      <alignment horizontal="center"/>
    </xf>
    <xf numFmtId="0" fontId="41" fillId="4" borderId="38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left" vertical="center"/>
    </xf>
    <xf numFmtId="0" fontId="38" fillId="2" borderId="27" xfId="0" applyFont="1" applyFill="1" applyBorder="1" applyAlignment="1">
      <alignment horizontal="left" vertical="center"/>
    </xf>
    <xf numFmtId="0" fontId="38" fillId="2" borderId="37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42" fillId="2" borderId="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7" fillId="2" borderId="35" xfId="0" applyFont="1" applyFill="1" applyBorder="1" applyAlignment="1">
      <alignment horizontal="center" vertical="center" textRotation="90"/>
    </xf>
    <xf numFmtId="0" fontId="39" fillId="2" borderId="34" xfId="0" applyFont="1" applyFill="1" applyBorder="1" applyAlignment="1">
      <alignment horizontal="center" vertical="center" textRotation="90"/>
    </xf>
    <xf numFmtId="0" fontId="39" fillId="2" borderId="20" xfId="0" applyFont="1" applyFill="1" applyBorder="1" applyAlignment="1">
      <alignment horizontal="center" vertical="center" textRotation="90"/>
    </xf>
    <xf numFmtId="0" fontId="39" fillId="2" borderId="39" xfId="0" applyFont="1" applyFill="1" applyBorder="1" applyAlignment="1">
      <alignment horizontal="center" vertical="center" textRotation="90"/>
    </xf>
    <xf numFmtId="0" fontId="34" fillId="4" borderId="40" xfId="0" applyFont="1" applyFill="1" applyBorder="1"/>
    <xf numFmtId="0" fontId="34" fillId="4" borderId="31" xfId="0" applyFont="1" applyFill="1" applyBorder="1"/>
    <xf numFmtId="0" fontId="38" fillId="3" borderId="26" xfId="0" applyFont="1" applyFill="1" applyBorder="1" applyAlignment="1">
      <alignment horizontal="left" vertical="center"/>
    </xf>
    <xf numFmtId="0" fontId="38" fillId="3" borderId="38" xfId="0" applyFont="1" applyFill="1" applyBorder="1" applyAlignment="1">
      <alignment horizontal="left" vertical="center"/>
    </xf>
    <xf numFmtId="0" fontId="37" fillId="3" borderId="20" xfId="0" applyFont="1" applyFill="1" applyBorder="1" applyAlignment="1">
      <alignment horizontal="center" vertical="center"/>
    </xf>
    <xf numFmtId="0" fontId="34" fillId="4" borderId="38" xfId="0" applyFont="1" applyFill="1" applyBorder="1"/>
    <xf numFmtId="0" fontId="37" fillId="3" borderId="9" xfId="0" applyFont="1" applyFill="1" applyBorder="1" applyAlignment="1">
      <alignment horizontal="center" vertical="center" textRotation="90"/>
    </xf>
    <xf numFmtId="0" fontId="39" fillId="3" borderId="20" xfId="0" applyFont="1" applyFill="1" applyBorder="1" applyAlignment="1">
      <alignment horizontal="center" vertical="center" textRotation="90"/>
    </xf>
    <xf numFmtId="0" fontId="39" fillId="3" borderId="20" xfId="0" applyFont="1" applyFill="1" applyBorder="1"/>
    <xf numFmtId="0" fontId="0" fillId="0" borderId="20" xfId="0" applyBorder="1"/>
    <xf numFmtId="0" fontId="0" fillId="0" borderId="39" xfId="0" applyBorder="1"/>
    <xf numFmtId="0" fontId="39" fillId="3" borderId="39" xfId="0" applyFont="1" applyFill="1" applyBorder="1"/>
    <xf numFmtId="0" fontId="12" fillId="6" borderId="35" xfId="0" applyFont="1" applyFill="1" applyBorder="1" applyAlignment="1">
      <alignment horizontal="left" vertical="center"/>
    </xf>
    <xf numFmtId="0" fontId="38" fillId="6" borderId="27" xfId="0" applyFont="1" applyFill="1" applyBorder="1" applyAlignment="1">
      <alignment horizontal="left" vertical="center"/>
    </xf>
    <xf numFmtId="0" fontId="38" fillId="6" borderId="36" xfId="0" applyFont="1" applyFill="1" applyBorder="1" applyAlignment="1">
      <alignment horizontal="left" vertical="center"/>
    </xf>
    <xf numFmtId="0" fontId="38" fillId="6" borderId="37" xfId="0" applyFont="1" applyFill="1" applyBorder="1" applyAlignment="1">
      <alignment horizontal="left" vertical="center"/>
    </xf>
    <xf numFmtId="0" fontId="38" fillId="6" borderId="26" xfId="0" applyFont="1" applyFill="1" applyBorder="1" applyAlignment="1">
      <alignment horizontal="left" vertical="center"/>
    </xf>
    <xf numFmtId="0" fontId="38" fillId="6" borderId="38" xfId="0" applyFont="1" applyFill="1" applyBorder="1" applyAlignment="1">
      <alignment horizontal="left" vertical="center"/>
    </xf>
    <xf numFmtId="0" fontId="37" fillId="6" borderId="9" xfId="0" applyFont="1" applyFill="1" applyBorder="1" applyAlignment="1">
      <alignment horizontal="center" vertical="center"/>
    </xf>
    <xf numFmtId="0" fontId="37" fillId="6" borderId="39" xfId="0" applyFont="1" applyFill="1" applyBorder="1" applyAlignment="1">
      <alignment horizontal="center" vertical="center"/>
    </xf>
    <xf numFmtId="0" fontId="37" fillId="6" borderId="34" xfId="0" applyFont="1" applyFill="1" applyBorder="1" applyAlignment="1">
      <alignment horizontal="center" vertical="center" textRotation="90"/>
    </xf>
    <xf numFmtId="0" fontId="39" fillId="6" borderId="34" xfId="0" applyFont="1" applyFill="1" applyBorder="1" applyAlignment="1">
      <alignment horizontal="center" vertical="center" textRotation="90"/>
    </xf>
    <xf numFmtId="0" fontId="39" fillId="6" borderId="20" xfId="0" applyFont="1" applyFill="1" applyBorder="1" applyAlignment="1">
      <alignment horizontal="center" vertical="center" textRotation="90"/>
    </xf>
    <xf numFmtId="0" fontId="39" fillId="6" borderId="39" xfId="0" applyFont="1" applyFill="1" applyBorder="1"/>
    <xf numFmtId="0" fontId="38" fillId="6" borderId="0" xfId="0" applyFont="1" applyFill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12" fillId="7" borderId="35" xfId="0" applyFont="1" applyFill="1" applyBorder="1" applyAlignment="1">
      <alignment horizontal="left" vertical="center"/>
    </xf>
    <xf numFmtId="0" fontId="38" fillId="7" borderId="27" xfId="0" applyFont="1" applyFill="1" applyBorder="1" applyAlignment="1">
      <alignment horizontal="left" vertical="center"/>
    </xf>
    <xf numFmtId="0" fontId="38" fillId="7" borderId="36" xfId="0" applyFont="1" applyFill="1" applyBorder="1" applyAlignment="1">
      <alignment horizontal="left" vertical="center"/>
    </xf>
    <xf numFmtId="0" fontId="38" fillId="7" borderId="37" xfId="0" applyFont="1" applyFill="1" applyBorder="1" applyAlignment="1">
      <alignment horizontal="left" vertical="center"/>
    </xf>
    <xf numFmtId="0" fontId="38" fillId="7" borderId="0" xfId="0" applyFont="1" applyFill="1" applyAlignment="1">
      <alignment horizontal="left" vertical="center"/>
    </xf>
    <xf numFmtId="0" fontId="38" fillId="7" borderId="42" xfId="0" applyFont="1" applyFill="1" applyBorder="1" applyAlignment="1">
      <alignment horizontal="left" vertical="center"/>
    </xf>
    <xf numFmtId="0" fontId="37" fillId="7" borderId="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7" fillId="7" borderId="34" xfId="0" applyFont="1" applyFill="1" applyBorder="1" applyAlignment="1">
      <alignment horizontal="center" vertical="center" textRotation="90"/>
    </xf>
    <xf numFmtId="0" fontId="39" fillId="7" borderId="34" xfId="0" applyFont="1" applyFill="1" applyBorder="1" applyAlignment="1">
      <alignment horizontal="center" vertical="center" textRotation="90"/>
    </xf>
    <xf numFmtId="0" fontId="39" fillId="7" borderId="20" xfId="0" applyFont="1" applyFill="1" applyBorder="1" applyAlignment="1">
      <alignment horizontal="center" vertical="center" textRotation="90"/>
    </xf>
    <xf numFmtId="0" fontId="39" fillId="7" borderId="39" xfId="0" applyFont="1" applyFill="1" applyBorder="1"/>
    <xf numFmtId="0" fontId="14" fillId="0" borderId="37" xfId="0" applyFont="1" applyBorder="1" applyAlignment="1">
      <alignment horizontal="center"/>
    </xf>
    <xf numFmtId="0" fontId="12" fillId="6" borderId="27" xfId="0" applyFont="1" applyFill="1" applyBorder="1" applyAlignment="1">
      <alignment horizontal="left" vertical="center"/>
    </xf>
    <xf numFmtId="0" fontId="12" fillId="6" borderId="36" xfId="0" applyFont="1" applyFill="1" applyBorder="1" applyAlignment="1">
      <alignment horizontal="left" vertical="center"/>
    </xf>
    <xf numFmtId="0" fontId="12" fillId="6" borderId="37" xfId="0" applyFont="1" applyFill="1" applyBorder="1" applyAlignment="1">
      <alignment horizontal="left" vertical="center"/>
    </xf>
    <xf numFmtId="0" fontId="12" fillId="6" borderId="26" xfId="0" applyFont="1" applyFill="1" applyBorder="1" applyAlignment="1">
      <alignment horizontal="left" vertical="center"/>
    </xf>
    <xf numFmtId="0" fontId="12" fillId="6" borderId="38" xfId="0" applyFont="1" applyFill="1" applyBorder="1" applyAlignment="1">
      <alignment horizontal="left" vertical="center"/>
    </xf>
    <xf numFmtId="0" fontId="37" fillId="2" borderId="34" xfId="0" applyFont="1" applyFill="1" applyBorder="1" applyAlignment="1">
      <alignment horizontal="center" vertical="center" textRotation="90"/>
    </xf>
    <xf numFmtId="0" fontId="38" fillId="2" borderId="36" xfId="0" applyFont="1" applyFill="1" applyBorder="1" applyAlignment="1">
      <alignment horizontal="left" vertical="center"/>
    </xf>
    <xf numFmtId="0" fontId="38" fillId="2" borderId="42" xfId="0" applyFont="1" applyFill="1" applyBorder="1" applyAlignment="1">
      <alignment horizontal="left" vertical="center"/>
    </xf>
    <xf numFmtId="0" fontId="37" fillId="2" borderId="9" xfId="0" applyFont="1" applyFill="1" applyBorder="1" applyAlignment="1">
      <alignment horizontal="center" vertical="center"/>
    </xf>
    <xf numFmtId="0" fontId="37" fillId="2" borderId="39" xfId="0" applyFont="1" applyFill="1" applyBorder="1" applyAlignment="1">
      <alignment horizontal="center" vertical="center"/>
    </xf>
    <xf numFmtId="0" fontId="39" fillId="2" borderId="39" xfId="0" applyFont="1" applyFill="1" applyBorder="1"/>
    <xf numFmtId="0" fontId="14" fillId="8" borderId="40" xfId="0" applyFont="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51" fillId="8" borderId="31" xfId="0" applyFont="1" applyFill="1" applyBorder="1" applyAlignment="1">
      <alignment horizontal="center"/>
    </xf>
    <xf numFmtId="0" fontId="51" fillId="8" borderId="41" xfId="0" applyFont="1" applyFill="1" applyBorder="1" applyAlignment="1">
      <alignment horizontal="center"/>
    </xf>
    <xf numFmtId="0" fontId="37" fillId="2" borderId="35" xfId="0" applyFont="1" applyFill="1" applyBorder="1" applyAlignment="1">
      <alignment horizontal="left" vertical="center"/>
    </xf>
    <xf numFmtId="0" fontId="37" fillId="2" borderId="27" xfId="0" applyFont="1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37" fillId="2" borderId="37" xfId="0" applyFont="1" applyFill="1" applyBorder="1" applyAlignment="1">
      <alignment horizontal="left" vertical="center"/>
    </xf>
    <xf numFmtId="0" fontId="37" fillId="2" borderId="26" xfId="0" applyFont="1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6" fillId="4" borderId="35" xfId="0" applyFont="1" applyFill="1" applyBorder="1" applyAlignment="1">
      <alignment horizontal="left" vertical="center"/>
    </xf>
    <xf numFmtId="0" fontId="6" fillId="4" borderId="37" xfId="0" applyFont="1" applyFill="1" applyBorder="1" applyAlignment="1">
      <alignment horizontal="left" vertical="center"/>
    </xf>
    <xf numFmtId="0" fontId="35" fillId="0" borderId="35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35" xfId="0" applyBorder="1" applyAlignment="1">
      <alignment horizontal="left" vertical="top" wrapText="1"/>
    </xf>
    <xf numFmtId="0" fontId="6" fillId="10" borderId="9" xfId="0" applyFont="1" applyFill="1" applyBorder="1" applyAlignment="1">
      <alignment horizontal="left" vertical="center"/>
    </xf>
    <xf numFmtId="0" fontId="0" fillId="10" borderId="20" xfId="0" applyFill="1" applyBorder="1"/>
    <xf numFmtId="0" fontId="0" fillId="10" borderId="39" xfId="0" applyFill="1" applyBorder="1"/>
  </cellXfs>
  <cellStyles count="2">
    <cellStyle name="Link" xfId="1" builtinId="8"/>
    <cellStyle name="Standard" xfId="0" builtinId="0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99CC00"/>
      <color rgb="FF0099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2.Semester/2.7_Auftrag.pdf" TargetMode="External"/><Relationship Id="rId3" Type="http://schemas.openxmlformats.org/officeDocument/2006/relationships/hyperlink" Target="https://sanitaerlernen.ch/0_Datenbank/1_Auftraege/2.Semester/2.2_Auftrag.pdf" TargetMode="External"/><Relationship Id="rId7" Type="http://schemas.openxmlformats.org/officeDocument/2006/relationships/hyperlink" Target="https://sanitaerlernen.ch/0_Datenbank/1_Auftraege/2.Semester/2.6_Auftrag.pdf" TargetMode="External"/><Relationship Id="rId12" Type="http://schemas.openxmlformats.org/officeDocument/2006/relationships/hyperlink" Target="https://sanitaerlernen.ch/0_Datenbank/1_Auftraege/2.Semester/2.11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2.Semester/2.1_Auftrag.pdf" TargetMode="External"/><Relationship Id="rId6" Type="http://schemas.openxmlformats.org/officeDocument/2006/relationships/hyperlink" Target="https://sanitaerlernen.ch/0_Datenbank/1_Auftraege/2.Semester/2.5_Auftrag.pdf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sanitaerlernen.ch/0_Datenbank/1_Auftraege/2.Semester/2.9_Auftrag.pdf" TargetMode="External"/><Relationship Id="rId10" Type="http://schemas.openxmlformats.org/officeDocument/2006/relationships/image" Target="../media/image2.png"/><Relationship Id="rId4" Type="http://schemas.openxmlformats.org/officeDocument/2006/relationships/hyperlink" Target="https://sanitaerlernen.ch/0_Datenbank/1_Auftraege/2.Semester/2.4_Auftrag.pdf" TargetMode="External"/><Relationship Id="rId9" Type="http://schemas.openxmlformats.org/officeDocument/2006/relationships/hyperlink" Target="https://sanitaerlernen.ch/0_Datenbank/1_Auftraege/2.Semester/2.3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B4qb8wt0_k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1TyiNQViF-g" TargetMode="External"/><Relationship Id="rId6" Type="http://schemas.openxmlformats.org/officeDocument/2006/relationships/hyperlink" Target="https://youtu.be/oCuHVtk_qk0" TargetMode="External"/><Relationship Id="rId5" Type="http://schemas.openxmlformats.org/officeDocument/2006/relationships/hyperlink" Target="https://youtu.be/kqe-civTXz4" TargetMode="External"/><Relationship Id="rId4" Type="http://schemas.openxmlformats.org/officeDocument/2006/relationships/hyperlink" Target="https://youtu.be/MBjpL3pq0Ic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69WNvts2kDU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hyperlink" Target="https://youtu.be/lOPTabHcXks" TargetMode="External"/><Relationship Id="rId6" Type="http://schemas.openxmlformats.org/officeDocument/2006/relationships/hyperlink" Target="https://bldsg-my.sharepoint.com/:f:/g/personal/marcel_item_gbssg_ch/EgFqDL4gmmVEuJNCp_lGewwBbMAb7GndJqiNfdFXJLeaYQ?e=bPalkw" TargetMode="External"/><Relationship Id="rId5" Type="http://schemas.openxmlformats.org/officeDocument/2006/relationships/hyperlink" Target="https://youtu.be/oCuHVtk_qk0" TargetMode="External"/><Relationship Id="rId4" Type="http://schemas.openxmlformats.org/officeDocument/2006/relationships/hyperlink" Target="https://youtu.be/B4qb8wt0_kE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Sv0Vl3_0uq4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lTJPSzuzOUA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&amp;t=129s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Sv0Vl3_0uq4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sanitaerlernen.ch/0_Datenbank/6_Lernziele/2.Semester/Lernziele_2.1.pdf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LaqJyge0io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TcDhL4uaK3Y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LaqJyge0io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CrHxWao22z4" TargetMode="External"/><Relationship Id="rId4" Type="http://schemas.openxmlformats.org/officeDocument/2006/relationships/hyperlink" Target="https://youtu.be/KPG8Mujmr2k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-pFbSNdMsZ0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AiXmVpVTP54" TargetMode="External"/><Relationship Id="rId6" Type="http://schemas.openxmlformats.org/officeDocument/2006/relationships/image" Target="../media/image5.png"/><Relationship Id="rId5" Type="http://schemas.openxmlformats.org/officeDocument/2006/relationships/hyperlink" Target="https://bldsg-my.sharepoint.com/:b:/g/personal/marcel_item_gbssg_ch/EUhwxGInf2JNj4l-Xr3fBOoBxETo9RQI-idhixtLmwBwSg?e=Sf1d2e" TargetMode="External"/><Relationship Id="rId4" Type="http://schemas.openxmlformats.org/officeDocument/2006/relationships/hyperlink" Target="https://youtu.be/NC4AnBzNf2Y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Y80IIvQ0MSw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bFYBCRrw1ro" TargetMode="External"/><Relationship Id="rId6" Type="http://schemas.openxmlformats.org/officeDocument/2006/relationships/hyperlink" Target="https://youtu.be/c9JWaWBTmd0" TargetMode="External"/><Relationship Id="rId5" Type="http://schemas.openxmlformats.org/officeDocument/2006/relationships/hyperlink" Target="https://youtu.be/Y2_z1WzigVg" TargetMode="External"/><Relationship Id="rId4" Type="http://schemas.openxmlformats.org/officeDocument/2006/relationships/hyperlink" Target="https://youtu.be/L5J_JuDO6z0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Y2_z1WzigVg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Y80IIvQ0MSw" TargetMode="External"/><Relationship Id="rId6" Type="http://schemas.openxmlformats.org/officeDocument/2006/relationships/hyperlink" Target="https://youtu.be/KngEH4WVA7A" TargetMode="External"/><Relationship Id="rId5" Type="http://schemas.openxmlformats.org/officeDocument/2006/relationships/hyperlink" Target="https://youtu.be/1HvSrzAVBqk" TargetMode="External"/><Relationship Id="rId4" Type="http://schemas.openxmlformats.org/officeDocument/2006/relationships/hyperlink" Target="https://youtu.be/c9JWaWBTmd0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Tk1krpdORM&amp;list=PLLlESpyU2WvUY2RFIt37c20qW8BVA7gAo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Ts6PFfd0Cf0&amp;list=PLLlESpyU2WvU8uo60w74UVxVZMaDhEwxd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Tk1krpdORM&amp;list=PLLlESpyU2WvUY2RFIt37c20qW8BVA7gAo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Ts6PFfd0Cf0&amp;list=PLLlESpyU2WvU8uo60w74UVxVZMaDhEwxd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sanitaerlernen.ch/0_Datenbank/6_Lernziele/2.Semester/Lernziele_2.2_1.pdf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Tk1krpdORM&amp;list=PLLlESpyU2WvUY2RFIt37c20qW8BVA7gAo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Ts6PFfd0Cf0&amp;list=PLLlESpyU2WvU8uo60w74UVxVZMaDhEwxd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bldsg-my.sharepoint.com/:b:/g/personal/marcel_item_gbssg_ch/EUkdWOuXxrBDuOnGAwOvo2gBsylJpIklG46G3eUquX_qaQ?e=mAAxTW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Ts6PFfd0Cf0&amp;list=PLLlESpyU2WvU8uo60w74UVxVZMaDhEwxd" TargetMode="External"/><Relationship Id="rId5" Type="http://schemas.openxmlformats.org/officeDocument/2006/relationships/hyperlink" Target="https://www.youtube.com/watch?v=ZTk1krpdORM&amp;list=PLLlESpyU2WvUY2RFIt37c20qW8BVA7gAo" TargetMode="External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qdmaQ_taG3Y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ZTk1krpdORM&amp;list=PLLlESpyU2WvUY2RFIt37c20qW8BVA7gAo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2.Semester/Lernziele_2.2_2.pdf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f9ubBT3FzVc" TargetMode="External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bldsg-my.sharepoint.com/:v:/g/personal/marcel_item_gbssg_ch/EaQdXm-oD7tCp99BU0XUf0UBKtUb-8uTLaT_oCejNRRDYQ?e=4eLxJ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19051</xdr:colOff>
      <xdr:row>4</xdr:row>
      <xdr:rowOff>66676</xdr:rowOff>
    </xdr:from>
    <xdr:to>
      <xdr:col>4</xdr:col>
      <xdr:colOff>342901</xdr:colOff>
      <xdr:row>5</xdr:row>
      <xdr:rowOff>142876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4077E-123D-46D4-9FF7-E17651EFC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78105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4</xdr:row>
      <xdr:rowOff>66676</xdr:rowOff>
    </xdr:from>
    <xdr:to>
      <xdr:col>6</xdr:col>
      <xdr:colOff>342901</xdr:colOff>
      <xdr:row>5</xdr:row>
      <xdr:rowOff>142876</xdr:rowOff>
    </xdr:to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D1992F-590C-4E89-90D5-8BA69083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13</xdr:row>
      <xdr:rowOff>47626</xdr:rowOff>
    </xdr:from>
    <xdr:to>
      <xdr:col>6</xdr:col>
      <xdr:colOff>333376</xdr:colOff>
      <xdr:row>14</xdr:row>
      <xdr:rowOff>123826</xdr:rowOff>
    </xdr:to>
    <xdr:pic>
      <xdr:nvPicPr>
        <xdr:cNvPr id="10" name="Grafik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FDB9C4-9B48-40E0-B2B3-37206743C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299085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47625</xdr:rowOff>
    </xdr:from>
    <xdr:to>
      <xdr:col>9</xdr:col>
      <xdr:colOff>333375</xdr:colOff>
      <xdr:row>5</xdr:row>
      <xdr:rowOff>123825</xdr:rowOff>
    </xdr:to>
    <xdr:pic>
      <xdr:nvPicPr>
        <xdr:cNvPr id="15" name="Grafik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804D51-0659-4E12-802C-12D1F3D8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74485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13</xdr:row>
      <xdr:rowOff>57151</xdr:rowOff>
    </xdr:from>
    <xdr:to>
      <xdr:col>8</xdr:col>
      <xdr:colOff>333376</xdr:colOff>
      <xdr:row>14</xdr:row>
      <xdr:rowOff>133351</xdr:rowOff>
    </xdr:to>
    <xdr:pic>
      <xdr:nvPicPr>
        <xdr:cNvPr id="18" name="Grafik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9B163A-76BB-4BC9-BD27-161FCE70D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1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22</xdr:row>
      <xdr:rowOff>47626</xdr:rowOff>
    </xdr:from>
    <xdr:to>
      <xdr:col>4</xdr:col>
      <xdr:colOff>342901</xdr:colOff>
      <xdr:row>23</xdr:row>
      <xdr:rowOff>123826</xdr:rowOff>
    </xdr:to>
    <xdr:pic>
      <xdr:nvPicPr>
        <xdr:cNvPr id="23" name="Grafik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46DBF1-24AD-4435-B9EA-4B4F7731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52197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22</xdr:row>
      <xdr:rowOff>47626</xdr:rowOff>
    </xdr:from>
    <xdr:to>
      <xdr:col>6</xdr:col>
      <xdr:colOff>333376</xdr:colOff>
      <xdr:row>23</xdr:row>
      <xdr:rowOff>123826</xdr:rowOff>
    </xdr:to>
    <xdr:pic>
      <xdr:nvPicPr>
        <xdr:cNvPr id="24" name="Grafik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0B1BD27-65B5-4EBE-9CCA-6DE852B83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52197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13</xdr:row>
      <xdr:rowOff>57151</xdr:rowOff>
    </xdr:from>
    <xdr:to>
      <xdr:col>4</xdr:col>
      <xdr:colOff>342901</xdr:colOff>
      <xdr:row>14</xdr:row>
      <xdr:rowOff>133351</xdr:rowOff>
    </xdr:to>
    <xdr:pic>
      <xdr:nvPicPr>
        <xdr:cNvPr id="9" name="Grafik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30FA9C-A277-44EB-880B-8E8237338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20</xdr:col>
      <xdr:colOff>676275</xdr:colOff>
      <xdr:row>4</xdr:row>
      <xdr:rowOff>57150</xdr:rowOff>
    </xdr:from>
    <xdr:to>
      <xdr:col>20</xdr:col>
      <xdr:colOff>1033462</xdr:colOff>
      <xdr:row>5</xdr:row>
      <xdr:rowOff>133350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2A0F1BE6-7507-47E6-A4D9-50D84CA7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300" y="771525"/>
          <a:ext cx="357187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494857</xdr:colOff>
      <xdr:row>24</xdr:row>
      <xdr:rowOff>133350</xdr:rowOff>
    </xdr:from>
    <xdr:to>
      <xdr:col>10</xdr:col>
      <xdr:colOff>499114</xdr:colOff>
      <xdr:row>27</xdr:row>
      <xdr:rowOff>180975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88BDE54-CBE6-485E-30BF-8A32C4294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52882" y="5800725"/>
          <a:ext cx="956757" cy="790575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4</xdr:row>
      <xdr:rowOff>66676</xdr:rowOff>
    </xdr:from>
    <xdr:ext cx="323850" cy="323850"/>
    <xdr:pic>
      <xdr:nvPicPr>
        <xdr:cNvPr id="2" name="Grafik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5AC1CA-C16A-43A5-BEC6-0A1E2E36F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31</xdr:row>
      <xdr:rowOff>76201</xdr:rowOff>
    </xdr:from>
    <xdr:ext cx="323850" cy="323850"/>
    <xdr:pic>
      <xdr:nvPicPr>
        <xdr:cNvPr id="8" name="Grafik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7DBB890-F8A4-4AB1-8C96-210D57AF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1" y="7477126"/>
          <a:ext cx="3238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83081</xdr:colOff>
      <xdr:row>5</xdr:row>
      <xdr:rowOff>25931</xdr:rowOff>
    </xdr:from>
    <xdr:to>
      <xdr:col>6</xdr:col>
      <xdr:colOff>436368</xdr:colOff>
      <xdr:row>6</xdr:row>
      <xdr:rowOff>169668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D4855A-DD18-4D27-A783-48BEF0580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731" y="987956"/>
          <a:ext cx="353287" cy="343762"/>
        </a:xfrm>
        <a:prstGeom prst="rect">
          <a:avLst/>
        </a:prstGeom>
      </xdr:spPr>
    </xdr:pic>
    <xdr:clientData/>
  </xdr:twoCellAnchor>
  <xdr:oneCellAnchor>
    <xdr:from>
      <xdr:col>6</xdr:col>
      <xdr:colOff>397406</xdr:colOff>
      <xdr:row>19</xdr:row>
      <xdr:rowOff>64031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C8A937-CAD7-4388-8571-B1D6D7526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8056" y="3778781"/>
          <a:ext cx="353287" cy="324712"/>
        </a:xfrm>
        <a:prstGeom prst="rect">
          <a:avLst/>
        </a:prstGeom>
      </xdr:spPr>
    </xdr:pic>
    <xdr:clientData/>
  </xdr:oneCellAnchor>
  <xdr:twoCellAnchor editAs="oneCell">
    <xdr:from>
      <xdr:col>6</xdr:col>
      <xdr:colOff>597431</xdr:colOff>
      <xdr:row>5</xdr:row>
      <xdr:rowOff>25931</xdr:rowOff>
    </xdr:from>
    <xdr:to>
      <xdr:col>6</xdr:col>
      <xdr:colOff>950718</xdr:colOff>
      <xdr:row>6</xdr:row>
      <xdr:rowOff>169668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43A0EC-4424-45D5-BE38-753152F1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081" y="987956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83081</xdr:colOff>
      <xdr:row>7</xdr:row>
      <xdr:rowOff>16406</xdr:rowOff>
    </xdr:from>
    <xdr:to>
      <xdr:col>6</xdr:col>
      <xdr:colOff>436368</xdr:colOff>
      <xdr:row>8</xdr:row>
      <xdr:rowOff>160143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E1C782-2732-4667-9E8C-27805861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731" y="1378481"/>
          <a:ext cx="353287" cy="343762"/>
        </a:xfrm>
        <a:prstGeom prst="rect">
          <a:avLst/>
        </a:prstGeom>
      </xdr:spPr>
    </xdr:pic>
    <xdr:clientData/>
  </xdr:twoCellAnchor>
  <xdr:oneCellAnchor>
    <xdr:from>
      <xdr:col>6</xdr:col>
      <xdr:colOff>402169</xdr:colOff>
      <xdr:row>21</xdr:row>
      <xdr:rowOff>54506</xdr:rowOff>
    </xdr:from>
    <xdr:ext cx="353287" cy="324712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029349-DE4C-4F67-82E1-42058231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819" y="4169306"/>
          <a:ext cx="353287" cy="32471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397406</xdr:colOff>
      <xdr:row>5</xdr:row>
      <xdr:rowOff>35456</xdr:rowOff>
    </xdr:from>
    <xdr:to>
      <xdr:col>6</xdr:col>
      <xdr:colOff>750693</xdr:colOff>
      <xdr:row>6</xdr:row>
      <xdr:rowOff>179193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83F80-E9EB-4CC0-8546-27F47556E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7644" y="959381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402168</xdr:colOff>
      <xdr:row>7</xdr:row>
      <xdr:rowOff>35456</xdr:rowOff>
    </xdr:from>
    <xdr:to>
      <xdr:col>6</xdr:col>
      <xdr:colOff>755455</xdr:colOff>
      <xdr:row>8</xdr:row>
      <xdr:rowOff>179193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A74D90-6121-45F7-B213-017FCB36A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406" y="1321331"/>
          <a:ext cx="353287" cy="324712"/>
        </a:xfrm>
        <a:prstGeom prst="rect">
          <a:avLst/>
        </a:prstGeom>
      </xdr:spPr>
    </xdr:pic>
    <xdr:clientData/>
  </xdr:twoCellAnchor>
  <xdr:oneCellAnchor>
    <xdr:from>
      <xdr:col>6</xdr:col>
      <xdr:colOff>390525</xdr:colOff>
      <xdr:row>22</xdr:row>
      <xdr:rowOff>47625</xdr:rowOff>
    </xdr:from>
    <xdr:ext cx="353287" cy="324712"/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E69560-0EF0-421F-8320-8EA06C33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3771900"/>
          <a:ext cx="353287" cy="324712"/>
        </a:xfrm>
        <a:prstGeom prst="rect">
          <a:avLst/>
        </a:prstGeom>
      </xdr:spPr>
    </xdr:pic>
    <xdr:clientData/>
  </xdr:oneCellAnchor>
  <xdr:oneCellAnchor>
    <xdr:from>
      <xdr:col>6</xdr:col>
      <xdr:colOff>385763</xdr:colOff>
      <xdr:row>24</xdr:row>
      <xdr:rowOff>38100</xdr:rowOff>
    </xdr:from>
    <xdr:ext cx="353287" cy="324712"/>
    <xdr:pic>
      <xdr:nvPicPr>
        <xdr:cNvPr id="7" name="Grafi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866E4-CA9F-4341-AD92-EB9C4C4E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763" y="4162425"/>
          <a:ext cx="353287" cy="324712"/>
        </a:xfrm>
        <a:prstGeom prst="rect">
          <a:avLst/>
        </a:prstGeom>
      </xdr:spPr>
    </xdr:pic>
    <xdr:clientData/>
  </xdr:oneCellAnchor>
  <xdr:twoCellAnchor editAs="oneCell">
    <xdr:from>
      <xdr:col>6</xdr:col>
      <xdr:colOff>400050</xdr:colOff>
      <xdr:row>12</xdr:row>
      <xdr:rowOff>28575</xdr:rowOff>
    </xdr:from>
    <xdr:to>
      <xdr:col>6</xdr:col>
      <xdr:colOff>728243</xdr:colOff>
      <xdr:row>13</xdr:row>
      <xdr:rowOff>158576</xdr:rowOff>
    </xdr:to>
    <xdr:pic>
      <xdr:nvPicPr>
        <xdr:cNvPr id="8" name="Grafik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7CB9B51-C649-41AD-866B-642B996FD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397406</xdr:colOff>
      <xdr:row>5</xdr:row>
      <xdr:rowOff>35456</xdr:rowOff>
    </xdr:from>
    <xdr:to>
      <xdr:col>6</xdr:col>
      <xdr:colOff>750693</xdr:colOff>
      <xdr:row>6</xdr:row>
      <xdr:rowOff>179193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558EE-6834-403B-8713-22649602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7644" y="959381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7</xdr:row>
      <xdr:rowOff>76200</xdr:rowOff>
    </xdr:from>
    <xdr:to>
      <xdr:col>6</xdr:col>
      <xdr:colOff>753337</xdr:colOff>
      <xdr:row>9</xdr:row>
      <xdr:rowOff>19912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447288-89CC-4A0B-B5C5-80766F82F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1447800"/>
          <a:ext cx="353287" cy="343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5</xdr:row>
      <xdr:rowOff>38100</xdr:rowOff>
    </xdr:from>
    <xdr:to>
      <xdr:col>6</xdr:col>
      <xdr:colOff>667612</xdr:colOff>
      <xdr:row>6</xdr:row>
      <xdr:rowOff>181837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20B40-0B2C-4D8D-827C-BA5E24D8F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100965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7</xdr:row>
      <xdr:rowOff>133350</xdr:rowOff>
    </xdr:from>
    <xdr:to>
      <xdr:col>6</xdr:col>
      <xdr:colOff>677137</xdr:colOff>
      <xdr:row>9</xdr:row>
      <xdr:rowOff>77062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016464-355C-44D0-88E6-4A154AC5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150495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23</xdr:row>
      <xdr:rowOff>28575</xdr:rowOff>
    </xdr:from>
    <xdr:to>
      <xdr:col>6</xdr:col>
      <xdr:colOff>728243</xdr:colOff>
      <xdr:row>24</xdr:row>
      <xdr:rowOff>149051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D39EE6-8A6A-45E4-A896-C014DE229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19</xdr:row>
      <xdr:rowOff>76200</xdr:rowOff>
    </xdr:from>
    <xdr:to>
      <xdr:col>6</xdr:col>
      <xdr:colOff>753337</xdr:colOff>
      <xdr:row>21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99EDBB-5C6D-4F21-A3B2-B7AE7F0A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380047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5</xdr:row>
      <xdr:rowOff>47625</xdr:rowOff>
    </xdr:from>
    <xdr:to>
      <xdr:col>6</xdr:col>
      <xdr:colOff>743812</xdr:colOff>
      <xdr:row>6</xdr:row>
      <xdr:rowOff>172312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A1B7C4-E728-4FD9-9EAD-9EB7B196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0763" y="971550"/>
          <a:ext cx="353287" cy="3056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21</xdr:row>
      <xdr:rowOff>161925</xdr:rowOff>
    </xdr:from>
    <xdr:to>
      <xdr:col>6</xdr:col>
      <xdr:colOff>724762</xdr:colOff>
      <xdr:row>23</xdr:row>
      <xdr:rowOff>105637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61C82-5473-4FE5-99D2-D4642CD6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428625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5</xdr:row>
      <xdr:rowOff>66675</xdr:rowOff>
    </xdr:from>
    <xdr:to>
      <xdr:col>6</xdr:col>
      <xdr:colOff>686662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F0453F-832B-494B-8341-DD380402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038225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376238</xdr:colOff>
      <xdr:row>19</xdr:row>
      <xdr:rowOff>114300</xdr:rowOff>
    </xdr:from>
    <xdr:to>
      <xdr:col>6</xdr:col>
      <xdr:colOff>729525</xdr:colOff>
      <xdr:row>21</xdr:row>
      <xdr:rowOff>58012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B16318-7C03-4CB7-9002-A925D0F2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0238" y="3838575"/>
          <a:ext cx="353287" cy="3437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19</xdr:row>
      <xdr:rowOff>76200</xdr:rowOff>
    </xdr:from>
    <xdr:to>
      <xdr:col>6</xdr:col>
      <xdr:colOff>753337</xdr:colOff>
      <xdr:row>21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66D21-8825-4F3C-A947-1A91B129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380047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5</xdr:row>
      <xdr:rowOff>66675</xdr:rowOff>
    </xdr:from>
    <xdr:to>
      <xdr:col>6</xdr:col>
      <xdr:colOff>686662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207B96-36BC-485F-A8C3-F0B9E2065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038225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21</xdr:row>
      <xdr:rowOff>76200</xdr:rowOff>
    </xdr:from>
    <xdr:to>
      <xdr:col>6</xdr:col>
      <xdr:colOff>753337</xdr:colOff>
      <xdr:row>23</xdr:row>
      <xdr:rowOff>19912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A26049-4EC1-4FC7-902E-90721060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420052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9</xdr:row>
      <xdr:rowOff>28575</xdr:rowOff>
    </xdr:from>
    <xdr:to>
      <xdr:col>6</xdr:col>
      <xdr:colOff>728243</xdr:colOff>
      <xdr:row>10</xdr:row>
      <xdr:rowOff>158576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5523A0-0BC2-4D54-AD13-502C65769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4552950"/>
          <a:ext cx="328193" cy="3205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19</xdr:row>
      <xdr:rowOff>114300</xdr:rowOff>
    </xdr:from>
    <xdr:to>
      <xdr:col>6</xdr:col>
      <xdr:colOff>753337</xdr:colOff>
      <xdr:row>21</xdr:row>
      <xdr:rowOff>58012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F42B9-64BB-4796-BA55-B4ACCEE1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383857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5</xdr:row>
      <xdr:rowOff>66675</xdr:rowOff>
    </xdr:from>
    <xdr:to>
      <xdr:col>6</xdr:col>
      <xdr:colOff>686662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8496DA-DCCA-44BC-B2C0-45C115EB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038225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21</xdr:row>
      <xdr:rowOff>133350</xdr:rowOff>
    </xdr:from>
    <xdr:to>
      <xdr:col>6</xdr:col>
      <xdr:colOff>753337</xdr:colOff>
      <xdr:row>23</xdr:row>
      <xdr:rowOff>77062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722E3C-FACE-428E-9937-87F82697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425767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8</xdr:row>
      <xdr:rowOff>180975</xdr:rowOff>
    </xdr:from>
    <xdr:to>
      <xdr:col>6</xdr:col>
      <xdr:colOff>686662</xdr:colOff>
      <xdr:row>10</xdr:row>
      <xdr:rowOff>105637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E4AEE6-5EF3-4F88-83D4-212EA59D3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752600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7</xdr:row>
      <xdr:rowOff>19050</xdr:rowOff>
    </xdr:from>
    <xdr:to>
      <xdr:col>6</xdr:col>
      <xdr:colOff>686662</xdr:colOff>
      <xdr:row>8</xdr:row>
      <xdr:rowOff>143737</xdr:rowOff>
    </xdr:to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CA0668-9F57-4C61-A44E-D7591CFA8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390650"/>
          <a:ext cx="353287" cy="3247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5</xdr:row>
      <xdr:rowOff>66675</xdr:rowOff>
    </xdr:from>
    <xdr:to>
      <xdr:col>6</xdr:col>
      <xdr:colOff>686662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80D0C-C47A-44DD-8CF4-56B1EF85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038225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8</xdr:row>
      <xdr:rowOff>180975</xdr:rowOff>
    </xdr:from>
    <xdr:to>
      <xdr:col>6</xdr:col>
      <xdr:colOff>686662</xdr:colOff>
      <xdr:row>10</xdr:row>
      <xdr:rowOff>105637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BEB253-9710-4961-AC84-4146DA680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752600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7</xdr:row>
      <xdr:rowOff>19050</xdr:rowOff>
    </xdr:from>
    <xdr:to>
      <xdr:col>6</xdr:col>
      <xdr:colOff>686662</xdr:colOff>
      <xdr:row>8</xdr:row>
      <xdr:rowOff>143737</xdr:rowOff>
    </xdr:to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36F4C1-9153-40D2-980A-44868590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390650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19</xdr:row>
      <xdr:rowOff>57150</xdr:rowOff>
    </xdr:from>
    <xdr:to>
      <xdr:col>6</xdr:col>
      <xdr:colOff>667612</xdr:colOff>
      <xdr:row>20</xdr:row>
      <xdr:rowOff>181837</xdr:rowOff>
    </xdr:to>
    <xdr:pic>
      <xdr:nvPicPr>
        <xdr:cNvPr id="7" name="Grafi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51BC89-AA7D-4580-8EB9-B20235CF1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3781425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21</xdr:row>
      <xdr:rowOff>38100</xdr:rowOff>
    </xdr:from>
    <xdr:to>
      <xdr:col>6</xdr:col>
      <xdr:colOff>667612</xdr:colOff>
      <xdr:row>22</xdr:row>
      <xdr:rowOff>162787</xdr:rowOff>
    </xdr:to>
    <xdr:pic>
      <xdr:nvPicPr>
        <xdr:cNvPr id="8" name="Grafik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9CF4BA-6008-4877-8C1A-F9C57B514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4162425"/>
          <a:ext cx="353287" cy="3247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5</xdr:row>
      <xdr:rowOff>57150</xdr:rowOff>
    </xdr:from>
    <xdr:to>
      <xdr:col>6</xdr:col>
      <xdr:colOff>667612</xdr:colOff>
      <xdr:row>6</xdr:row>
      <xdr:rowOff>181837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F6950-4DEE-4556-957B-748E52A2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1028700"/>
          <a:ext cx="353287" cy="32471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19</xdr:row>
      <xdr:rowOff>28575</xdr:rowOff>
    </xdr:from>
    <xdr:to>
      <xdr:col>6</xdr:col>
      <xdr:colOff>686662</xdr:colOff>
      <xdr:row>20</xdr:row>
      <xdr:rowOff>172312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7B735C-219F-464C-9C0D-FB6B3468A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3743325"/>
          <a:ext cx="353287" cy="3437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5</xdr:row>
      <xdr:rowOff>57150</xdr:rowOff>
    </xdr:from>
    <xdr:to>
      <xdr:col>6</xdr:col>
      <xdr:colOff>667612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CF55A-0B4C-41A0-BF0A-C007F806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4563" y="981075"/>
          <a:ext cx="353287" cy="305662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19</xdr:row>
      <xdr:rowOff>28575</xdr:rowOff>
    </xdr:from>
    <xdr:to>
      <xdr:col>6</xdr:col>
      <xdr:colOff>667612</xdr:colOff>
      <xdr:row>20</xdr:row>
      <xdr:rowOff>172312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777419-44D4-4B7B-B5A2-31CC731B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3743325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22</xdr:row>
      <xdr:rowOff>38100</xdr:rowOff>
    </xdr:from>
    <xdr:to>
      <xdr:col>6</xdr:col>
      <xdr:colOff>699668</xdr:colOff>
      <xdr:row>23</xdr:row>
      <xdr:rowOff>158576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E9500E-FF75-4DCF-A398-2C5F0EDAF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5" y="4352925"/>
          <a:ext cx="328193" cy="3205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5</xdr:row>
      <xdr:rowOff>57150</xdr:rowOff>
    </xdr:from>
    <xdr:to>
      <xdr:col>6</xdr:col>
      <xdr:colOff>667612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3AEA6-ED02-4341-BA5C-D42F479BD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4563" y="981075"/>
          <a:ext cx="353287" cy="305662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19</xdr:row>
      <xdr:rowOff>28575</xdr:rowOff>
    </xdr:from>
    <xdr:to>
      <xdr:col>6</xdr:col>
      <xdr:colOff>715237</xdr:colOff>
      <xdr:row>20</xdr:row>
      <xdr:rowOff>172312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4338D4-CF83-4BCD-92FE-88748FC1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3743325"/>
          <a:ext cx="353287" cy="3437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5</xdr:row>
      <xdr:rowOff>57150</xdr:rowOff>
    </xdr:from>
    <xdr:to>
      <xdr:col>6</xdr:col>
      <xdr:colOff>667612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A1C92-152C-4458-A643-FFC45F59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8325" y="102870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357607</xdr:colOff>
      <xdr:row>9</xdr:row>
      <xdr:rowOff>30361</xdr:rowOff>
    </xdr:from>
    <xdr:to>
      <xdr:col>6</xdr:col>
      <xdr:colOff>685800</xdr:colOff>
      <xdr:row>10</xdr:row>
      <xdr:rowOff>150837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9DDEC8-A1B5-4A4D-B84A-13143FBC4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1607" y="1802011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19</xdr:row>
      <xdr:rowOff>47625</xdr:rowOff>
    </xdr:from>
    <xdr:to>
      <xdr:col>6</xdr:col>
      <xdr:colOff>686662</xdr:colOff>
      <xdr:row>20</xdr:row>
      <xdr:rowOff>191362</xdr:rowOff>
    </xdr:to>
    <xdr:pic>
      <xdr:nvPicPr>
        <xdr:cNvPr id="4" name="Grafik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9063A0-33FB-4C48-937E-9FB47BB0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3771900"/>
          <a:ext cx="353287" cy="3437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19</xdr:row>
      <xdr:rowOff>47625</xdr:rowOff>
    </xdr:from>
    <xdr:to>
      <xdr:col>6</xdr:col>
      <xdr:colOff>696187</xdr:colOff>
      <xdr:row>20</xdr:row>
      <xdr:rowOff>191362</xdr:rowOff>
    </xdr:to>
    <xdr:pic>
      <xdr:nvPicPr>
        <xdr:cNvPr id="5" name="Grafik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C76995-1CBB-4C6C-A761-A672CDB3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377190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5</xdr:row>
      <xdr:rowOff>57150</xdr:rowOff>
    </xdr:from>
    <xdr:to>
      <xdr:col>6</xdr:col>
      <xdr:colOff>686662</xdr:colOff>
      <xdr:row>7</xdr:row>
      <xdr:rowOff>862</xdr:rowOff>
    </xdr:to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6ECBF0-1CDC-44BD-9EC0-F82ED5EBA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1028700"/>
          <a:ext cx="353287" cy="34376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5</xdr:row>
      <xdr:rowOff>57150</xdr:rowOff>
    </xdr:from>
    <xdr:to>
      <xdr:col>6</xdr:col>
      <xdr:colOff>696187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826048-02B0-4619-AC57-1B8C1FB2B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2870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348082</xdr:colOff>
      <xdr:row>22</xdr:row>
      <xdr:rowOff>30361</xdr:rowOff>
    </xdr:from>
    <xdr:to>
      <xdr:col>6</xdr:col>
      <xdr:colOff>676275</xdr:colOff>
      <xdr:row>23</xdr:row>
      <xdr:rowOff>150837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A1AA35-864A-47F7-A26A-7CEB9AB9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2082" y="4364236"/>
          <a:ext cx="328193" cy="3205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5</xdr:row>
      <xdr:rowOff>38100</xdr:rowOff>
    </xdr:from>
    <xdr:to>
      <xdr:col>6</xdr:col>
      <xdr:colOff>696187</xdr:colOff>
      <xdr:row>6</xdr:row>
      <xdr:rowOff>181837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68F535-00CD-4A00-B557-B5C97212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09650"/>
          <a:ext cx="353287" cy="343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U81"/>
  <sheetViews>
    <sheetView tabSelected="1" view="pageLayout" zoomScaleNormal="100" workbookViewId="0">
      <selection activeCell="J36" sqref="J36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2.710937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4" customWidth="1"/>
    <col min="18" max="20" width="8.28515625" style="1" customWidth="1"/>
    <col min="21" max="21" width="15" style="1" customWidth="1"/>
    <col min="22" max="16384" width="11.42578125" style="1"/>
  </cols>
  <sheetData>
    <row r="1" spans="1:21" ht="28.35" customHeight="1" thickBot="1" x14ac:dyDescent="0.35">
      <c r="B1" s="26" t="s">
        <v>0</v>
      </c>
      <c r="C1" s="27"/>
      <c r="D1" s="27"/>
      <c r="E1" s="27"/>
      <c r="F1" s="27"/>
      <c r="G1" s="27"/>
      <c r="H1" s="27"/>
      <c r="I1" s="28" t="s">
        <v>1</v>
      </c>
      <c r="J1" s="29">
        <v>46426</v>
      </c>
      <c r="K1" s="28" t="s">
        <v>2</v>
      </c>
      <c r="L1" s="30" t="s">
        <v>3</v>
      </c>
      <c r="M1" s="30"/>
      <c r="N1" s="30"/>
      <c r="O1" s="31"/>
      <c r="P1" s="27"/>
      <c r="Q1" s="168"/>
      <c r="R1" s="169"/>
      <c r="S1" s="169"/>
      <c r="T1" s="169"/>
      <c r="U1" s="32"/>
    </row>
    <row r="2" spans="1:21" ht="5.0999999999999996" customHeight="1" thickBot="1" x14ac:dyDescent="0.35">
      <c r="C2" s="5"/>
      <c r="D2"/>
      <c r="E2"/>
      <c r="F2"/>
      <c r="G2"/>
      <c r="H2" s="13"/>
      <c r="I2" s="13"/>
      <c r="J2" s="13"/>
      <c r="K2" s="13"/>
    </row>
    <row r="3" spans="1:21" ht="19.5" customHeight="1" thickBot="1" x14ac:dyDescent="0.35">
      <c r="B3" s="181" t="s">
        <v>4</v>
      </c>
      <c r="C3" s="182"/>
      <c r="D3" s="182"/>
      <c r="E3" s="182"/>
      <c r="F3" s="182"/>
      <c r="G3" s="182"/>
      <c r="H3" s="170"/>
      <c r="I3" s="170"/>
      <c r="J3" s="170"/>
      <c r="K3" s="171"/>
      <c r="L3" s="9"/>
      <c r="M3" s="109" t="s">
        <v>5</v>
      </c>
      <c r="N3" s="110"/>
      <c r="O3" s="111"/>
      <c r="P3" s="9"/>
      <c r="Q3" s="20" t="s">
        <v>6</v>
      </c>
      <c r="R3" s="21"/>
      <c r="S3" s="22"/>
      <c r="T3" s="22"/>
      <c r="U3" s="23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112"/>
      <c r="N4" s="112"/>
      <c r="O4" s="112"/>
      <c r="Q4" s="17"/>
      <c r="R4" s="8"/>
      <c r="S4" s="8"/>
      <c r="T4" s="7"/>
    </row>
    <row r="5" spans="1:21" ht="20.100000000000001" customHeight="1" x14ac:dyDescent="0.3">
      <c r="B5" s="202" t="s">
        <v>217</v>
      </c>
      <c r="C5" s="203"/>
      <c r="D5" s="204"/>
      <c r="E5" s="217" t="s">
        <v>7</v>
      </c>
      <c r="F5" s="177"/>
      <c r="G5" s="175" t="s">
        <v>8</v>
      </c>
      <c r="H5" s="176"/>
      <c r="I5" s="177"/>
      <c r="J5" s="277" t="s">
        <v>42</v>
      </c>
      <c r="K5" s="278"/>
      <c r="M5" s="236" t="s">
        <v>57</v>
      </c>
      <c r="N5" s="237"/>
      <c r="O5" s="238"/>
      <c r="Q5" s="24">
        <f>J1+0</f>
        <v>46426</v>
      </c>
      <c r="R5" s="145" t="s">
        <v>9</v>
      </c>
      <c r="S5" s="146"/>
      <c r="T5" s="146"/>
      <c r="U5" s="147"/>
    </row>
    <row r="6" spans="1:21" ht="20.100000000000001" customHeight="1" thickBot="1" x14ac:dyDescent="0.35">
      <c r="B6" s="205"/>
      <c r="C6" s="206"/>
      <c r="D6" s="207"/>
      <c r="E6" s="219" t="s">
        <v>10</v>
      </c>
      <c r="F6" s="220"/>
      <c r="G6" s="221" t="s">
        <v>11</v>
      </c>
      <c r="H6" s="222"/>
      <c r="I6" s="223"/>
      <c r="J6" s="279" t="s">
        <v>31</v>
      </c>
      <c r="K6" s="280"/>
      <c r="M6" s="239" t="s">
        <v>218</v>
      </c>
      <c r="N6" s="240"/>
      <c r="O6" s="241"/>
      <c r="Q6" s="25" t="s">
        <v>12</v>
      </c>
      <c r="R6" s="158" t="s">
        <v>13</v>
      </c>
      <c r="S6" s="137"/>
      <c r="T6" s="137"/>
      <c r="U6" s="138"/>
    </row>
    <row r="7" spans="1:21" ht="20.100000000000001" customHeight="1" x14ac:dyDescent="0.3">
      <c r="B7" s="208" t="s">
        <v>14</v>
      </c>
      <c r="C7" s="209"/>
      <c r="D7" s="210"/>
      <c r="E7" s="183" t="s">
        <v>15</v>
      </c>
      <c r="F7" s="188" t="s">
        <v>16</v>
      </c>
      <c r="G7" s="196" t="s">
        <v>17</v>
      </c>
      <c r="H7" s="199" t="s">
        <v>18</v>
      </c>
      <c r="I7" s="188" t="s">
        <v>19</v>
      </c>
      <c r="J7" s="184" t="s">
        <v>61</v>
      </c>
      <c r="K7" s="281" t="s">
        <v>62</v>
      </c>
      <c r="L7" s="11"/>
      <c r="M7" s="242"/>
      <c r="N7" s="243"/>
      <c r="O7" s="244"/>
      <c r="Q7" s="24">
        <f>Q5+7</f>
        <v>46433</v>
      </c>
      <c r="R7" s="145" t="s">
        <v>9</v>
      </c>
      <c r="S7" s="146"/>
      <c r="T7" s="146"/>
      <c r="U7" s="147"/>
    </row>
    <row r="8" spans="1:21" ht="20.100000000000001" customHeight="1" thickBot="1" x14ac:dyDescent="0.35">
      <c r="B8" s="211"/>
      <c r="C8" s="212"/>
      <c r="D8" s="213"/>
      <c r="E8" s="184"/>
      <c r="F8" s="189"/>
      <c r="G8" s="197"/>
      <c r="H8" s="200"/>
      <c r="I8" s="189"/>
      <c r="J8" s="184"/>
      <c r="K8" s="281"/>
      <c r="L8" s="11"/>
      <c r="M8" s="242"/>
      <c r="N8" s="243"/>
      <c r="O8" s="244"/>
      <c r="Q8" s="25" t="s">
        <v>12</v>
      </c>
      <c r="R8" s="158" t="s">
        <v>13</v>
      </c>
      <c r="S8" s="137"/>
      <c r="T8" s="137"/>
      <c r="U8" s="138"/>
    </row>
    <row r="9" spans="1:21" ht="20.100000000000001" customHeight="1" x14ac:dyDescent="0.3">
      <c r="B9" s="211"/>
      <c r="C9" s="212"/>
      <c r="D9" s="213"/>
      <c r="E9" s="218"/>
      <c r="F9" s="189"/>
      <c r="G9" s="197"/>
      <c r="H9" s="200"/>
      <c r="I9" s="189"/>
      <c r="J9" s="218"/>
      <c r="K9" s="282"/>
      <c r="L9" s="11"/>
      <c r="M9" s="245"/>
      <c r="N9" s="246"/>
      <c r="O9" s="247"/>
      <c r="Q9" s="24">
        <f>Q7+7</f>
        <v>46440</v>
      </c>
      <c r="R9" s="145" t="s">
        <v>9</v>
      </c>
      <c r="S9" s="146"/>
      <c r="T9" s="146"/>
      <c r="U9" s="147"/>
    </row>
    <row r="10" spans="1:21" ht="20.100000000000001" customHeight="1" thickBot="1" x14ac:dyDescent="0.35">
      <c r="A10" s="6"/>
      <c r="B10" s="211"/>
      <c r="C10" s="212"/>
      <c r="D10" s="213"/>
      <c r="E10" s="183" t="s">
        <v>20</v>
      </c>
      <c r="F10" s="189"/>
      <c r="G10" s="197"/>
      <c r="H10" s="200"/>
      <c r="I10" s="189"/>
      <c r="J10" s="183" t="s">
        <v>64</v>
      </c>
      <c r="K10" s="188" t="s">
        <v>65</v>
      </c>
      <c r="L10" s="11"/>
      <c r="M10" s="245"/>
      <c r="N10" s="246"/>
      <c r="O10" s="247"/>
      <c r="Q10" s="25" t="s">
        <v>22</v>
      </c>
      <c r="R10" s="158" t="s">
        <v>13</v>
      </c>
      <c r="S10" s="137"/>
      <c r="T10" s="137"/>
      <c r="U10" s="138"/>
    </row>
    <row r="11" spans="1:21" ht="20.100000000000001" customHeight="1" x14ac:dyDescent="0.3">
      <c r="A11" s="6"/>
      <c r="B11" s="211"/>
      <c r="C11" s="212"/>
      <c r="D11" s="213"/>
      <c r="E11" s="184"/>
      <c r="F11" s="189"/>
      <c r="G11" s="197"/>
      <c r="H11" s="200"/>
      <c r="I11" s="189"/>
      <c r="J11" s="184"/>
      <c r="K11" s="189"/>
      <c r="L11" s="11"/>
      <c r="M11" s="245"/>
      <c r="N11" s="246"/>
      <c r="O11" s="247"/>
      <c r="Q11" s="24">
        <f>Q9+7</f>
        <v>46447</v>
      </c>
      <c r="R11" s="145" t="s">
        <v>23</v>
      </c>
      <c r="S11" s="146"/>
      <c r="T11" s="146"/>
      <c r="U11" s="147"/>
    </row>
    <row r="12" spans="1:21" ht="20.100000000000001" customHeight="1" thickBot="1" x14ac:dyDescent="0.35">
      <c r="B12" s="214"/>
      <c r="C12" s="215"/>
      <c r="D12" s="216"/>
      <c r="E12" s="185"/>
      <c r="F12" s="190"/>
      <c r="G12" s="198"/>
      <c r="H12" s="201"/>
      <c r="I12" s="190"/>
      <c r="J12" s="185"/>
      <c r="K12" s="190"/>
      <c r="L12" s="11"/>
      <c r="M12" s="248"/>
      <c r="N12" s="249"/>
      <c r="O12" s="250"/>
      <c r="Q12" s="25" t="s">
        <v>25</v>
      </c>
      <c r="R12" s="158" t="s">
        <v>13</v>
      </c>
      <c r="S12" s="137"/>
      <c r="T12" s="137"/>
      <c r="U12" s="138"/>
    </row>
    <row r="13" spans="1:21" ht="19.5" customHeight="1" thickBot="1" x14ac:dyDescent="0.35">
      <c r="C13" s="3"/>
      <c r="D13" s="4"/>
      <c r="E13" s="191"/>
      <c r="F13" s="191"/>
      <c r="G13" s="192"/>
      <c r="H13" s="193"/>
      <c r="I13" s="193"/>
      <c r="J13" s="16"/>
      <c r="K13" s="17"/>
      <c r="Q13" s="24">
        <f>Q11+7</f>
        <v>46454</v>
      </c>
      <c r="R13" s="145" t="s">
        <v>23</v>
      </c>
      <c r="S13" s="146"/>
      <c r="T13" s="146"/>
      <c r="U13" s="147"/>
    </row>
    <row r="14" spans="1:21" ht="20.100000000000001" customHeight="1" thickBot="1" x14ac:dyDescent="0.35">
      <c r="B14" s="224" t="s">
        <v>27</v>
      </c>
      <c r="C14" s="225"/>
      <c r="D14" s="226"/>
      <c r="E14" s="194" t="s">
        <v>24</v>
      </c>
      <c r="F14" s="195"/>
      <c r="G14" s="154" t="s">
        <v>26</v>
      </c>
      <c r="H14" s="155"/>
      <c r="I14" s="154" t="s">
        <v>28</v>
      </c>
      <c r="J14" s="172"/>
      <c r="K14" s="10"/>
      <c r="L14" s="9"/>
      <c r="M14" s="251" t="s">
        <v>219</v>
      </c>
      <c r="N14" s="252"/>
      <c r="O14" s="253"/>
      <c r="Q14" s="25" t="s">
        <v>29</v>
      </c>
      <c r="R14" s="158" t="s">
        <v>30</v>
      </c>
      <c r="S14" s="137"/>
      <c r="T14" s="137"/>
      <c r="U14" s="138"/>
    </row>
    <row r="15" spans="1:21" ht="20.100000000000001" customHeight="1" x14ac:dyDescent="0.3">
      <c r="B15" s="227"/>
      <c r="C15" s="228"/>
      <c r="D15" s="229"/>
      <c r="E15" s="186" t="s">
        <v>31</v>
      </c>
      <c r="F15" s="187"/>
      <c r="G15" s="156" t="s">
        <v>32</v>
      </c>
      <c r="H15" s="157"/>
      <c r="I15" s="173" t="s">
        <v>31</v>
      </c>
      <c r="J15" s="174"/>
      <c r="K15"/>
      <c r="M15" s="254" t="s">
        <v>220</v>
      </c>
      <c r="N15" s="255"/>
      <c r="O15" s="256"/>
      <c r="Q15" s="24">
        <f>Q13+7</f>
        <v>46461</v>
      </c>
      <c r="R15" s="145" t="s">
        <v>34</v>
      </c>
      <c r="S15" s="146"/>
      <c r="T15" s="146"/>
      <c r="U15" s="147"/>
    </row>
    <row r="16" spans="1:21" ht="20.100000000000001" customHeight="1" thickBot="1" x14ac:dyDescent="0.35">
      <c r="B16" s="316" t="s">
        <v>35</v>
      </c>
      <c r="C16" s="317"/>
      <c r="D16" s="318"/>
      <c r="E16" s="162" t="s">
        <v>36</v>
      </c>
      <c r="F16" s="151" t="s">
        <v>37</v>
      </c>
      <c r="G16" s="165" t="s">
        <v>38</v>
      </c>
      <c r="H16" s="330"/>
      <c r="I16" s="178" t="s">
        <v>39</v>
      </c>
      <c r="J16" s="151" t="s">
        <v>40</v>
      </c>
      <c r="K16"/>
      <c r="M16" s="257"/>
      <c r="N16" s="255"/>
      <c r="O16" s="256"/>
      <c r="Q16" s="25" t="s">
        <v>29</v>
      </c>
      <c r="R16" s="158" t="s">
        <v>30</v>
      </c>
      <c r="S16" s="137"/>
      <c r="T16" s="137"/>
      <c r="U16" s="138"/>
    </row>
    <row r="17" spans="2:21" ht="20.100000000000001" customHeight="1" thickBot="1" x14ac:dyDescent="0.35">
      <c r="B17" s="319"/>
      <c r="C17" s="320"/>
      <c r="D17" s="321"/>
      <c r="E17" s="163"/>
      <c r="F17" s="152"/>
      <c r="G17" s="331"/>
      <c r="H17" s="332"/>
      <c r="I17" s="179"/>
      <c r="J17" s="152"/>
      <c r="K17"/>
      <c r="M17" s="258"/>
      <c r="N17" s="259"/>
      <c r="O17" s="260"/>
      <c r="Q17" s="24">
        <f>Q15+7</f>
        <v>46468</v>
      </c>
      <c r="R17" s="145" t="s">
        <v>34</v>
      </c>
      <c r="S17" s="146"/>
      <c r="T17" s="146"/>
      <c r="U17" s="147"/>
    </row>
    <row r="18" spans="2:21" ht="20.100000000000001" customHeight="1" thickBot="1" x14ac:dyDescent="0.35">
      <c r="B18" s="319"/>
      <c r="C18" s="320"/>
      <c r="D18" s="321"/>
      <c r="E18" s="164"/>
      <c r="F18" s="152"/>
      <c r="G18" s="331"/>
      <c r="H18" s="332"/>
      <c r="I18" s="179"/>
      <c r="J18" s="152"/>
      <c r="K18"/>
      <c r="L18"/>
      <c r="Q18" s="25" t="s">
        <v>29</v>
      </c>
      <c r="R18" s="158" t="s">
        <v>30</v>
      </c>
      <c r="S18" s="137"/>
      <c r="T18" s="137"/>
      <c r="U18" s="138"/>
    </row>
    <row r="19" spans="2:21" ht="20.100000000000001" customHeight="1" x14ac:dyDescent="0.3">
      <c r="B19" s="319"/>
      <c r="C19" s="320"/>
      <c r="D19" s="321"/>
      <c r="E19" s="331" t="s">
        <v>43</v>
      </c>
      <c r="F19" s="152"/>
      <c r="G19" s="331"/>
      <c r="H19" s="332"/>
      <c r="I19" s="179"/>
      <c r="J19" s="152"/>
      <c r="K19"/>
      <c r="M19" s="261" t="s">
        <v>221</v>
      </c>
      <c r="N19" s="262"/>
      <c r="O19" s="263"/>
      <c r="Q19" s="24">
        <f>Q17+7</f>
        <v>46475</v>
      </c>
      <c r="R19" s="146" t="s">
        <v>44</v>
      </c>
      <c r="S19" s="146"/>
      <c r="T19" s="146"/>
      <c r="U19" s="147"/>
    </row>
    <row r="20" spans="2:21" ht="20.100000000000001" customHeight="1" thickBot="1" x14ac:dyDescent="0.35">
      <c r="B20" s="319"/>
      <c r="C20" s="320"/>
      <c r="D20" s="321"/>
      <c r="E20" s="166"/>
      <c r="F20" s="152"/>
      <c r="G20" s="331"/>
      <c r="H20" s="332"/>
      <c r="I20" s="179"/>
      <c r="J20" s="152"/>
      <c r="M20" s="113" t="s">
        <v>21</v>
      </c>
      <c r="N20" s="308">
        <v>2</v>
      </c>
      <c r="O20" s="309"/>
      <c r="Q20" s="44" t="s">
        <v>45</v>
      </c>
      <c r="R20" s="134" t="s">
        <v>30</v>
      </c>
      <c r="S20" s="135"/>
      <c r="T20" s="135"/>
      <c r="U20" s="136"/>
    </row>
    <row r="21" spans="2:21" ht="20.100000000000001" customHeight="1" thickBot="1" x14ac:dyDescent="0.35">
      <c r="B21" s="322"/>
      <c r="C21" s="323"/>
      <c r="D21" s="324"/>
      <c r="E21" s="167"/>
      <c r="F21" s="153"/>
      <c r="G21" s="333"/>
      <c r="H21" s="334"/>
      <c r="I21" s="180"/>
      <c r="J21" s="153"/>
      <c r="K21"/>
      <c r="M21" s="114" t="s">
        <v>8</v>
      </c>
      <c r="N21" s="310">
        <v>3</v>
      </c>
      <c r="O21" s="311"/>
      <c r="Q21" s="24">
        <f>Q19+21</f>
        <v>46496</v>
      </c>
      <c r="R21" s="146" t="s">
        <v>44</v>
      </c>
      <c r="S21" s="146"/>
      <c r="T21" s="146"/>
      <c r="U21" s="147"/>
    </row>
    <row r="22" spans="2:21" ht="19.5" customHeight="1" thickBot="1" x14ac:dyDescent="0.35">
      <c r="M22" s="114" t="s">
        <v>42</v>
      </c>
      <c r="N22" s="310">
        <v>1</v>
      </c>
      <c r="O22" s="311"/>
      <c r="Q22" s="25" t="s">
        <v>45</v>
      </c>
      <c r="R22" s="34" t="s">
        <v>30</v>
      </c>
      <c r="S22" s="34"/>
      <c r="T22" s="34"/>
      <c r="U22" s="35"/>
    </row>
    <row r="23" spans="2:21" ht="20.100000000000001" customHeight="1" thickBot="1" x14ac:dyDescent="0.35">
      <c r="B23" s="224" t="s">
        <v>46</v>
      </c>
      <c r="C23" s="225"/>
      <c r="D23" s="225"/>
      <c r="E23" s="154" t="s">
        <v>33</v>
      </c>
      <c r="F23" s="172"/>
      <c r="G23" s="154" t="s">
        <v>41</v>
      </c>
      <c r="H23" s="155"/>
      <c r="I23" s="172"/>
      <c r="J23" s="273" t="s">
        <v>252</v>
      </c>
      <c r="K23" s="274"/>
      <c r="L23" s="9"/>
      <c r="M23" s="115" t="s">
        <v>222</v>
      </c>
      <c r="N23" s="312">
        <f>SUM(N20:O22)</f>
        <v>6</v>
      </c>
      <c r="O23" s="313"/>
      <c r="Q23" s="45">
        <f>Q21+7</f>
        <v>46503</v>
      </c>
      <c r="R23" s="134" t="s">
        <v>47</v>
      </c>
      <c r="S23" s="135"/>
      <c r="T23" s="135"/>
      <c r="U23" s="136"/>
    </row>
    <row r="24" spans="2:21" ht="20.100000000000001" customHeight="1" thickBot="1" x14ac:dyDescent="0.35">
      <c r="B24" s="227"/>
      <c r="C24" s="228"/>
      <c r="D24" s="228"/>
      <c r="E24" s="338" t="s">
        <v>48</v>
      </c>
      <c r="F24" s="339"/>
      <c r="G24" s="159" t="s">
        <v>49</v>
      </c>
      <c r="H24" s="160"/>
      <c r="I24" s="161"/>
      <c r="J24" s="275" t="s">
        <v>60</v>
      </c>
      <c r="K24" s="276"/>
      <c r="Q24" s="25" t="s">
        <v>50</v>
      </c>
      <c r="R24" s="34" t="s">
        <v>30</v>
      </c>
      <c r="S24" s="34"/>
      <c r="T24" s="34"/>
      <c r="U24" s="35"/>
    </row>
    <row r="25" spans="2:21" s="9" customFormat="1" ht="20.100000000000001" customHeight="1" x14ac:dyDescent="0.3">
      <c r="B25" s="316" t="s">
        <v>51</v>
      </c>
      <c r="C25" s="325"/>
      <c r="D25" s="325"/>
      <c r="E25" s="165" t="s">
        <v>52</v>
      </c>
      <c r="F25" s="335" t="s">
        <v>53</v>
      </c>
      <c r="G25" s="178" t="s">
        <v>54</v>
      </c>
      <c r="H25" s="148" t="s">
        <v>55</v>
      </c>
      <c r="I25" s="151" t="s">
        <v>56</v>
      </c>
      <c r="J25" s="264"/>
      <c r="K25" s="265"/>
      <c r="L25" s="12"/>
      <c r="M25" s="116" t="s">
        <v>223</v>
      </c>
      <c r="N25" s="117"/>
      <c r="O25" s="118"/>
      <c r="Q25" s="45">
        <f>Q23+14</f>
        <v>46517</v>
      </c>
      <c r="R25" s="134" t="s">
        <v>47</v>
      </c>
      <c r="S25" s="135"/>
      <c r="T25" s="135"/>
      <c r="U25" s="136"/>
    </row>
    <row r="26" spans="2:21" s="9" customFormat="1" ht="20.100000000000001" customHeight="1" thickBot="1" x14ac:dyDescent="0.35">
      <c r="B26" s="326"/>
      <c r="C26" s="327"/>
      <c r="D26" s="327"/>
      <c r="E26" s="166"/>
      <c r="F26" s="336"/>
      <c r="G26" s="179"/>
      <c r="H26" s="149"/>
      <c r="I26" s="152"/>
      <c r="J26" s="266"/>
      <c r="K26" s="267"/>
      <c r="L26" s="12"/>
      <c r="M26" s="119" t="s">
        <v>24</v>
      </c>
      <c r="N26" s="314">
        <v>1</v>
      </c>
      <c r="O26" s="315"/>
      <c r="Q26" s="25" t="s">
        <v>50</v>
      </c>
      <c r="R26" s="33" t="s">
        <v>30</v>
      </c>
      <c r="S26" s="34"/>
      <c r="T26" s="34"/>
      <c r="U26" s="35"/>
    </row>
    <row r="27" spans="2:21" s="9" customFormat="1" ht="20.100000000000001" customHeight="1" x14ac:dyDescent="0.3">
      <c r="B27" s="326"/>
      <c r="C27" s="327"/>
      <c r="D27" s="327"/>
      <c r="E27" s="166"/>
      <c r="F27" s="336"/>
      <c r="G27" s="179"/>
      <c r="H27" s="149"/>
      <c r="I27" s="152"/>
      <c r="J27" s="266"/>
      <c r="K27" s="267"/>
      <c r="L27" s="12"/>
      <c r="M27" s="120" t="s">
        <v>26</v>
      </c>
      <c r="N27" s="234">
        <v>2</v>
      </c>
      <c r="O27" s="235"/>
      <c r="Q27" s="24">
        <f>Q25+7</f>
        <v>46524</v>
      </c>
      <c r="R27" s="145" t="s">
        <v>47</v>
      </c>
      <c r="S27" s="146"/>
      <c r="T27" s="146"/>
      <c r="U27" s="147"/>
    </row>
    <row r="28" spans="2:21" s="9" customFormat="1" ht="20.100000000000001" customHeight="1" thickBot="1" x14ac:dyDescent="0.35">
      <c r="B28" s="326"/>
      <c r="C28" s="327"/>
      <c r="D28" s="327"/>
      <c r="E28" s="166"/>
      <c r="F28" s="336"/>
      <c r="G28" s="179"/>
      <c r="H28" s="149"/>
      <c r="I28" s="152"/>
      <c r="J28" s="268" t="s">
        <v>66</v>
      </c>
      <c r="K28" s="269"/>
      <c r="L28" s="12"/>
      <c r="M28" s="120" t="s">
        <v>28</v>
      </c>
      <c r="N28" s="234">
        <v>1</v>
      </c>
      <c r="O28" s="235"/>
      <c r="Q28" s="25" t="s">
        <v>50</v>
      </c>
      <c r="R28" s="33" t="s">
        <v>30</v>
      </c>
      <c r="S28" s="34"/>
      <c r="T28" s="34"/>
      <c r="U28" s="35"/>
    </row>
    <row r="29" spans="2:21" s="9" customFormat="1" ht="20.100000000000001" customHeight="1" x14ac:dyDescent="0.3">
      <c r="B29" s="326"/>
      <c r="C29" s="327"/>
      <c r="D29" s="327"/>
      <c r="E29" s="166"/>
      <c r="F29" s="336"/>
      <c r="G29" s="179"/>
      <c r="H29" s="149"/>
      <c r="I29" s="152"/>
      <c r="J29" s="270"/>
      <c r="K29" s="269"/>
      <c r="L29" s="12"/>
      <c r="M29" s="120" t="s">
        <v>33</v>
      </c>
      <c r="N29" s="234">
        <v>2</v>
      </c>
      <c r="O29" s="235"/>
      <c r="Q29" s="24">
        <f>Q27+7</f>
        <v>46531</v>
      </c>
      <c r="R29" s="145" t="s">
        <v>47</v>
      </c>
      <c r="S29" s="146"/>
      <c r="T29" s="146"/>
      <c r="U29" s="147"/>
    </row>
    <row r="30" spans="2:21" s="9" customFormat="1" ht="20.100000000000001" customHeight="1" thickBot="1" x14ac:dyDescent="0.35">
      <c r="B30" s="328"/>
      <c r="C30" s="329"/>
      <c r="D30" s="329"/>
      <c r="E30" s="167"/>
      <c r="F30" s="337"/>
      <c r="G30" s="180"/>
      <c r="H30" s="150"/>
      <c r="I30" s="153"/>
      <c r="J30" s="271"/>
      <c r="K30" s="272"/>
      <c r="L30" s="12"/>
      <c r="M30" s="121" t="s">
        <v>41</v>
      </c>
      <c r="N30" s="230">
        <v>2</v>
      </c>
      <c r="O30" s="231"/>
      <c r="Q30" s="25" t="s">
        <v>50</v>
      </c>
      <c r="R30" s="33" t="s">
        <v>30</v>
      </c>
      <c r="S30" s="34"/>
      <c r="T30" s="34"/>
      <c r="U30" s="35"/>
    </row>
    <row r="31" spans="2:21" s="9" customFormat="1" ht="19.5" customHeight="1" thickBot="1" x14ac:dyDescent="0.35">
      <c r="M31" s="122" t="s">
        <v>222</v>
      </c>
      <c r="N31" s="232">
        <f>SUM(N26:O30)</f>
        <v>8</v>
      </c>
      <c r="O31" s="233"/>
      <c r="Q31" s="24">
        <f>Q29+7</f>
        <v>46538</v>
      </c>
      <c r="R31" s="145" t="s">
        <v>58</v>
      </c>
      <c r="S31" s="146"/>
      <c r="T31" s="146"/>
      <c r="U31" s="147"/>
    </row>
    <row r="32" spans="2:21" s="9" customFormat="1" ht="20.100000000000001" customHeight="1" thickBot="1" x14ac:dyDescent="0.35">
      <c r="B32" s="283" t="s">
        <v>251</v>
      </c>
      <c r="C32" s="284"/>
      <c r="D32" s="284"/>
      <c r="E32" s="293" t="s">
        <v>235</v>
      </c>
      <c r="F32" s="294"/>
      <c r="G32" s="295"/>
      <c r="L32"/>
      <c r="Q32" s="25" t="s">
        <v>59</v>
      </c>
      <c r="R32" s="33" t="s">
        <v>30</v>
      </c>
      <c r="S32" s="34"/>
      <c r="T32" s="34"/>
      <c r="U32" s="35"/>
    </row>
    <row r="33" spans="2:21" ht="20.100000000000001" customHeight="1" x14ac:dyDescent="0.3">
      <c r="B33" s="285"/>
      <c r="C33" s="286"/>
      <c r="D33" s="286"/>
      <c r="E33" s="296" t="s">
        <v>11</v>
      </c>
      <c r="F33" s="297"/>
      <c r="G33" s="298"/>
      <c r="L33" s="18"/>
      <c r="Q33" s="24">
        <f>Q31+7</f>
        <v>46545</v>
      </c>
      <c r="R33" s="145" t="s">
        <v>58</v>
      </c>
      <c r="S33" s="146"/>
      <c r="T33" s="146"/>
      <c r="U33" s="147"/>
    </row>
    <row r="34" spans="2:21" ht="20.100000000000001" customHeight="1" thickBot="1" x14ac:dyDescent="0.35">
      <c r="B34" s="287" t="s">
        <v>227</v>
      </c>
      <c r="C34" s="288"/>
      <c r="D34" s="288"/>
      <c r="E34" s="299" t="s">
        <v>248</v>
      </c>
      <c r="F34" s="302" t="s">
        <v>249</v>
      </c>
      <c r="G34" s="305" t="s">
        <v>250</v>
      </c>
      <c r="L34" s="19"/>
      <c r="Q34" s="25" t="s">
        <v>59</v>
      </c>
      <c r="R34" s="137" t="s">
        <v>63</v>
      </c>
      <c r="S34" s="137"/>
      <c r="T34" s="137"/>
      <c r="U34" s="138"/>
    </row>
    <row r="35" spans="2:21" ht="20.100000000000001" customHeight="1" x14ac:dyDescent="0.3">
      <c r="B35" s="289"/>
      <c r="C35" s="290"/>
      <c r="D35" s="290"/>
      <c r="E35" s="300"/>
      <c r="F35" s="303"/>
      <c r="G35" s="306"/>
      <c r="L35" s="19"/>
      <c r="Q35" s="24">
        <f>Q33+7</f>
        <v>46552</v>
      </c>
      <c r="R35" s="139" t="s">
        <v>67</v>
      </c>
      <c r="S35" s="140"/>
      <c r="T35" s="140"/>
      <c r="U35" s="141"/>
    </row>
    <row r="36" spans="2:21" ht="20.100000000000001" customHeight="1" thickBot="1" x14ac:dyDescent="0.35">
      <c r="B36" s="289"/>
      <c r="C36" s="290"/>
      <c r="D36" s="290"/>
      <c r="E36" s="300"/>
      <c r="F36" s="303"/>
      <c r="G36" s="306"/>
      <c r="L36" s="19"/>
      <c r="Q36" s="130">
        <v>2.1</v>
      </c>
      <c r="R36" s="142"/>
      <c r="S36" s="143"/>
      <c r="T36" s="143"/>
      <c r="U36" s="144"/>
    </row>
    <row r="37" spans="2:21" ht="20.100000000000001" customHeight="1" x14ac:dyDescent="0.3">
      <c r="B37" s="289"/>
      <c r="C37" s="290"/>
      <c r="D37" s="290"/>
      <c r="E37" s="300"/>
      <c r="F37" s="303"/>
      <c r="G37" s="306"/>
      <c r="L37" s="19"/>
      <c r="Q37" s="45">
        <f>Q35+7</f>
        <v>46559</v>
      </c>
      <c r="R37" s="134" t="s">
        <v>240</v>
      </c>
      <c r="S37" s="135"/>
      <c r="T37" s="135"/>
      <c r="U37" s="136"/>
    </row>
    <row r="38" spans="2:21" ht="20.100000000000001" customHeight="1" thickBot="1" x14ac:dyDescent="0.35">
      <c r="B38" s="289"/>
      <c r="C38" s="290"/>
      <c r="D38" s="290"/>
      <c r="E38" s="300"/>
      <c r="F38" s="303"/>
      <c r="G38" s="306"/>
      <c r="L38" s="19"/>
      <c r="Q38" s="44">
        <v>2.7</v>
      </c>
      <c r="R38" s="137"/>
      <c r="S38" s="137"/>
      <c r="T38" s="137"/>
      <c r="U38" s="138"/>
    </row>
    <row r="39" spans="2:21" ht="20.100000000000001" customHeight="1" thickBot="1" x14ac:dyDescent="0.35">
      <c r="B39" s="291"/>
      <c r="C39" s="292"/>
      <c r="D39" s="292"/>
      <c r="E39" s="301"/>
      <c r="F39" s="304"/>
      <c r="G39" s="307"/>
      <c r="L39"/>
      <c r="Q39" s="24">
        <f>Q37+7</f>
        <v>46566</v>
      </c>
      <c r="R39" s="134" t="s">
        <v>241</v>
      </c>
      <c r="S39" s="135"/>
      <c r="T39" s="135"/>
      <c r="U39" s="136"/>
    </row>
    <row r="40" spans="2:21" ht="19.5" customHeight="1" thickBot="1" x14ac:dyDescent="0.35">
      <c r="B40" s="18"/>
      <c r="C40" s="18"/>
      <c r="D40" s="18"/>
      <c r="E40" s="36"/>
      <c r="F40" s="37"/>
      <c r="G40" s="37"/>
      <c r="L40"/>
      <c r="M40" s="15"/>
      <c r="N40" s="15"/>
      <c r="O40" s="15"/>
      <c r="Q40" s="25"/>
      <c r="R40" s="137" t="s">
        <v>238</v>
      </c>
      <c r="S40" s="137"/>
      <c r="T40" s="137"/>
      <c r="U40" s="138"/>
    </row>
    <row r="41" spans="2:21" ht="19.5" customHeight="1" thickBot="1" x14ac:dyDescent="0.35">
      <c r="Q41" s="124">
        <f>Q39+7</f>
        <v>46573</v>
      </c>
      <c r="R41" s="131" t="s">
        <v>242</v>
      </c>
      <c r="S41" s="125"/>
      <c r="T41" s="125"/>
      <c r="U41" s="126"/>
    </row>
    <row r="42" spans="2:21" s="9" customFormat="1" ht="20.100000000000001" customHeight="1" thickBot="1" x14ac:dyDescent="0.3">
      <c r="Q42" s="127"/>
      <c r="R42" s="128"/>
      <c r="S42" s="129"/>
      <c r="T42" s="129"/>
      <c r="U42" s="129"/>
    </row>
    <row r="43" spans="2:21" s="9" customFormat="1" ht="20.100000000000001" customHeight="1" thickBot="1" x14ac:dyDescent="0.35">
      <c r="B43" s="38" t="s">
        <v>68</v>
      </c>
      <c r="C43" s="39"/>
      <c r="D43" s="39"/>
      <c r="E43" s="39"/>
      <c r="F43" s="39"/>
      <c r="G43" s="40"/>
      <c r="H43" s="39"/>
      <c r="I43" s="39"/>
      <c r="J43" s="41"/>
      <c r="K43" s="39" t="s">
        <v>69</v>
      </c>
      <c r="L43" s="40"/>
      <c r="M43" s="39"/>
      <c r="N43" s="39"/>
      <c r="O43" s="39"/>
      <c r="P43" s="39"/>
      <c r="Q43" s="42" t="s">
        <v>70</v>
      </c>
      <c r="R43" s="39"/>
      <c r="S43" s="39"/>
      <c r="T43" s="39"/>
      <c r="U43" s="43"/>
    </row>
    <row r="44" spans="2:21" ht="15" customHeight="1" x14ac:dyDescent="0.3">
      <c r="Q44" s="1"/>
    </row>
    <row r="45" spans="2:21" ht="15" customHeight="1" x14ac:dyDescent="0.3">
      <c r="Q45" s="1"/>
    </row>
    <row r="46" spans="2:21" ht="15" customHeight="1" x14ac:dyDescent="0.3">
      <c r="Q46" s="1"/>
    </row>
    <row r="47" spans="2:21" ht="15" customHeight="1" x14ac:dyDescent="0.3">
      <c r="Q47" s="1"/>
    </row>
    <row r="48" spans="2:21" ht="15" customHeight="1" x14ac:dyDescent="0.3">
      <c r="Q48" s="1"/>
    </row>
    <row r="49" spans="17:17" ht="15" customHeight="1" x14ac:dyDescent="0.3">
      <c r="Q49" s="1"/>
    </row>
    <row r="50" spans="17:17" ht="15" customHeight="1" x14ac:dyDescent="0.3">
      <c r="Q50" s="1"/>
    </row>
    <row r="51" spans="17:17" ht="15" customHeight="1" x14ac:dyDescent="0.3">
      <c r="Q51" s="1"/>
    </row>
    <row r="52" spans="17:17" ht="15" customHeight="1" x14ac:dyDescent="0.3">
      <c r="Q52" s="1"/>
    </row>
    <row r="53" spans="17:17" ht="15" customHeight="1" x14ac:dyDescent="0.3">
      <c r="Q53" s="1"/>
    </row>
    <row r="54" spans="17:17" ht="15" customHeight="1" x14ac:dyDescent="0.3">
      <c r="Q54" s="1"/>
    </row>
    <row r="55" spans="17:17" ht="15" customHeight="1" x14ac:dyDescent="0.3">
      <c r="Q55" s="1"/>
    </row>
    <row r="56" spans="17:17" ht="15" customHeight="1" x14ac:dyDescent="0.3">
      <c r="Q56" s="1"/>
    </row>
    <row r="57" spans="17:17" ht="15" customHeight="1" x14ac:dyDescent="0.3">
      <c r="Q57" s="1"/>
    </row>
    <row r="58" spans="17:17" ht="15" customHeight="1" x14ac:dyDescent="0.3">
      <c r="Q58" s="1"/>
    </row>
    <row r="59" spans="17:17" ht="15" customHeight="1" x14ac:dyDescent="0.3">
      <c r="Q59" s="1"/>
    </row>
    <row r="60" spans="17:17" ht="15" customHeight="1" x14ac:dyDescent="0.3">
      <c r="Q60" s="1"/>
    </row>
    <row r="61" spans="17:17" ht="15" customHeight="1" x14ac:dyDescent="0.3">
      <c r="Q61" s="1"/>
    </row>
    <row r="62" spans="17:17" ht="15" customHeight="1" x14ac:dyDescent="0.3">
      <c r="Q62" s="1"/>
    </row>
    <row r="63" spans="17:17" ht="15" customHeight="1" x14ac:dyDescent="0.3">
      <c r="Q63" s="1"/>
    </row>
    <row r="64" spans="17:17" ht="15" customHeight="1" x14ac:dyDescent="0.3">
      <c r="Q64" s="1"/>
    </row>
    <row r="65" spans="17:17" ht="15" customHeight="1" x14ac:dyDescent="0.3">
      <c r="Q65" s="1"/>
    </row>
    <row r="66" spans="17:17" ht="15" customHeight="1" x14ac:dyDescent="0.3">
      <c r="Q66" s="1"/>
    </row>
    <row r="67" spans="17:17" ht="15" customHeight="1" x14ac:dyDescent="0.3">
      <c r="Q67" s="1"/>
    </row>
    <row r="68" spans="17:17" ht="15" customHeight="1" x14ac:dyDescent="0.3">
      <c r="Q68" s="1"/>
    </row>
    <row r="69" spans="17:17" ht="15" customHeight="1" x14ac:dyDescent="0.3">
      <c r="Q69" s="1"/>
    </row>
    <row r="70" spans="17:17" ht="15" customHeight="1" x14ac:dyDescent="0.3">
      <c r="Q70" s="1"/>
    </row>
    <row r="71" spans="17:17" ht="15" customHeight="1" x14ac:dyDescent="0.3">
      <c r="Q71" s="1"/>
    </row>
    <row r="72" spans="17:17" ht="15" customHeight="1" x14ac:dyDescent="0.3">
      <c r="Q72" s="1"/>
    </row>
    <row r="73" spans="17:17" ht="15" customHeight="1" x14ac:dyDescent="0.3">
      <c r="Q73" s="1"/>
    </row>
    <row r="74" spans="17:17" ht="15" customHeight="1" x14ac:dyDescent="0.3">
      <c r="Q74" s="1"/>
    </row>
    <row r="75" spans="17:17" ht="15" customHeight="1" x14ac:dyDescent="0.3">
      <c r="Q75" s="1"/>
    </row>
    <row r="76" spans="17:17" ht="15" customHeight="1" x14ac:dyDescent="0.3">
      <c r="Q76" s="1"/>
    </row>
    <row r="77" spans="17:17" ht="15" customHeight="1" x14ac:dyDescent="0.3">
      <c r="Q77" s="1"/>
    </row>
    <row r="78" spans="17:17" ht="15" customHeight="1" x14ac:dyDescent="0.3">
      <c r="Q78" s="1"/>
    </row>
    <row r="79" spans="17:17" ht="15" customHeight="1" x14ac:dyDescent="0.3">
      <c r="Q79" s="1"/>
    </row>
    <row r="80" spans="17:17" ht="15" customHeight="1" x14ac:dyDescent="0.3">
      <c r="Q80" s="1"/>
    </row>
    <row r="81" spans="17:17" ht="15" customHeight="1" x14ac:dyDescent="0.3">
      <c r="Q81" s="1"/>
    </row>
  </sheetData>
  <mergeCells count="104">
    <mergeCell ref="B32:D33"/>
    <mergeCell ref="B34:D39"/>
    <mergeCell ref="E32:G32"/>
    <mergeCell ref="E33:G33"/>
    <mergeCell ref="E34:E39"/>
    <mergeCell ref="F34:F39"/>
    <mergeCell ref="G34:G39"/>
    <mergeCell ref="N20:O20"/>
    <mergeCell ref="N21:O21"/>
    <mergeCell ref="N22:O22"/>
    <mergeCell ref="N23:O23"/>
    <mergeCell ref="N26:O26"/>
    <mergeCell ref="B23:D24"/>
    <mergeCell ref="B16:D21"/>
    <mergeCell ref="B25:D30"/>
    <mergeCell ref="G16:H21"/>
    <mergeCell ref="E19:E21"/>
    <mergeCell ref="F25:F30"/>
    <mergeCell ref="I25:I30"/>
    <mergeCell ref="I16:I21"/>
    <mergeCell ref="F16:F21"/>
    <mergeCell ref="E23:F23"/>
    <mergeCell ref="G23:I23"/>
    <mergeCell ref="E24:F24"/>
    <mergeCell ref="N29:O29"/>
    <mergeCell ref="M5:O5"/>
    <mergeCell ref="M6:O12"/>
    <mergeCell ref="M14:O14"/>
    <mergeCell ref="M15:O17"/>
    <mergeCell ref="M19:O19"/>
    <mergeCell ref="J25:K27"/>
    <mergeCell ref="J28:K30"/>
    <mergeCell ref="J23:K23"/>
    <mergeCell ref="J24:K24"/>
    <mergeCell ref="J10:J12"/>
    <mergeCell ref="J7:J9"/>
    <mergeCell ref="J5:K5"/>
    <mergeCell ref="J6:K6"/>
    <mergeCell ref="K7:K9"/>
    <mergeCell ref="K10:K12"/>
    <mergeCell ref="E10:E12"/>
    <mergeCell ref="E15:F15"/>
    <mergeCell ref="I7:I12"/>
    <mergeCell ref="E13:G13"/>
    <mergeCell ref="H13:I13"/>
    <mergeCell ref="E14:F14"/>
    <mergeCell ref="G7:G12"/>
    <mergeCell ref="H7:H12"/>
    <mergeCell ref="B5:D6"/>
    <mergeCell ref="B7:D12"/>
    <mergeCell ref="E5:F5"/>
    <mergeCell ref="E7:E9"/>
    <mergeCell ref="F7:F12"/>
    <mergeCell ref="E6:F6"/>
    <mergeCell ref="G6:I6"/>
    <mergeCell ref="B14:D15"/>
    <mergeCell ref="E16:E18"/>
    <mergeCell ref="E25:E30"/>
    <mergeCell ref="Q1:T1"/>
    <mergeCell ref="R16:U16"/>
    <mergeCell ref="R17:U17"/>
    <mergeCell ref="R11:U11"/>
    <mergeCell ref="R12:U12"/>
    <mergeCell ref="R13:U13"/>
    <mergeCell ref="R14:U14"/>
    <mergeCell ref="R6:U6"/>
    <mergeCell ref="R15:U15"/>
    <mergeCell ref="J3:K3"/>
    <mergeCell ref="I14:J14"/>
    <mergeCell ref="I15:J15"/>
    <mergeCell ref="H3:I3"/>
    <mergeCell ref="R27:U27"/>
    <mergeCell ref="R5:U5"/>
    <mergeCell ref="R7:U7"/>
    <mergeCell ref="R8:U8"/>
    <mergeCell ref="R9:U9"/>
    <mergeCell ref="R10:U10"/>
    <mergeCell ref="G5:I5"/>
    <mergeCell ref="G25:G30"/>
    <mergeCell ref="B3:G3"/>
    <mergeCell ref="R39:U39"/>
    <mergeCell ref="R40:U40"/>
    <mergeCell ref="R35:U36"/>
    <mergeCell ref="R31:U31"/>
    <mergeCell ref="R23:U23"/>
    <mergeCell ref="R25:U25"/>
    <mergeCell ref="H25:H30"/>
    <mergeCell ref="J16:J21"/>
    <mergeCell ref="G14:H14"/>
    <mergeCell ref="G15:H15"/>
    <mergeCell ref="R18:U18"/>
    <mergeCell ref="R19:U19"/>
    <mergeCell ref="R29:U29"/>
    <mergeCell ref="R21:U21"/>
    <mergeCell ref="R20:U20"/>
    <mergeCell ref="G24:I24"/>
    <mergeCell ref="R38:U38"/>
    <mergeCell ref="R37:U37"/>
    <mergeCell ref="R34:U34"/>
    <mergeCell ref="R33:U33"/>
    <mergeCell ref="N30:O30"/>
    <mergeCell ref="N31:O31"/>
    <mergeCell ref="N27:O27"/>
    <mergeCell ref="N28:O28"/>
  </mergeCells>
  <phoneticPr fontId="25" type="noConversion"/>
  <conditionalFormatting sqref="Q41:U42">
    <cfRule type="expression" dxfId="2" priority="3">
      <formula>$Q$7=#REF!</formula>
    </cfRule>
  </conditionalFormatting>
  <conditionalFormatting sqref="R5:U13 Q6:Q10 Q11:U32 R33:U33 Q33:Q40 Q34:U34 R35">
    <cfRule type="expression" dxfId="1" priority="60">
      <formula>$Q$7=#REF!</formula>
    </cfRule>
  </conditionalFormatting>
  <conditionalFormatting sqref="R36:U40">
    <cfRule type="expression" dxfId="0" priority="1">
      <formula>$Q$7=#REF!</formula>
    </cfRule>
  </conditionalFormatting>
  <pageMargins left="0.23622047244094491" right="0.23622047244094491" top="0.19685039370078741" bottom="0.19685039370078741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22F8-4C88-442D-89DD-B9346AE98375}">
  <dimension ref="B1:J47"/>
  <sheetViews>
    <sheetView zoomScale="150" zoomScaleNormal="150" workbookViewId="0">
      <selection activeCell="C7" sqref="C7:F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Kompetenzraster!Q5</f>
        <v>46426</v>
      </c>
      <c r="F1" s="351"/>
      <c r="G1" s="354">
        <v>1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72</v>
      </c>
      <c r="C3" s="357"/>
      <c r="D3" s="357"/>
      <c r="E3" s="357"/>
      <c r="F3" s="358"/>
      <c r="G3" s="362">
        <v>2.2999999999999998</v>
      </c>
    </row>
    <row r="4" spans="2:7" ht="14.25" customHeight="1" x14ac:dyDescent="0.25">
      <c r="B4" s="359"/>
      <c r="C4" s="360"/>
      <c r="D4" s="360"/>
      <c r="E4" s="360"/>
      <c r="F4" s="361"/>
      <c r="G4" s="363"/>
    </row>
    <row r="5" spans="2:7" ht="15.75" x14ac:dyDescent="0.3">
      <c r="B5" s="364" t="s">
        <v>73</v>
      </c>
      <c r="C5" s="70" t="s">
        <v>74</v>
      </c>
      <c r="D5" s="74"/>
      <c r="E5" s="46"/>
      <c r="F5" s="61"/>
      <c r="G5" s="47" t="s">
        <v>75</v>
      </c>
    </row>
    <row r="6" spans="2:7" ht="15.75" x14ac:dyDescent="0.3">
      <c r="B6" s="365"/>
      <c r="C6" s="48" t="s">
        <v>76</v>
      </c>
      <c r="F6" s="56"/>
      <c r="G6" s="49"/>
    </row>
    <row r="7" spans="2:7" ht="15.75" x14ac:dyDescent="0.3">
      <c r="B7" s="365"/>
      <c r="C7" s="48" t="s">
        <v>77</v>
      </c>
      <c r="F7" s="56"/>
      <c r="G7" s="49"/>
    </row>
    <row r="8" spans="2:7" ht="15.75" x14ac:dyDescent="0.3">
      <c r="B8" s="365"/>
      <c r="C8" s="71"/>
      <c r="F8" s="56"/>
      <c r="G8" s="51"/>
    </row>
    <row r="9" spans="2:7" ht="15.75" x14ac:dyDescent="0.3">
      <c r="B9" s="365"/>
      <c r="C9" s="48"/>
      <c r="F9" s="56"/>
      <c r="G9" s="49"/>
    </row>
    <row r="10" spans="2:7" ht="15.75" x14ac:dyDescent="0.3">
      <c r="B10" s="365"/>
      <c r="C10" s="48"/>
      <c r="F10" s="56"/>
      <c r="G10" s="49"/>
    </row>
    <row r="11" spans="2:7" x14ac:dyDescent="0.25">
      <c r="B11" s="365"/>
      <c r="C11" s="59"/>
      <c r="D11" s="53"/>
      <c r="E11" s="53"/>
      <c r="F11" s="60"/>
      <c r="G11" s="54"/>
    </row>
    <row r="12" spans="2:7" x14ac:dyDescent="0.25">
      <c r="B12" s="365"/>
      <c r="C12" s="367" t="s">
        <v>78</v>
      </c>
      <c r="D12" s="368"/>
      <c r="E12" s="368"/>
      <c r="F12" s="368"/>
      <c r="G12" s="369"/>
    </row>
    <row r="13" spans="2:7" ht="15.75" x14ac:dyDescent="0.3">
      <c r="B13" s="365"/>
      <c r="C13" s="55" t="s">
        <v>79</v>
      </c>
      <c r="G13" s="56"/>
    </row>
    <row r="14" spans="2:7" ht="15.75" x14ac:dyDescent="0.3">
      <c r="B14" s="366"/>
      <c r="C14" s="72" t="s">
        <v>80</v>
      </c>
      <c r="D14" s="62"/>
      <c r="E14" s="62"/>
      <c r="F14" s="62"/>
      <c r="G14" s="63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82</v>
      </c>
      <c r="C17" s="377"/>
      <c r="D17" s="377"/>
      <c r="E17" s="377"/>
      <c r="F17" s="377"/>
      <c r="G17" s="380">
        <v>2.1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74</v>
      </c>
      <c r="D19" s="46"/>
      <c r="E19" s="46"/>
      <c r="F19" s="61"/>
      <c r="G19" s="47" t="s">
        <v>75</v>
      </c>
    </row>
    <row r="20" spans="2:10" ht="15.75" x14ac:dyDescent="0.3">
      <c r="B20" s="383"/>
      <c r="C20" s="48" t="s">
        <v>84</v>
      </c>
      <c r="F20" s="56"/>
      <c r="G20" s="49"/>
      <c r="I20" s="50"/>
      <c r="J20" s="50"/>
    </row>
    <row r="21" spans="2:10" ht="15.75" x14ac:dyDescent="0.3">
      <c r="B21" s="383"/>
      <c r="C21" s="48" t="s">
        <v>85</v>
      </c>
      <c r="D21" s="50"/>
      <c r="E21" s="50"/>
      <c r="F21" s="58"/>
      <c r="G21" s="49"/>
    </row>
    <row r="22" spans="2:10" ht="15.75" x14ac:dyDescent="0.3">
      <c r="B22" s="383"/>
      <c r="C22" s="48" t="s">
        <v>86</v>
      </c>
      <c r="F22" s="56"/>
      <c r="G22" s="49"/>
    </row>
    <row r="23" spans="2:10" ht="15.75" x14ac:dyDescent="0.3">
      <c r="B23" s="383"/>
      <c r="C23" s="48" t="s">
        <v>87</v>
      </c>
      <c r="D23" s="62"/>
      <c r="E23" s="62"/>
      <c r="F23" s="63"/>
      <c r="G23" s="51"/>
    </row>
    <row r="24" spans="2:10" ht="15.75" customHeight="1" x14ac:dyDescent="0.25">
      <c r="B24" s="384"/>
      <c r="C24" s="386" t="s">
        <v>78</v>
      </c>
      <c r="D24" s="387"/>
      <c r="E24" s="387"/>
      <c r="F24" s="387"/>
      <c r="G24" s="369"/>
    </row>
    <row r="25" spans="2:10" ht="15.75" x14ac:dyDescent="0.3">
      <c r="B25" s="384"/>
      <c r="C25" s="48" t="s">
        <v>88</v>
      </c>
      <c r="D25" s="50"/>
      <c r="E25" s="50"/>
      <c r="F25" s="50"/>
      <c r="G25" s="58"/>
    </row>
    <row r="26" spans="2:10" ht="15.75" x14ac:dyDescent="0.3">
      <c r="B26" s="384"/>
      <c r="C26" s="48" t="s">
        <v>89</v>
      </c>
      <c r="G26" s="56"/>
    </row>
    <row r="27" spans="2:10" ht="15.75" customHeight="1" x14ac:dyDescent="0.25">
      <c r="B27" s="385"/>
      <c r="C27" s="59"/>
      <c r="D27" s="53"/>
      <c r="E27" s="53"/>
      <c r="F27" s="53"/>
      <c r="G27" s="6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G31" s="56"/>
    </row>
    <row r="32" spans="2:10" ht="15.75" customHeight="1" x14ac:dyDescent="0.25">
      <c r="B32" s="67"/>
      <c r="D32" s="56"/>
      <c r="E32" s="132"/>
      <c r="F32" s="18"/>
      <c r="G32" s="133"/>
    </row>
    <row r="33" spans="2:7" ht="15.75" customHeight="1" x14ac:dyDescent="0.25">
      <c r="B33" s="67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BAF8-5A9C-4559-884C-E8AB8F725649}">
  <dimension ref="B1:G47"/>
  <sheetViews>
    <sheetView workbookViewId="0">
      <selection activeCell="F25" sqref="C22:F2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Kompetenzraster!Q7</f>
        <v>46433</v>
      </c>
      <c r="F1" s="351"/>
      <c r="G1" s="354">
        <v>2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72</v>
      </c>
      <c r="C3" s="357"/>
      <c r="D3" s="357"/>
      <c r="E3" s="357"/>
      <c r="F3" s="358"/>
      <c r="G3" s="362">
        <v>2.2999999999999998</v>
      </c>
    </row>
    <row r="4" spans="2:7" x14ac:dyDescent="0.25">
      <c r="B4" s="359"/>
      <c r="C4" s="388"/>
      <c r="D4" s="388"/>
      <c r="E4" s="388"/>
      <c r="F4" s="389"/>
      <c r="G4" s="390"/>
    </row>
    <row r="5" spans="2:7" x14ac:dyDescent="0.25">
      <c r="B5" s="392" t="s">
        <v>73</v>
      </c>
      <c r="C5" s="70" t="s">
        <v>92</v>
      </c>
      <c r="D5" s="65"/>
      <c r="E5" s="65"/>
      <c r="F5" s="66"/>
      <c r="G5" s="47" t="s">
        <v>75</v>
      </c>
    </row>
    <row r="6" spans="2:7" ht="15.75" x14ac:dyDescent="0.3">
      <c r="B6" s="393"/>
      <c r="C6" s="48" t="s">
        <v>93</v>
      </c>
      <c r="D6" s="50"/>
      <c r="E6" s="50"/>
      <c r="F6" s="56"/>
      <c r="G6" s="49"/>
    </row>
    <row r="7" spans="2:7" ht="15.75" x14ac:dyDescent="0.3">
      <c r="B7" s="393"/>
      <c r="C7" s="48" t="s">
        <v>94</v>
      </c>
      <c r="F7" s="56"/>
      <c r="G7" s="49"/>
    </row>
    <row r="8" spans="2:7" ht="15.75" x14ac:dyDescent="0.3">
      <c r="B8" s="393"/>
      <c r="C8" s="71" t="s">
        <v>95</v>
      </c>
      <c r="D8" s="50"/>
      <c r="E8" s="50"/>
      <c r="F8" s="58"/>
      <c r="G8" s="51"/>
    </row>
    <row r="9" spans="2:7" ht="15.75" x14ac:dyDescent="0.3">
      <c r="B9" s="393"/>
      <c r="C9" s="48" t="s">
        <v>96</v>
      </c>
      <c r="F9" s="56"/>
      <c r="G9" s="49"/>
    </row>
    <row r="10" spans="2:7" ht="15.75" x14ac:dyDescent="0.3">
      <c r="B10" s="393"/>
      <c r="C10" s="48" t="s">
        <v>97</v>
      </c>
      <c r="F10" s="56"/>
      <c r="G10" s="49"/>
    </row>
    <row r="11" spans="2:7" ht="15.75" x14ac:dyDescent="0.3">
      <c r="B11" s="393"/>
      <c r="C11" s="48" t="s">
        <v>87</v>
      </c>
      <c r="D11" s="50"/>
      <c r="E11" s="50"/>
      <c r="F11" s="58"/>
      <c r="G11" s="49"/>
    </row>
    <row r="12" spans="2:7" ht="15.75" x14ac:dyDescent="0.3">
      <c r="B12" s="393"/>
      <c r="C12" s="71"/>
      <c r="D12" s="50"/>
      <c r="E12" s="50"/>
      <c r="F12" s="56"/>
      <c r="G12" s="95" t="s">
        <v>98</v>
      </c>
    </row>
    <row r="13" spans="2:7" ht="15.75" x14ac:dyDescent="0.3">
      <c r="B13" s="393"/>
      <c r="C13" s="48" t="s">
        <v>99</v>
      </c>
      <c r="F13" s="56"/>
      <c r="G13" s="49"/>
    </row>
    <row r="14" spans="2:7" ht="15.75" x14ac:dyDescent="0.3">
      <c r="B14" s="394"/>
      <c r="C14" s="52"/>
      <c r="D14" s="53"/>
      <c r="E14" s="53"/>
      <c r="F14" s="60"/>
      <c r="G14" s="54"/>
    </row>
    <row r="15" spans="2:7" x14ac:dyDescent="0.25">
      <c r="B15" s="395"/>
      <c r="C15" s="386" t="s">
        <v>78</v>
      </c>
      <c r="D15" s="387"/>
      <c r="E15" s="387"/>
      <c r="F15" s="387"/>
      <c r="G15" s="391"/>
    </row>
    <row r="16" spans="2:7" ht="15.75" x14ac:dyDescent="0.3">
      <c r="B16" s="395"/>
      <c r="C16" s="104" t="s">
        <v>79</v>
      </c>
      <c r="D16" s="65"/>
      <c r="E16" s="65"/>
      <c r="F16" s="65"/>
      <c r="G16" s="66"/>
    </row>
    <row r="17" spans="2:7" ht="15.75" customHeight="1" x14ac:dyDescent="0.3">
      <c r="B17" s="396"/>
      <c r="C17" s="72" t="s">
        <v>80</v>
      </c>
      <c r="D17" s="62"/>
      <c r="E17" s="62"/>
      <c r="F17" s="62"/>
      <c r="G17" s="63"/>
    </row>
    <row r="18" spans="2:7" x14ac:dyDescent="0.25">
      <c r="B18" s="370" t="s">
        <v>81</v>
      </c>
      <c r="C18" s="371"/>
      <c r="D18" s="371"/>
      <c r="E18" s="371"/>
      <c r="F18" s="371"/>
      <c r="G18" s="372"/>
    </row>
    <row r="19" spans="2:7" x14ac:dyDescent="0.25">
      <c r="B19" s="373"/>
      <c r="C19" s="374"/>
      <c r="D19" s="374"/>
      <c r="E19" s="374"/>
      <c r="F19" s="374"/>
      <c r="G19" s="375"/>
    </row>
    <row r="20" spans="2:7" x14ac:dyDescent="0.25">
      <c r="B20" s="376" t="s">
        <v>82</v>
      </c>
      <c r="C20" s="377"/>
      <c r="D20" s="377"/>
      <c r="E20" s="377"/>
      <c r="F20" s="377"/>
      <c r="G20" s="380">
        <v>2.1</v>
      </c>
    </row>
    <row r="21" spans="2:7" x14ac:dyDescent="0.25">
      <c r="B21" s="378"/>
      <c r="C21" s="379"/>
      <c r="D21" s="379"/>
      <c r="E21" s="379"/>
      <c r="F21" s="379"/>
      <c r="G21" s="381"/>
    </row>
    <row r="22" spans="2:7" ht="15.75" x14ac:dyDescent="0.3">
      <c r="B22" s="382" t="s">
        <v>83</v>
      </c>
      <c r="C22" s="70" t="s">
        <v>100</v>
      </c>
      <c r="D22" s="46"/>
      <c r="E22" s="46"/>
      <c r="F22" s="61"/>
      <c r="G22" s="47" t="s">
        <v>75</v>
      </c>
    </row>
    <row r="23" spans="2:7" ht="15.75" x14ac:dyDescent="0.3">
      <c r="B23" s="383"/>
      <c r="C23" s="48" t="s">
        <v>101</v>
      </c>
      <c r="F23" s="56"/>
      <c r="G23" s="49"/>
    </row>
    <row r="24" spans="2:7" ht="15.75" customHeight="1" x14ac:dyDescent="0.3">
      <c r="B24" s="383"/>
      <c r="C24" s="48" t="s">
        <v>102</v>
      </c>
      <c r="D24" s="50"/>
      <c r="E24" s="50"/>
      <c r="F24" s="58"/>
      <c r="G24" s="49"/>
    </row>
    <row r="25" spans="2:7" ht="15.75" x14ac:dyDescent="0.3">
      <c r="B25" s="383"/>
      <c r="C25" s="48" t="s">
        <v>103</v>
      </c>
      <c r="F25" s="56"/>
      <c r="G25" s="49"/>
    </row>
    <row r="26" spans="2:7" ht="15.75" x14ac:dyDescent="0.3">
      <c r="B26" s="383"/>
      <c r="C26" s="52"/>
      <c r="D26" s="62"/>
      <c r="E26" s="62"/>
      <c r="F26" s="63"/>
      <c r="G26" s="75"/>
    </row>
    <row r="27" spans="2:7" ht="15.75" customHeight="1" x14ac:dyDescent="0.25">
      <c r="B27" s="384"/>
      <c r="C27" s="386" t="s">
        <v>78</v>
      </c>
      <c r="D27" s="387"/>
      <c r="E27" s="387"/>
      <c r="F27" s="387"/>
      <c r="G27" s="369"/>
    </row>
    <row r="28" spans="2:7" ht="15.75" customHeight="1" x14ac:dyDescent="0.3">
      <c r="B28" s="384"/>
      <c r="C28" s="48" t="s">
        <v>88</v>
      </c>
      <c r="D28" s="50"/>
      <c r="E28" s="50"/>
      <c r="F28" s="50"/>
      <c r="G28" s="58"/>
    </row>
    <row r="29" spans="2:7" ht="15.75" customHeight="1" x14ac:dyDescent="0.3">
      <c r="B29" s="384"/>
      <c r="C29" s="48" t="s">
        <v>89</v>
      </c>
      <c r="G29" s="56"/>
    </row>
    <row r="30" spans="2:7" ht="15.75" customHeight="1" x14ac:dyDescent="0.25">
      <c r="B30" s="385"/>
      <c r="C30" s="59"/>
      <c r="D30" s="53"/>
      <c r="E30" s="53"/>
      <c r="F30" s="53"/>
      <c r="G30" s="60"/>
    </row>
    <row r="31" spans="2:7" x14ac:dyDescent="0.25">
      <c r="B31" s="340" t="s">
        <v>90</v>
      </c>
      <c r="C31" s="341"/>
      <c r="D31" s="341"/>
      <c r="E31" s="340" t="s">
        <v>91</v>
      </c>
      <c r="F31" s="341"/>
      <c r="G31" s="344"/>
    </row>
    <row r="32" spans="2:7" ht="15.75" customHeight="1" x14ac:dyDescent="0.25">
      <c r="B32" s="342"/>
      <c r="C32" s="343"/>
      <c r="D32" s="343"/>
      <c r="E32" s="342"/>
      <c r="F32" s="343"/>
      <c r="G32" s="345"/>
    </row>
    <row r="33" spans="2:7" ht="15.75" customHeight="1" x14ac:dyDescent="0.25">
      <c r="B33" s="67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31:D32"/>
    <mergeCell ref="E31:G32"/>
    <mergeCell ref="B1:D2"/>
    <mergeCell ref="E1:F2"/>
    <mergeCell ref="G1:G2"/>
    <mergeCell ref="B3:F4"/>
    <mergeCell ref="G3:G4"/>
    <mergeCell ref="C15:G15"/>
    <mergeCell ref="B18:G19"/>
    <mergeCell ref="B20:F21"/>
    <mergeCell ref="G20:G21"/>
    <mergeCell ref="B22:B30"/>
    <mergeCell ref="C27:G27"/>
    <mergeCell ref="B5:B17"/>
  </mergeCells>
  <phoneticPr fontId="25" type="noConversion"/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7EF2-AF5F-47A7-8598-9E514727513D}">
  <dimension ref="B1:G47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Kompetenzraster!Q9</f>
        <v>46440</v>
      </c>
      <c r="F1" s="351"/>
      <c r="G1" s="354">
        <v>3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104</v>
      </c>
      <c r="C3" s="357"/>
      <c r="D3" s="357"/>
      <c r="E3" s="357"/>
      <c r="F3" s="358"/>
      <c r="G3" s="362">
        <v>2.5</v>
      </c>
    </row>
    <row r="4" spans="2:7" x14ac:dyDescent="0.25">
      <c r="B4" s="359"/>
      <c r="C4" s="388"/>
      <c r="D4" s="388"/>
      <c r="E4" s="388"/>
      <c r="F4" s="389"/>
      <c r="G4" s="390"/>
    </row>
    <row r="5" spans="2:7" ht="15.75" x14ac:dyDescent="0.3">
      <c r="B5" s="364" t="s">
        <v>73</v>
      </c>
      <c r="C5" s="89" t="s">
        <v>105</v>
      </c>
      <c r="D5" s="90"/>
      <c r="E5" s="90"/>
      <c r="F5" s="91" t="s">
        <v>106</v>
      </c>
      <c r="G5" s="78" t="s">
        <v>75</v>
      </c>
    </row>
    <row r="6" spans="2:7" ht="15.75" x14ac:dyDescent="0.3">
      <c r="B6" s="365"/>
      <c r="C6" s="67"/>
      <c r="F6" s="58"/>
      <c r="G6" s="56"/>
    </row>
    <row r="7" spans="2:7" ht="15.75" x14ac:dyDescent="0.3">
      <c r="B7" s="365"/>
      <c r="C7" s="48" t="s">
        <v>107</v>
      </c>
      <c r="D7" s="50"/>
      <c r="E7" s="50"/>
      <c r="F7" s="56"/>
      <c r="G7" s="56"/>
    </row>
    <row r="8" spans="2:7" ht="15.75" x14ac:dyDescent="0.3">
      <c r="B8" s="365"/>
      <c r="C8" s="71" t="s">
        <v>74</v>
      </c>
      <c r="F8" s="58"/>
      <c r="G8" s="58"/>
    </row>
    <row r="9" spans="2:7" ht="15.75" x14ac:dyDescent="0.3">
      <c r="B9" s="365"/>
      <c r="C9" s="48" t="s">
        <v>108</v>
      </c>
      <c r="F9" s="56"/>
      <c r="G9" s="56"/>
    </row>
    <row r="10" spans="2:7" ht="15.75" x14ac:dyDescent="0.3">
      <c r="B10" s="365"/>
      <c r="C10" s="48" t="s">
        <v>109</v>
      </c>
      <c r="F10" s="56"/>
      <c r="G10" s="56"/>
    </row>
    <row r="11" spans="2:7" x14ac:dyDescent="0.25">
      <c r="B11" s="365"/>
      <c r="C11" s="59"/>
      <c r="D11" s="53"/>
      <c r="E11" s="53"/>
      <c r="F11" s="60"/>
      <c r="G11" s="60"/>
    </row>
    <row r="12" spans="2:7" x14ac:dyDescent="0.25">
      <c r="B12" s="393"/>
      <c r="C12" s="367" t="s">
        <v>78</v>
      </c>
      <c r="D12" s="368"/>
      <c r="E12" s="368"/>
      <c r="F12" s="368"/>
      <c r="G12" s="391"/>
    </row>
    <row r="13" spans="2:7" ht="15.75" x14ac:dyDescent="0.3">
      <c r="B13" s="393"/>
      <c r="C13" s="57" t="s">
        <v>110</v>
      </c>
      <c r="D13" s="50"/>
      <c r="E13" s="50"/>
      <c r="F13" s="50"/>
      <c r="G13" s="58"/>
    </row>
    <row r="14" spans="2:7" ht="15.75" x14ac:dyDescent="0.3">
      <c r="B14" s="397"/>
      <c r="C14" s="55" t="s">
        <v>111</v>
      </c>
      <c r="D14" s="50"/>
      <c r="E14" s="50"/>
      <c r="F14" s="50"/>
      <c r="G14" s="58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7" ht="15.75" customHeight="1" x14ac:dyDescent="0.25">
      <c r="B17" s="376" t="s">
        <v>82</v>
      </c>
      <c r="C17" s="377"/>
      <c r="D17" s="377"/>
      <c r="E17" s="377"/>
      <c r="F17" s="377"/>
      <c r="G17" s="380">
        <v>2.1</v>
      </c>
    </row>
    <row r="18" spans="2:7" x14ac:dyDescent="0.25">
      <c r="B18" s="378"/>
      <c r="C18" s="379"/>
      <c r="D18" s="379"/>
      <c r="E18" s="379"/>
      <c r="F18" s="379"/>
      <c r="G18" s="381"/>
    </row>
    <row r="19" spans="2:7" ht="15.75" x14ac:dyDescent="0.3">
      <c r="B19" s="382" t="s">
        <v>83</v>
      </c>
      <c r="C19" s="70" t="s">
        <v>112</v>
      </c>
      <c r="D19" s="46"/>
      <c r="E19" s="46"/>
      <c r="F19" s="61"/>
      <c r="G19" s="47" t="s">
        <v>75</v>
      </c>
    </row>
    <row r="20" spans="2:7" ht="15.75" x14ac:dyDescent="0.3">
      <c r="B20" s="383"/>
      <c r="C20" s="48" t="s">
        <v>101</v>
      </c>
      <c r="F20" s="56"/>
      <c r="G20" s="49"/>
    </row>
    <row r="21" spans="2:7" ht="15.75" x14ac:dyDescent="0.3">
      <c r="B21" s="383"/>
      <c r="C21" s="48" t="s">
        <v>113</v>
      </c>
      <c r="D21" s="50"/>
      <c r="E21" s="50"/>
      <c r="F21" s="58"/>
      <c r="G21" s="49"/>
    </row>
    <row r="22" spans="2:7" ht="15.75" x14ac:dyDescent="0.3">
      <c r="B22" s="383"/>
      <c r="C22" s="48" t="s">
        <v>103</v>
      </c>
      <c r="F22" s="56"/>
      <c r="G22" s="49"/>
    </row>
    <row r="23" spans="2:7" ht="15.75" x14ac:dyDescent="0.3">
      <c r="B23" s="383"/>
      <c r="C23" s="52"/>
      <c r="D23" s="62"/>
      <c r="E23" s="62"/>
      <c r="F23" s="63"/>
      <c r="G23" s="51"/>
    </row>
    <row r="24" spans="2:7" ht="15.75" customHeight="1" x14ac:dyDescent="0.25">
      <c r="B24" s="384"/>
      <c r="C24" s="386" t="s">
        <v>78</v>
      </c>
      <c r="D24" s="387"/>
      <c r="E24" s="387"/>
      <c r="F24" s="387"/>
      <c r="G24" s="369"/>
    </row>
    <row r="25" spans="2:7" ht="15.75" x14ac:dyDescent="0.3">
      <c r="B25" s="384"/>
      <c r="C25" s="48" t="s">
        <v>114</v>
      </c>
      <c r="D25" s="50"/>
      <c r="E25" s="50"/>
      <c r="F25" s="50"/>
      <c r="G25" s="58"/>
    </row>
    <row r="26" spans="2:7" ht="15.75" x14ac:dyDescent="0.3">
      <c r="B26" s="384"/>
      <c r="C26" s="48"/>
      <c r="G26" s="56"/>
    </row>
    <row r="27" spans="2:7" ht="15.75" customHeight="1" x14ac:dyDescent="0.25">
      <c r="B27" s="385"/>
      <c r="C27" s="59"/>
      <c r="D27" s="53"/>
      <c r="E27" s="53"/>
      <c r="F27" s="53"/>
      <c r="G27" s="60"/>
    </row>
    <row r="28" spans="2:7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7" ht="15.75" customHeight="1" x14ac:dyDescent="0.25">
      <c r="B29" s="342"/>
      <c r="C29" s="343"/>
      <c r="D29" s="343"/>
      <c r="E29" s="342"/>
      <c r="F29" s="343"/>
      <c r="G29" s="345"/>
    </row>
    <row r="30" spans="2:7" ht="15.75" customHeight="1" x14ac:dyDescent="0.25">
      <c r="B30" s="64"/>
      <c r="C30" s="65"/>
      <c r="D30" s="66"/>
      <c r="E30" s="64"/>
      <c r="F30" s="65"/>
      <c r="G30" s="66"/>
    </row>
    <row r="31" spans="2:7" ht="15.75" x14ac:dyDescent="0.3">
      <c r="B31" s="67"/>
      <c r="C31" s="50"/>
      <c r="D31" s="56"/>
      <c r="E31" s="68"/>
      <c r="G31" s="56"/>
    </row>
    <row r="32" spans="2:7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FAE6-CF58-4630-813E-B558E8DCAA50}">
  <dimension ref="B1:G47"/>
  <sheetViews>
    <sheetView workbookViewId="0">
      <selection activeCell="C20" sqref="C20:F2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Kompetenzraster!Q11</f>
        <v>46447</v>
      </c>
      <c r="F1" s="351"/>
      <c r="G1" s="354">
        <v>4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104</v>
      </c>
      <c r="C3" s="357"/>
      <c r="D3" s="357"/>
      <c r="E3" s="357"/>
      <c r="F3" s="358"/>
      <c r="G3" s="362">
        <v>2.5</v>
      </c>
    </row>
    <row r="4" spans="2:7" x14ac:dyDescent="0.25">
      <c r="B4" s="359"/>
      <c r="C4" s="388"/>
      <c r="D4" s="388"/>
      <c r="E4" s="388"/>
      <c r="F4" s="389"/>
      <c r="G4" s="363"/>
    </row>
    <row r="5" spans="2:7" ht="15.75" x14ac:dyDescent="0.3">
      <c r="B5" s="364" t="s">
        <v>73</v>
      </c>
      <c r="C5" s="70" t="s">
        <v>243</v>
      </c>
      <c r="D5" s="46"/>
      <c r="E5" s="46"/>
      <c r="F5" s="61"/>
      <c r="G5" s="47" t="s">
        <v>75</v>
      </c>
    </row>
    <row r="6" spans="2:7" ht="15.75" x14ac:dyDescent="0.3">
      <c r="B6" s="365"/>
      <c r="C6" s="48" t="s">
        <v>115</v>
      </c>
      <c r="F6" s="56"/>
      <c r="G6" s="49"/>
    </row>
    <row r="7" spans="2:7" ht="15.75" x14ac:dyDescent="0.3">
      <c r="B7" s="365"/>
      <c r="C7" s="48" t="s">
        <v>116</v>
      </c>
      <c r="F7" s="56"/>
      <c r="G7" s="49"/>
    </row>
    <row r="8" spans="2:7" ht="15.75" x14ac:dyDescent="0.3">
      <c r="B8" s="365"/>
      <c r="C8" s="48" t="s">
        <v>117</v>
      </c>
      <c r="D8" s="50"/>
      <c r="E8" s="50"/>
      <c r="F8" s="58"/>
      <c r="G8" s="51"/>
    </row>
    <row r="9" spans="2:7" ht="15.75" x14ac:dyDescent="0.3">
      <c r="B9" s="365"/>
      <c r="C9" s="71" t="s">
        <v>95</v>
      </c>
      <c r="D9" s="50"/>
      <c r="E9" s="50"/>
      <c r="F9" s="58"/>
      <c r="G9" s="49"/>
    </row>
    <row r="10" spans="2:7" ht="15.75" x14ac:dyDescent="0.3">
      <c r="B10" s="365"/>
      <c r="C10" s="55" t="s">
        <v>118</v>
      </c>
      <c r="F10" s="56"/>
      <c r="G10" s="49"/>
    </row>
    <row r="11" spans="2:7" ht="15.75" x14ac:dyDescent="0.3">
      <c r="B11" s="365"/>
      <c r="C11" s="72" t="s">
        <v>244</v>
      </c>
      <c r="D11" s="53"/>
      <c r="E11" s="53"/>
      <c r="F11" s="60"/>
      <c r="G11" s="54"/>
    </row>
    <row r="12" spans="2:7" x14ac:dyDescent="0.25">
      <c r="B12" s="393"/>
      <c r="C12" s="367" t="s">
        <v>78</v>
      </c>
      <c r="D12" s="368"/>
      <c r="E12" s="368"/>
      <c r="F12" s="368"/>
      <c r="G12" s="369"/>
    </row>
    <row r="13" spans="2:7" ht="15.75" x14ac:dyDescent="0.3">
      <c r="B13" s="393"/>
      <c r="C13" s="57" t="s">
        <v>110</v>
      </c>
      <c r="D13" s="50"/>
      <c r="E13" s="50"/>
      <c r="F13" s="50"/>
      <c r="G13" s="58"/>
    </row>
    <row r="14" spans="2:7" ht="15.75" x14ac:dyDescent="0.3">
      <c r="B14" s="397"/>
      <c r="C14" s="55" t="s">
        <v>111</v>
      </c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7" ht="15.75" customHeight="1" x14ac:dyDescent="0.25">
      <c r="B17" s="376" t="s">
        <v>82</v>
      </c>
      <c r="C17" s="377"/>
      <c r="D17" s="377"/>
      <c r="E17" s="377"/>
      <c r="F17" s="377"/>
      <c r="G17" s="380">
        <v>2.1</v>
      </c>
    </row>
    <row r="18" spans="2:7" x14ac:dyDescent="0.25">
      <c r="B18" s="378"/>
      <c r="C18" s="379"/>
      <c r="D18" s="379"/>
      <c r="E18" s="379"/>
      <c r="F18" s="379"/>
      <c r="G18" s="381"/>
    </row>
    <row r="19" spans="2:7" ht="15.75" x14ac:dyDescent="0.3">
      <c r="B19" s="382" t="s">
        <v>83</v>
      </c>
      <c r="C19" s="70" t="s">
        <v>119</v>
      </c>
      <c r="D19" s="46"/>
      <c r="E19" s="46"/>
      <c r="F19" s="61"/>
      <c r="G19" s="78" t="s">
        <v>75</v>
      </c>
    </row>
    <row r="20" spans="2:7" ht="15.75" x14ac:dyDescent="0.3">
      <c r="B20" s="383"/>
      <c r="C20" s="48" t="s">
        <v>120</v>
      </c>
      <c r="F20" s="56"/>
      <c r="G20" s="56"/>
    </row>
    <row r="21" spans="2:7" ht="15.75" x14ac:dyDescent="0.3">
      <c r="B21" s="383"/>
      <c r="C21" s="71" t="s">
        <v>121</v>
      </c>
      <c r="F21" s="58"/>
      <c r="G21" s="56"/>
    </row>
    <row r="22" spans="2:7" ht="15.75" x14ac:dyDescent="0.3">
      <c r="B22" s="383"/>
      <c r="C22" s="48" t="s">
        <v>122</v>
      </c>
      <c r="D22" s="50"/>
      <c r="E22" s="50"/>
      <c r="F22" s="56"/>
      <c r="G22" s="56"/>
    </row>
    <row r="23" spans="2:7" ht="15.75" x14ac:dyDescent="0.3">
      <c r="B23" s="383"/>
      <c r="C23" s="71"/>
      <c r="D23" s="50"/>
      <c r="E23" s="50"/>
      <c r="F23" s="56"/>
      <c r="G23" s="95" t="s">
        <v>98</v>
      </c>
    </row>
    <row r="24" spans="2:7" ht="15.75" customHeight="1" x14ac:dyDescent="0.3">
      <c r="B24" s="383"/>
      <c r="C24" s="48" t="s">
        <v>99</v>
      </c>
      <c r="F24" s="56"/>
      <c r="G24" s="56"/>
    </row>
    <row r="25" spans="2:7" ht="15.75" x14ac:dyDescent="0.3">
      <c r="B25" s="383"/>
      <c r="C25" s="52"/>
      <c r="D25" s="53"/>
      <c r="E25" s="53"/>
      <c r="F25" s="60"/>
      <c r="G25" s="60"/>
    </row>
    <row r="26" spans="2:7" x14ac:dyDescent="0.25">
      <c r="B26" s="384"/>
      <c r="C26" s="386" t="s">
        <v>78</v>
      </c>
      <c r="D26" s="387"/>
      <c r="E26" s="387"/>
      <c r="F26" s="387"/>
      <c r="G26" s="369"/>
    </row>
    <row r="27" spans="2:7" ht="15.75" customHeight="1" x14ac:dyDescent="0.3">
      <c r="B27" s="385"/>
      <c r="C27" s="48" t="s">
        <v>114</v>
      </c>
      <c r="D27" s="50"/>
      <c r="E27" s="50"/>
      <c r="F27" s="50"/>
      <c r="G27" s="58"/>
    </row>
    <row r="28" spans="2:7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7" ht="15.75" customHeight="1" x14ac:dyDescent="0.25">
      <c r="B29" s="342"/>
      <c r="C29" s="343"/>
      <c r="D29" s="343"/>
      <c r="E29" s="342"/>
      <c r="F29" s="343"/>
      <c r="G29" s="345"/>
    </row>
    <row r="30" spans="2:7" ht="15.75" customHeight="1" x14ac:dyDescent="0.25">
      <c r="B30" s="64"/>
      <c r="C30" s="65"/>
      <c r="D30" s="66"/>
      <c r="E30" s="64"/>
      <c r="F30" s="65"/>
      <c r="G30" s="66"/>
    </row>
    <row r="31" spans="2:7" ht="15.75" x14ac:dyDescent="0.3">
      <c r="B31" s="67"/>
      <c r="C31" s="50"/>
      <c r="D31" s="56"/>
      <c r="E31" s="68"/>
      <c r="G31" s="56"/>
    </row>
    <row r="32" spans="2:7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6:G26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78FB-81FB-4FD4-8C6F-DB9CAE8D0ECD}">
  <dimension ref="B1:J47"/>
  <sheetViews>
    <sheetView workbookViewId="0">
      <selection activeCell="C19" sqref="C19:F2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Kompetenzraster!Q13</f>
        <v>46454</v>
      </c>
      <c r="F1" s="351"/>
      <c r="G1" s="354">
        <v>5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123</v>
      </c>
      <c r="C3" s="399"/>
      <c r="D3" s="399"/>
      <c r="E3" s="399"/>
      <c r="F3" s="400"/>
      <c r="G3" s="404">
        <v>2.6</v>
      </c>
    </row>
    <row r="4" spans="2:7" x14ac:dyDescent="0.25">
      <c r="B4" s="401"/>
      <c r="C4" s="402"/>
      <c r="D4" s="402"/>
      <c r="E4" s="402"/>
      <c r="F4" s="403"/>
      <c r="G4" s="405"/>
    </row>
    <row r="5" spans="2:7" ht="15.75" x14ac:dyDescent="0.3">
      <c r="B5" s="406" t="s">
        <v>73</v>
      </c>
      <c r="C5" s="76" t="s">
        <v>124</v>
      </c>
      <c r="D5" s="77"/>
      <c r="E5" s="77"/>
      <c r="F5" s="79" t="s">
        <v>106</v>
      </c>
      <c r="G5" s="47" t="s">
        <v>75</v>
      </c>
    </row>
    <row r="6" spans="2:7" ht="15.75" x14ac:dyDescent="0.3">
      <c r="B6" s="407"/>
      <c r="C6" s="70" t="s">
        <v>74</v>
      </c>
      <c r="D6" s="46"/>
      <c r="E6" s="46"/>
      <c r="F6" s="61"/>
      <c r="G6" s="49"/>
    </row>
    <row r="7" spans="2:7" ht="15.75" x14ac:dyDescent="0.3">
      <c r="B7" s="407"/>
      <c r="C7" s="48" t="s">
        <v>125</v>
      </c>
      <c r="F7" s="56"/>
      <c r="G7" s="49"/>
    </row>
    <row r="8" spans="2:7" ht="15.75" x14ac:dyDescent="0.3">
      <c r="B8" s="407"/>
      <c r="C8" s="71" t="s">
        <v>92</v>
      </c>
      <c r="F8" s="56"/>
      <c r="G8" s="51"/>
    </row>
    <row r="9" spans="2:7" ht="15.75" x14ac:dyDescent="0.3">
      <c r="B9" s="407"/>
      <c r="C9" s="48" t="s">
        <v>126</v>
      </c>
      <c r="E9" s="50"/>
      <c r="F9" s="58"/>
      <c r="G9" s="49"/>
    </row>
    <row r="10" spans="2:7" ht="15.75" x14ac:dyDescent="0.3">
      <c r="B10" s="407"/>
      <c r="C10" s="48" t="s">
        <v>127</v>
      </c>
      <c r="D10" s="50"/>
      <c r="F10" s="56"/>
      <c r="G10" s="49"/>
    </row>
    <row r="11" spans="2:7" ht="15.75" x14ac:dyDescent="0.3">
      <c r="B11" s="407"/>
      <c r="C11" s="72"/>
      <c r="D11" s="53"/>
      <c r="E11" s="53"/>
      <c r="F11" s="60"/>
      <c r="G11" s="54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7" t="s">
        <v>128</v>
      </c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74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130</v>
      </c>
      <c r="F20" s="56"/>
      <c r="G20" s="56"/>
    </row>
    <row r="21" spans="2:10" ht="15.75" x14ac:dyDescent="0.3">
      <c r="B21" s="383"/>
      <c r="C21" s="48" t="s">
        <v>131</v>
      </c>
      <c r="F21" s="58"/>
      <c r="G21" s="56"/>
    </row>
    <row r="22" spans="2:10" ht="15.75" x14ac:dyDescent="0.3">
      <c r="B22" s="383"/>
      <c r="C22" s="48"/>
      <c r="D22" s="50"/>
      <c r="E22" s="50"/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9BF2-BC11-4E3E-8289-C8B91316F55C}">
  <dimension ref="B1:J47"/>
  <sheetViews>
    <sheetView workbookViewId="0">
      <selection activeCell="F21" sqref="C19:F2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Kompetenzraster!Q15</f>
        <v>46461</v>
      </c>
      <c r="F1" s="351"/>
      <c r="G1" s="354">
        <v>6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123</v>
      </c>
      <c r="C3" s="399"/>
      <c r="D3" s="399"/>
      <c r="E3" s="399"/>
      <c r="F3" s="400"/>
      <c r="G3" s="404">
        <v>2.6</v>
      </c>
    </row>
    <row r="4" spans="2:7" x14ac:dyDescent="0.25">
      <c r="B4" s="401"/>
      <c r="C4" s="410"/>
      <c r="D4" s="410"/>
      <c r="E4" s="410"/>
      <c r="F4" s="411"/>
      <c r="G4" s="405"/>
    </row>
    <row r="5" spans="2:7" ht="15.75" x14ac:dyDescent="0.3">
      <c r="B5" s="406" t="s">
        <v>73</v>
      </c>
      <c r="C5" s="81" t="s">
        <v>245</v>
      </c>
      <c r="D5" s="46"/>
      <c r="E5" s="46"/>
      <c r="F5" s="61"/>
      <c r="G5" s="78" t="s">
        <v>75</v>
      </c>
    </row>
    <row r="6" spans="2:7" ht="15.75" x14ac:dyDescent="0.3">
      <c r="B6" s="407"/>
      <c r="C6" s="71" t="s">
        <v>95</v>
      </c>
      <c r="D6" s="50"/>
      <c r="E6" s="50"/>
      <c r="F6" s="58"/>
      <c r="G6" s="56"/>
    </row>
    <row r="7" spans="2:7" ht="15.75" x14ac:dyDescent="0.3">
      <c r="B7" s="407"/>
      <c r="C7" s="48" t="s">
        <v>133</v>
      </c>
      <c r="F7" s="56"/>
      <c r="G7" s="82"/>
    </row>
    <row r="8" spans="2:7" ht="15.75" x14ac:dyDescent="0.3">
      <c r="B8" s="407"/>
      <c r="C8" s="48" t="s">
        <v>134</v>
      </c>
      <c r="F8" s="56"/>
      <c r="G8" s="83"/>
    </row>
    <row r="9" spans="2:7" ht="15.75" x14ac:dyDescent="0.3">
      <c r="B9" s="407"/>
      <c r="C9" s="48" t="s">
        <v>135</v>
      </c>
      <c r="D9" s="50"/>
      <c r="E9" s="50"/>
      <c r="F9" s="58"/>
      <c r="G9" s="56"/>
    </row>
    <row r="10" spans="2:7" x14ac:dyDescent="0.25">
      <c r="B10" s="407"/>
      <c r="C10" s="71" t="s">
        <v>136</v>
      </c>
      <c r="F10" s="56"/>
      <c r="G10" s="56"/>
    </row>
    <row r="11" spans="2:7" ht="15.75" x14ac:dyDescent="0.3">
      <c r="B11" s="407"/>
      <c r="C11" s="48" t="s">
        <v>137</v>
      </c>
      <c r="F11" s="56"/>
      <c r="G11" s="56"/>
    </row>
    <row r="12" spans="2:7" x14ac:dyDescent="0.25">
      <c r="B12" s="408"/>
      <c r="C12" s="386" t="s">
        <v>78</v>
      </c>
      <c r="D12" s="387"/>
      <c r="E12" s="387"/>
      <c r="F12" s="387"/>
      <c r="G12" s="369"/>
    </row>
    <row r="13" spans="2:7" ht="15.75" x14ac:dyDescent="0.3">
      <c r="B13" s="408"/>
      <c r="C13" s="57" t="s">
        <v>128</v>
      </c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92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138</v>
      </c>
      <c r="F20" s="56"/>
      <c r="G20" s="56"/>
    </row>
    <row r="21" spans="2:10" ht="15.75" x14ac:dyDescent="0.3">
      <c r="B21" s="383"/>
      <c r="C21" s="48" t="s">
        <v>139</v>
      </c>
      <c r="F21" s="58"/>
      <c r="G21" s="56"/>
    </row>
    <row r="22" spans="2:10" ht="15.75" x14ac:dyDescent="0.3">
      <c r="B22" s="383"/>
      <c r="C22" s="48"/>
      <c r="D22" s="50"/>
      <c r="E22" s="50"/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B2DA-0B2C-4466-9F48-F8619D6E65CC}">
  <dimension ref="B1:J47"/>
  <sheetViews>
    <sheetView workbookViewId="0">
      <selection activeCell="C19" sqref="C1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Kompetenzraster!Q17</f>
        <v>46468</v>
      </c>
      <c r="F1" s="351"/>
      <c r="G1" s="354">
        <v>7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123</v>
      </c>
      <c r="C3" s="399"/>
      <c r="D3" s="399"/>
      <c r="E3" s="399"/>
      <c r="F3" s="400"/>
      <c r="G3" s="404">
        <v>2.6</v>
      </c>
    </row>
    <row r="4" spans="2:7" x14ac:dyDescent="0.25">
      <c r="B4" s="401"/>
      <c r="C4" s="410"/>
      <c r="D4" s="410"/>
      <c r="E4" s="410"/>
      <c r="F4" s="411"/>
      <c r="G4" s="405"/>
    </row>
    <row r="5" spans="2:7" ht="15.75" x14ac:dyDescent="0.3">
      <c r="B5" s="406" t="s">
        <v>73</v>
      </c>
      <c r="C5" s="70" t="s">
        <v>112</v>
      </c>
      <c r="D5" s="46"/>
      <c r="E5" s="46"/>
      <c r="F5" s="61"/>
      <c r="G5" s="78" t="s">
        <v>75</v>
      </c>
    </row>
    <row r="6" spans="2:7" ht="15.75" x14ac:dyDescent="0.3">
      <c r="B6" s="407"/>
      <c r="C6" s="48" t="s">
        <v>140</v>
      </c>
      <c r="D6" s="50"/>
      <c r="E6" s="50"/>
      <c r="F6" s="58"/>
      <c r="G6" s="56"/>
    </row>
    <row r="7" spans="2:7" ht="15.75" x14ac:dyDescent="0.3">
      <c r="B7" s="407"/>
      <c r="C7" s="48" t="s">
        <v>141</v>
      </c>
      <c r="F7" s="56"/>
      <c r="G7" s="82"/>
    </row>
    <row r="8" spans="2:7" ht="15.75" x14ac:dyDescent="0.3">
      <c r="B8" s="407"/>
      <c r="C8" s="48" t="s">
        <v>142</v>
      </c>
      <c r="F8" s="56"/>
      <c r="G8" s="83"/>
    </row>
    <row r="9" spans="2:7" ht="15.75" x14ac:dyDescent="0.3">
      <c r="B9" s="407"/>
      <c r="C9" s="48" t="s">
        <v>143</v>
      </c>
      <c r="F9" s="58"/>
      <c r="G9" s="95" t="s">
        <v>98</v>
      </c>
    </row>
    <row r="10" spans="2:7" x14ac:dyDescent="0.25">
      <c r="B10" s="407"/>
      <c r="C10" s="67"/>
      <c r="F10" s="56"/>
      <c r="G10" s="56"/>
    </row>
    <row r="11" spans="2:7" x14ac:dyDescent="0.25">
      <c r="B11" s="407"/>
      <c r="C11" s="84"/>
      <c r="D11" s="53"/>
      <c r="E11" s="53"/>
      <c r="F11" s="60"/>
      <c r="G11" s="60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7" t="s">
        <v>144</v>
      </c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95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145</v>
      </c>
      <c r="F20" s="56"/>
      <c r="G20" s="56"/>
    </row>
    <row r="21" spans="2:10" ht="15.75" x14ac:dyDescent="0.3">
      <c r="B21" s="383"/>
      <c r="C21" s="48" t="s">
        <v>146</v>
      </c>
      <c r="F21" s="58"/>
      <c r="G21" s="56"/>
    </row>
    <row r="22" spans="2:10" ht="15.75" x14ac:dyDescent="0.3">
      <c r="B22" s="383"/>
      <c r="C22" s="48" t="s">
        <v>147</v>
      </c>
      <c r="D22" s="50"/>
      <c r="E22" s="50"/>
      <c r="F22" s="56"/>
      <c r="G22" s="56"/>
    </row>
    <row r="23" spans="2:10" ht="15.75" x14ac:dyDescent="0.3">
      <c r="B23" s="383"/>
      <c r="C23" s="48" t="s">
        <v>148</v>
      </c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C75C-80F4-44BC-B6FC-798F27B97C27}">
  <dimension ref="B1:J47"/>
  <sheetViews>
    <sheetView workbookViewId="0">
      <selection activeCell="E21" sqref="E2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10" x14ac:dyDescent="0.25">
      <c r="B1" s="346" t="s">
        <v>71</v>
      </c>
      <c r="C1" s="347"/>
      <c r="D1" s="347"/>
      <c r="E1" s="350">
        <f>Kompetenzraster!Q19</f>
        <v>46475</v>
      </c>
      <c r="F1" s="351"/>
      <c r="G1" s="354">
        <v>8</v>
      </c>
    </row>
    <row r="2" spans="2:10" x14ac:dyDescent="0.25">
      <c r="B2" s="348"/>
      <c r="C2" s="349"/>
      <c r="D2" s="349"/>
      <c r="E2" s="352"/>
      <c r="F2" s="353"/>
      <c r="G2" s="355"/>
    </row>
    <row r="3" spans="2:10" ht="15.75" customHeight="1" x14ac:dyDescent="0.25">
      <c r="B3" s="412" t="s">
        <v>149</v>
      </c>
      <c r="C3" s="413"/>
      <c r="D3" s="413"/>
      <c r="E3" s="413"/>
      <c r="F3" s="414"/>
      <c r="G3" s="418">
        <v>2.9</v>
      </c>
    </row>
    <row r="4" spans="2:10" x14ac:dyDescent="0.25">
      <c r="B4" s="415"/>
      <c r="C4" s="416"/>
      <c r="D4" s="416"/>
      <c r="E4" s="416"/>
      <c r="F4" s="417"/>
      <c r="G4" s="419"/>
    </row>
    <row r="5" spans="2:10" ht="15.75" x14ac:dyDescent="0.3">
      <c r="B5" s="420" t="s">
        <v>73</v>
      </c>
      <c r="C5" s="89" t="s">
        <v>150</v>
      </c>
      <c r="D5" s="90"/>
      <c r="E5" s="90"/>
      <c r="F5" s="91" t="s">
        <v>151</v>
      </c>
      <c r="G5" s="78" t="s">
        <v>75</v>
      </c>
    </row>
    <row r="6" spans="2:10" ht="15.75" x14ac:dyDescent="0.3">
      <c r="B6" s="421"/>
      <c r="C6" s="71" t="s">
        <v>74</v>
      </c>
      <c r="D6" s="50"/>
      <c r="E6" s="50"/>
      <c r="F6" s="58"/>
      <c r="G6" s="85"/>
    </row>
    <row r="7" spans="2:10" ht="15.75" x14ac:dyDescent="0.3">
      <c r="B7" s="421"/>
      <c r="C7" s="48" t="s">
        <v>152</v>
      </c>
      <c r="F7" s="56"/>
      <c r="G7" s="87"/>
    </row>
    <row r="8" spans="2:10" ht="15.75" x14ac:dyDescent="0.3">
      <c r="B8" s="421"/>
      <c r="C8" s="48" t="s">
        <v>153</v>
      </c>
      <c r="F8" s="56"/>
      <c r="G8" s="88"/>
    </row>
    <row r="9" spans="2:10" ht="15.75" x14ac:dyDescent="0.3">
      <c r="B9" s="421"/>
      <c r="C9" s="71" t="s">
        <v>92</v>
      </c>
      <c r="D9" s="50"/>
      <c r="E9" s="50"/>
      <c r="F9" s="58"/>
      <c r="G9" s="85"/>
    </row>
    <row r="10" spans="2:10" ht="15.75" x14ac:dyDescent="0.3">
      <c r="B10" s="421"/>
      <c r="C10" s="48" t="s">
        <v>154</v>
      </c>
      <c r="F10" s="56"/>
      <c r="G10" s="85"/>
    </row>
    <row r="11" spans="2:10" x14ac:dyDescent="0.25">
      <c r="B11" s="421"/>
      <c r="C11" s="84"/>
      <c r="D11" s="53"/>
      <c r="E11" s="53"/>
      <c r="F11" s="60"/>
      <c r="G11" s="86"/>
    </row>
    <row r="12" spans="2:10" x14ac:dyDescent="0.25">
      <c r="B12" s="422"/>
      <c r="C12" s="367" t="s">
        <v>78</v>
      </c>
      <c r="D12" s="368"/>
      <c r="E12" s="368"/>
      <c r="F12" s="368"/>
      <c r="G12" s="369"/>
    </row>
    <row r="13" spans="2:10" ht="15.75" x14ac:dyDescent="0.3">
      <c r="B13" s="422"/>
      <c r="C13" s="57" t="s">
        <v>155</v>
      </c>
      <c r="D13" s="50"/>
      <c r="E13" s="50"/>
      <c r="F13" s="50"/>
      <c r="G13" s="58"/>
    </row>
    <row r="14" spans="2:10" ht="15.75" x14ac:dyDescent="0.3">
      <c r="B14" s="423"/>
      <c r="C14" s="55"/>
      <c r="D14" s="53"/>
      <c r="E14" s="53"/>
      <c r="F14" s="53"/>
      <c r="G14" s="60"/>
    </row>
    <row r="15" spans="2:10" ht="15.75" x14ac:dyDescent="0.3">
      <c r="B15" s="370" t="s">
        <v>81</v>
      </c>
      <c r="C15" s="371"/>
      <c r="D15" s="371"/>
      <c r="E15" s="371"/>
      <c r="F15" s="371"/>
      <c r="G15" s="372"/>
      <c r="J15" s="57"/>
    </row>
    <row r="16" spans="2:10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136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156</v>
      </c>
      <c r="F20" s="56"/>
      <c r="G20" s="56"/>
    </row>
    <row r="21" spans="2:10" ht="15.75" x14ac:dyDescent="0.3">
      <c r="B21" s="383"/>
      <c r="C21" s="48" t="s">
        <v>157</v>
      </c>
      <c r="F21" s="58"/>
      <c r="G21" s="56"/>
    </row>
    <row r="22" spans="2:10" ht="15.75" x14ac:dyDescent="0.3">
      <c r="B22" s="383"/>
      <c r="C22" s="48" t="s">
        <v>158</v>
      </c>
      <c r="D22" s="50"/>
      <c r="E22" s="50"/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1630-8261-456D-91AF-26EC506B6D26}">
  <dimension ref="B1:J47"/>
  <sheetViews>
    <sheetView workbookViewId="0">
      <selection activeCell="E22" sqref="C19:E22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Kompetenzraster!Q21</f>
        <v>46496</v>
      </c>
      <c r="F1" s="351"/>
      <c r="G1" s="354">
        <v>9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412" t="s">
        <v>149</v>
      </c>
      <c r="C3" s="413"/>
      <c r="D3" s="413"/>
      <c r="E3" s="413"/>
      <c r="F3" s="414"/>
      <c r="G3" s="418">
        <v>2.9</v>
      </c>
    </row>
    <row r="4" spans="2:7" x14ac:dyDescent="0.25">
      <c r="B4" s="415"/>
      <c r="C4" s="416"/>
      <c r="D4" s="416"/>
      <c r="E4" s="416"/>
      <c r="F4" s="417"/>
      <c r="G4" s="419"/>
    </row>
    <row r="5" spans="2:7" ht="15.75" x14ac:dyDescent="0.3">
      <c r="B5" s="420" t="s">
        <v>73</v>
      </c>
      <c r="C5" s="81"/>
      <c r="D5" s="46"/>
      <c r="E5" s="46"/>
      <c r="F5" s="61"/>
      <c r="G5" s="78" t="s">
        <v>75</v>
      </c>
    </row>
    <row r="6" spans="2:7" ht="15.75" x14ac:dyDescent="0.3">
      <c r="B6" s="421"/>
      <c r="C6" s="71" t="s">
        <v>92</v>
      </c>
      <c r="D6" s="50"/>
      <c r="E6" s="50"/>
      <c r="F6" s="58"/>
      <c r="G6" s="85"/>
    </row>
    <row r="7" spans="2:7" ht="15.75" x14ac:dyDescent="0.3">
      <c r="B7" s="421"/>
      <c r="C7" s="48" t="s">
        <v>159</v>
      </c>
      <c r="F7" s="56"/>
      <c r="G7" s="87"/>
    </row>
    <row r="8" spans="2:7" ht="15.75" x14ac:dyDescent="0.3">
      <c r="B8" s="421"/>
      <c r="C8" s="48" t="s">
        <v>160</v>
      </c>
      <c r="F8" s="56"/>
      <c r="G8" s="88"/>
    </row>
    <row r="9" spans="2:7" ht="15.75" x14ac:dyDescent="0.3">
      <c r="B9" s="421"/>
      <c r="C9" s="67"/>
      <c r="D9" s="50"/>
      <c r="E9" s="50"/>
      <c r="F9" s="58"/>
      <c r="G9" s="85"/>
    </row>
    <row r="10" spans="2:7" ht="15.75" x14ac:dyDescent="0.3">
      <c r="B10" s="421"/>
      <c r="C10" s="48"/>
      <c r="F10" s="56"/>
      <c r="G10" s="85"/>
    </row>
    <row r="11" spans="2:7" x14ac:dyDescent="0.25">
      <c r="B11" s="421"/>
      <c r="C11" s="84"/>
      <c r="D11" s="53"/>
      <c r="E11" s="53"/>
      <c r="F11" s="60"/>
      <c r="G11" s="86"/>
    </row>
    <row r="12" spans="2:7" x14ac:dyDescent="0.25">
      <c r="B12" s="422"/>
      <c r="C12" s="367" t="s">
        <v>78</v>
      </c>
      <c r="D12" s="368"/>
      <c r="E12" s="368"/>
      <c r="F12" s="368"/>
      <c r="G12" s="369"/>
    </row>
    <row r="13" spans="2:7" ht="15.75" x14ac:dyDescent="0.3">
      <c r="B13" s="422"/>
      <c r="C13" s="57" t="s">
        <v>161</v>
      </c>
      <c r="D13" s="50"/>
      <c r="E13" s="50"/>
      <c r="F13" s="50"/>
      <c r="G13" s="58"/>
    </row>
    <row r="14" spans="2:7" ht="15.75" x14ac:dyDescent="0.3">
      <c r="B14" s="423"/>
      <c r="C14" s="55" t="s">
        <v>162</v>
      </c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136</v>
      </c>
      <c r="D19" s="46"/>
      <c r="E19" s="46"/>
      <c r="F19" s="61"/>
      <c r="G19" s="78" t="s">
        <v>75</v>
      </c>
      <c r="I19" s="80"/>
    </row>
    <row r="20" spans="2:10" ht="15.75" x14ac:dyDescent="0.3">
      <c r="B20" s="383"/>
      <c r="C20" s="48" t="s">
        <v>163</v>
      </c>
      <c r="F20" s="56"/>
      <c r="G20" s="56"/>
    </row>
    <row r="21" spans="2:10" ht="15.75" x14ac:dyDescent="0.3">
      <c r="B21" s="383"/>
      <c r="C21" s="48" t="s">
        <v>164</v>
      </c>
      <c r="F21" s="58"/>
      <c r="G21" s="56"/>
    </row>
    <row r="22" spans="2:10" ht="15.75" x14ac:dyDescent="0.3">
      <c r="B22" s="383"/>
      <c r="C22" s="48" t="s">
        <v>165</v>
      </c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B0F8-1575-4A3C-AD72-EDAE444EEA28}">
  <dimension ref="B1:J47"/>
  <sheetViews>
    <sheetView workbookViewId="0">
      <selection activeCell="C19" sqref="C19:D2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Kompetenzraster!Q23</f>
        <v>46503</v>
      </c>
      <c r="F1" s="351"/>
      <c r="G1" s="354">
        <v>10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166</v>
      </c>
      <c r="C3" s="357"/>
      <c r="D3" s="357"/>
      <c r="E3" s="357"/>
      <c r="F3" s="358"/>
      <c r="G3" s="362">
        <v>2.4</v>
      </c>
    </row>
    <row r="4" spans="2:7" x14ac:dyDescent="0.25">
      <c r="B4" s="359"/>
      <c r="C4" s="360"/>
      <c r="D4" s="360"/>
      <c r="E4" s="360"/>
      <c r="F4" s="361"/>
      <c r="G4" s="363"/>
    </row>
    <row r="5" spans="2:7" ht="15.75" x14ac:dyDescent="0.3">
      <c r="B5" s="364" t="s">
        <v>73</v>
      </c>
      <c r="C5" s="70" t="s">
        <v>74</v>
      </c>
      <c r="D5" s="46"/>
      <c r="E5" s="46"/>
      <c r="F5" s="61"/>
      <c r="G5" s="78" t="s">
        <v>75</v>
      </c>
    </row>
    <row r="6" spans="2:7" ht="15.75" x14ac:dyDescent="0.3">
      <c r="B6" s="365"/>
      <c r="C6" s="48" t="s">
        <v>167</v>
      </c>
      <c r="F6" s="58"/>
      <c r="G6" s="85"/>
    </row>
    <row r="7" spans="2:7" ht="15.75" x14ac:dyDescent="0.3">
      <c r="B7" s="365"/>
      <c r="C7" s="48" t="s">
        <v>168</v>
      </c>
      <c r="F7" s="56"/>
      <c r="G7" s="87"/>
    </row>
    <row r="8" spans="2:7" ht="15.75" x14ac:dyDescent="0.3">
      <c r="B8" s="365"/>
      <c r="C8" s="67"/>
      <c r="E8" s="50"/>
      <c r="F8" s="56"/>
      <c r="G8" s="92" t="s">
        <v>169</v>
      </c>
    </row>
    <row r="9" spans="2:7" ht="15.75" x14ac:dyDescent="0.3">
      <c r="B9" s="365"/>
      <c r="C9" s="71" t="s">
        <v>92</v>
      </c>
      <c r="D9" s="50"/>
      <c r="F9" s="58"/>
      <c r="G9" s="85"/>
    </row>
    <row r="10" spans="2:7" ht="15.75" x14ac:dyDescent="0.3">
      <c r="B10" s="365"/>
      <c r="C10" s="48" t="s">
        <v>170</v>
      </c>
      <c r="F10" s="56"/>
      <c r="G10" s="85"/>
    </row>
    <row r="11" spans="2:7" x14ac:dyDescent="0.25">
      <c r="B11" s="365"/>
      <c r="C11" s="84"/>
      <c r="D11" s="53"/>
      <c r="E11" s="53"/>
      <c r="F11" s="60"/>
      <c r="G11" s="86"/>
    </row>
    <row r="12" spans="2:7" x14ac:dyDescent="0.25">
      <c r="B12" s="393"/>
      <c r="C12" s="367" t="s">
        <v>78</v>
      </c>
      <c r="D12" s="368"/>
      <c r="E12" s="368"/>
      <c r="F12" s="368"/>
      <c r="G12" s="369"/>
    </row>
    <row r="13" spans="2:7" ht="15.75" x14ac:dyDescent="0.3">
      <c r="B13" s="393"/>
      <c r="C13" s="57" t="s">
        <v>171</v>
      </c>
      <c r="D13" s="50"/>
      <c r="E13" s="50"/>
      <c r="F13" s="50"/>
      <c r="G13" s="58"/>
    </row>
    <row r="14" spans="2:7" ht="15.75" x14ac:dyDescent="0.3">
      <c r="B14" s="397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172</v>
      </c>
      <c r="F20" s="56"/>
      <c r="G20" s="56"/>
    </row>
    <row r="21" spans="2:10" ht="15.75" x14ac:dyDescent="0.3">
      <c r="B21" s="383"/>
      <c r="C21" s="48"/>
      <c r="F21" s="58"/>
      <c r="G21" s="56"/>
    </row>
    <row r="22" spans="2:10" ht="15.75" x14ac:dyDescent="0.3">
      <c r="B22" s="383"/>
      <c r="C22" s="48"/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8A40-079E-4F7D-B900-90D896238ABE}">
  <dimension ref="B1:J47"/>
  <sheetViews>
    <sheetView workbookViewId="0">
      <selection activeCell="J16" sqref="J1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Kompetenzraster!Q25</f>
        <v>46517</v>
      </c>
      <c r="F1" s="351"/>
      <c r="G1" s="354">
        <v>11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166</v>
      </c>
      <c r="C3" s="357"/>
      <c r="D3" s="357"/>
      <c r="E3" s="357"/>
      <c r="F3" s="358"/>
      <c r="G3" s="362">
        <v>2.4</v>
      </c>
    </row>
    <row r="4" spans="2:7" x14ac:dyDescent="0.25">
      <c r="B4" s="359"/>
      <c r="C4" s="360"/>
      <c r="D4" s="360"/>
      <c r="E4" s="360"/>
      <c r="F4" s="361"/>
      <c r="G4" s="363"/>
    </row>
    <row r="5" spans="2:7" ht="15.75" x14ac:dyDescent="0.3">
      <c r="B5" s="364" t="s">
        <v>73</v>
      </c>
      <c r="C5" s="64"/>
      <c r="D5" s="65"/>
      <c r="E5" s="46"/>
      <c r="F5" s="61"/>
      <c r="G5" s="78" t="s">
        <v>75</v>
      </c>
    </row>
    <row r="6" spans="2:7" ht="15.75" x14ac:dyDescent="0.3">
      <c r="B6" s="365"/>
      <c r="C6" s="48" t="s">
        <v>246</v>
      </c>
      <c r="F6" s="58"/>
      <c r="G6" s="85"/>
    </row>
    <row r="7" spans="2:7" ht="15.75" x14ac:dyDescent="0.3">
      <c r="B7" s="365"/>
      <c r="C7" s="67"/>
      <c r="F7" s="56"/>
      <c r="G7" s="87"/>
    </row>
    <row r="8" spans="2:7" ht="15.75" x14ac:dyDescent="0.3">
      <c r="B8" s="365"/>
      <c r="C8" s="71" t="s">
        <v>92</v>
      </c>
      <c r="D8" s="50"/>
      <c r="E8" s="50"/>
      <c r="F8" s="56"/>
      <c r="G8" s="92" t="s">
        <v>169</v>
      </c>
    </row>
    <row r="9" spans="2:7" ht="15.75" x14ac:dyDescent="0.3">
      <c r="B9" s="365"/>
      <c r="C9" s="48" t="s">
        <v>173</v>
      </c>
      <c r="F9" s="58"/>
      <c r="G9" s="85"/>
    </row>
    <row r="10" spans="2:7" x14ac:dyDescent="0.25">
      <c r="B10" s="365"/>
      <c r="C10" s="67"/>
      <c r="F10" s="56"/>
      <c r="G10" s="85"/>
    </row>
    <row r="11" spans="2:7" x14ac:dyDescent="0.25">
      <c r="B11" s="365"/>
      <c r="C11" s="84"/>
      <c r="D11" s="53"/>
      <c r="E11" s="53"/>
      <c r="F11" s="60"/>
      <c r="G11" s="86"/>
    </row>
    <row r="12" spans="2:7" x14ac:dyDescent="0.25">
      <c r="B12" s="393"/>
      <c r="C12" s="367" t="s">
        <v>78</v>
      </c>
      <c r="D12" s="368"/>
      <c r="E12" s="368"/>
      <c r="F12" s="368"/>
      <c r="G12" s="369"/>
    </row>
    <row r="13" spans="2:7" ht="15.75" x14ac:dyDescent="0.3">
      <c r="B13" s="393"/>
      <c r="C13" s="57" t="s">
        <v>171</v>
      </c>
      <c r="D13" s="50"/>
      <c r="E13" s="50"/>
      <c r="F13" s="50"/>
      <c r="G13" s="58"/>
    </row>
    <row r="14" spans="2:7" ht="15.75" x14ac:dyDescent="0.3">
      <c r="B14" s="397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174</v>
      </c>
      <c r="F20" s="56"/>
      <c r="G20" s="56"/>
    </row>
    <row r="21" spans="2:10" ht="15.75" x14ac:dyDescent="0.3">
      <c r="B21" s="383"/>
      <c r="C21" s="48"/>
      <c r="F21" s="58"/>
      <c r="G21" s="56"/>
    </row>
    <row r="22" spans="2:10" ht="15.75" x14ac:dyDescent="0.3">
      <c r="B22" s="383"/>
      <c r="C22" s="48" t="s">
        <v>175</v>
      </c>
      <c r="F22" s="56"/>
      <c r="G22" s="95" t="s">
        <v>98</v>
      </c>
    </row>
    <row r="23" spans="2:10" ht="15.75" x14ac:dyDescent="0.3">
      <c r="B23" s="383"/>
      <c r="C23" s="48" t="s">
        <v>176</v>
      </c>
      <c r="E23" s="50"/>
      <c r="F23" s="58"/>
      <c r="G23" s="58"/>
    </row>
    <row r="24" spans="2:10" ht="15.75" customHeight="1" x14ac:dyDescent="0.25">
      <c r="B24" s="383"/>
      <c r="C24" s="59"/>
      <c r="D24" s="53"/>
      <c r="E24" s="53"/>
      <c r="F24" s="60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39EE-812B-42B6-A829-062C4876F58C}">
  <dimension ref="B1:J47"/>
  <sheetViews>
    <sheetView workbookViewId="0">
      <selection activeCell="R50" sqref="R5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Kompetenzraster!Q27</f>
        <v>46524</v>
      </c>
      <c r="F1" s="351"/>
      <c r="G1" s="354">
        <v>12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166</v>
      </c>
      <c r="C3" s="357"/>
      <c r="D3" s="357"/>
      <c r="E3" s="357"/>
      <c r="F3" s="358"/>
      <c r="G3" s="362">
        <v>2.4</v>
      </c>
    </row>
    <row r="4" spans="2:7" x14ac:dyDescent="0.25">
      <c r="B4" s="359"/>
      <c r="C4" s="360"/>
      <c r="D4" s="360"/>
      <c r="E4" s="360"/>
      <c r="F4" s="361"/>
      <c r="G4" s="363"/>
    </row>
    <row r="5" spans="2:7" ht="15.75" x14ac:dyDescent="0.3">
      <c r="B5" s="364" t="s">
        <v>73</v>
      </c>
      <c r="C5" s="70" t="s">
        <v>95</v>
      </c>
      <c r="D5" s="65"/>
      <c r="E5" s="46"/>
      <c r="F5" s="61"/>
      <c r="G5" s="78" t="s">
        <v>75</v>
      </c>
    </row>
    <row r="6" spans="2:7" ht="15.75" x14ac:dyDescent="0.3">
      <c r="B6" s="365"/>
      <c r="C6" s="48" t="s">
        <v>177</v>
      </c>
      <c r="D6" s="50"/>
      <c r="F6" s="58"/>
      <c r="G6" s="85"/>
    </row>
    <row r="7" spans="2:7" ht="15.75" x14ac:dyDescent="0.3">
      <c r="B7" s="365"/>
      <c r="C7" s="48" t="s">
        <v>178</v>
      </c>
      <c r="F7" s="56"/>
      <c r="G7" s="87"/>
    </row>
    <row r="8" spans="2:7" ht="15.75" x14ac:dyDescent="0.3">
      <c r="B8" s="365"/>
      <c r="C8" s="67"/>
      <c r="E8" s="50"/>
      <c r="F8" s="56"/>
      <c r="G8" s="92" t="s">
        <v>169</v>
      </c>
    </row>
    <row r="9" spans="2:7" ht="15.75" x14ac:dyDescent="0.3">
      <c r="B9" s="365"/>
      <c r="C9" s="67"/>
      <c r="F9" s="58"/>
      <c r="G9" s="85"/>
    </row>
    <row r="10" spans="2:7" x14ac:dyDescent="0.25">
      <c r="B10" s="365"/>
      <c r="C10" s="67"/>
      <c r="F10" s="56"/>
      <c r="G10" s="85"/>
    </row>
    <row r="11" spans="2:7" x14ac:dyDescent="0.25">
      <c r="B11" s="365"/>
      <c r="C11" s="84"/>
      <c r="D11" s="53"/>
      <c r="E11" s="53"/>
      <c r="F11" s="60"/>
      <c r="G11" s="86"/>
    </row>
    <row r="12" spans="2:7" x14ac:dyDescent="0.25">
      <c r="B12" s="393"/>
      <c r="C12" s="367" t="s">
        <v>78</v>
      </c>
      <c r="D12" s="368"/>
      <c r="E12" s="368"/>
      <c r="F12" s="368"/>
      <c r="G12" s="369"/>
    </row>
    <row r="13" spans="2:7" ht="15.75" x14ac:dyDescent="0.3">
      <c r="B13" s="393"/>
      <c r="C13" s="57" t="s">
        <v>171</v>
      </c>
      <c r="D13" s="50"/>
      <c r="E13" s="50"/>
      <c r="F13" s="50"/>
      <c r="G13" s="58"/>
    </row>
    <row r="14" spans="2:7" ht="15.75" x14ac:dyDescent="0.3">
      <c r="B14" s="397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179</v>
      </c>
      <c r="F20" s="56"/>
      <c r="G20" s="56"/>
    </row>
    <row r="21" spans="2:10" ht="15.75" x14ac:dyDescent="0.3">
      <c r="B21" s="383"/>
      <c r="C21" s="48"/>
      <c r="F21" s="58"/>
      <c r="G21" s="56"/>
    </row>
    <row r="22" spans="2:10" ht="15.75" x14ac:dyDescent="0.3">
      <c r="B22" s="383"/>
      <c r="C22" s="48"/>
      <c r="F22" s="56"/>
      <c r="G22" s="95"/>
    </row>
    <row r="23" spans="2:10" ht="15.75" x14ac:dyDescent="0.3">
      <c r="B23" s="383"/>
      <c r="C23" s="48"/>
      <c r="E23" s="50"/>
      <c r="F23" s="58"/>
      <c r="G23" s="58"/>
    </row>
    <row r="24" spans="2:10" ht="15.75" customHeight="1" x14ac:dyDescent="0.3">
      <c r="B24" s="383"/>
      <c r="C24" s="89" t="s">
        <v>180</v>
      </c>
      <c r="D24" s="90"/>
      <c r="E24" s="90"/>
      <c r="F24" s="91" t="s">
        <v>181</v>
      </c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3D29-EF49-4266-BBCE-D549AAA83A13}">
  <dimension ref="B1:J47"/>
  <sheetViews>
    <sheetView workbookViewId="0">
      <selection activeCell="C19" sqref="C19:F2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Kompetenzraster!Q29</f>
        <v>46531</v>
      </c>
      <c r="F1" s="351"/>
      <c r="G1" s="354">
        <v>13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56" t="s">
        <v>166</v>
      </c>
      <c r="C3" s="357"/>
      <c r="D3" s="357"/>
      <c r="E3" s="357"/>
      <c r="F3" s="358"/>
      <c r="G3" s="362">
        <v>2.4</v>
      </c>
    </row>
    <row r="4" spans="2:7" x14ac:dyDescent="0.25">
      <c r="B4" s="359"/>
      <c r="C4" s="360"/>
      <c r="D4" s="360"/>
      <c r="E4" s="360"/>
      <c r="F4" s="361"/>
      <c r="G4" s="363"/>
    </row>
    <row r="5" spans="2:7" ht="15.75" x14ac:dyDescent="0.3">
      <c r="B5" s="364" t="s">
        <v>73</v>
      </c>
      <c r="C5" s="70" t="s">
        <v>95</v>
      </c>
      <c r="D5" s="65"/>
      <c r="E5" s="46"/>
      <c r="F5" s="61"/>
      <c r="G5" s="47" t="s">
        <v>75</v>
      </c>
    </row>
    <row r="6" spans="2:7" ht="15.75" x14ac:dyDescent="0.3">
      <c r="B6" s="365"/>
      <c r="C6" s="48" t="s">
        <v>182</v>
      </c>
      <c r="D6" s="50"/>
      <c r="F6" s="58"/>
      <c r="G6" s="93"/>
    </row>
    <row r="7" spans="2:7" ht="15.75" x14ac:dyDescent="0.3">
      <c r="B7" s="365"/>
      <c r="C7" s="48" t="s">
        <v>183</v>
      </c>
      <c r="F7" s="56"/>
      <c r="G7" s="94"/>
    </row>
    <row r="8" spans="2:7" ht="15.75" x14ac:dyDescent="0.3">
      <c r="B8" s="365"/>
      <c r="C8" s="48" t="s">
        <v>178</v>
      </c>
      <c r="E8" s="50"/>
      <c r="F8" s="56"/>
      <c r="G8" s="49"/>
    </row>
    <row r="9" spans="2:7" ht="15.75" x14ac:dyDescent="0.3">
      <c r="B9" s="365"/>
      <c r="C9" s="48" t="s">
        <v>175</v>
      </c>
      <c r="F9" s="58"/>
      <c r="G9" s="95" t="s">
        <v>98</v>
      </c>
    </row>
    <row r="10" spans="2:7" ht="15.75" x14ac:dyDescent="0.3">
      <c r="B10" s="365"/>
      <c r="C10" s="48" t="s">
        <v>176</v>
      </c>
      <c r="F10" s="56"/>
      <c r="G10" s="93"/>
    </row>
    <row r="11" spans="2:7" x14ac:dyDescent="0.25">
      <c r="B11" s="365"/>
      <c r="C11" s="84"/>
      <c r="D11" s="53"/>
      <c r="E11" s="53"/>
      <c r="F11" s="60"/>
      <c r="G11" s="96"/>
    </row>
    <row r="12" spans="2:7" x14ac:dyDescent="0.25">
      <c r="B12" s="393"/>
      <c r="C12" s="367" t="s">
        <v>78</v>
      </c>
      <c r="D12" s="368"/>
      <c r="E12" s="368"/>
      <c r="F12" s="368"/>
      <c r="G12" s="369"/>
    </row>
    <row r="13" spans="2:7" ht="15.75" x14ac:dyDescent="0.3">
      <c r="B13" s="393"/>
      <c r="C13" s="57" t="s">
        <v>171</v>
      </c>
      <c r="D13" s="50"/>
      <c r="E13" s="50"/>
      <c r="F13" s="50"/>
      <c r="G13" s="58"/>
    </row>
    <row r="14" spans="2:7" ht="15.75" x14ac:dyDescent="0.3">
      <c r="B14" s="397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184</v>
      </c>
      <c r="F20" s="56"/>
      <c r="G20" s="56"/>
    </row>
    <row r="21" spans="2:10" ht="15.75" x14ac:dyDescent="0.3">
      <c r="B21" s="383"/>
      <c r="C21" s="48"/>
      <c r="F21" s="58"/>
      <c r="G21" s="56"/>
    </row>
    <row r="22" spans="2:10" ht="15.75" x14ac:dyDescent="0.3">
      <c r="B22" s="383"/>
      <c r="C22" s="48"/>
      <c r="F22" s="56"/>
      <c r="G22" s="56"/>
    </row>
    <row r="23" spans="2:10" ht="15.75" x14ac:dyDescent="0.3">
      <c r="B23" s="383"/>
      <c r="C23" s="48"/>
      <c r="D23" s="50"/>
      <c r="E23" s="50"/>
      <c r="F23" s="58"/>
      <c r="G23" s="58"/>
    </row>
    <row r="24" spans="2:10" ht="15.75" customHeight="1" x14ac:dyDescent="0.3">
      <c r="B24" s="383"/>
      <c r="C24" s="52"/>
      <c r="D24" s="62"/>
      <c r="E24" s="62"/>
      <c r="F24" s="63"/>
      <c r="G24" s="60"/>
    </row>
    <row r="25" spans="2:10" x14ac:dyDescent="0.25">
      <c r="B25" s="384"/>
      <c r="C25" s="367" t="s">
        <v>78</v>
      </c>
      <c r="D25" s="368"/>
      <c r="E25" s="368"/>
      <c r="F25" s="368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C749-5B12-4FC3-ACA8-24EEE19A58F9}">
  <dimension ref="B1:J47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Kompetenzraster!Q31</f>
        <v>46538</v>
      </c>
      <c r="F1" s="351"/>
      <c r="G1" s="354">
        <v>14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185</v>
      </c>
      <c r="C3" s="399"/>
      <c r="D3" s="399"/>
      <c r="E3" s="399"/>
      <c r="F3" s="400"/>
      <c r="G3" s="404">
        <v>2.7</v>
      </c>
    </row>
    <row r="4" spans="2:7" ht="15" customHeight="1" x14ac:dyDescent="0.25">
      <c r="B4" s="401"/>
      <c r="C4" s="402"/>
      <c r="D4" s="402"/>
      <c r="E4" s="402"/>
      <c r="F4" s="403"/>
      <c r="G4" s="405"/>
    </row>
    <row r="5" spans="2:7" ht="15.75" x14ac:dyDescent="0.3">
      <c r="B5" s="406" t="s">
        <v>73</v>
      </c>
      <c r="C5" s="89" t="s">
        <v>186</v>
      </c>
      <c r="D5" s="90"/>
      <c r="E5" s="90"/>
      <c r="F5" s="91" t="s">
        <v>151</v>
      </c>
      <c r="G5" s="47" t="s">
        <v>75</v>
      </c>
    </row>
    <row r="6" spans="2:7" ht="15.75" x14ac:dyDescent="0.3">
      <c r="B6" s="407"/>
      <c r="C6" s="70" t="s">
        <v>74</v>
      </c>
      <c r="D6" s="50"/>
      <c r="F6" s="58"/>
      <c r="G6" s="93"/>
    </row>
    <row r="7" spans="2:7" ht="15.75" x14ac:dyDescent="0.3">
      <c r="B7" s="407"/>
      <c r="C7" s="48" t="s">
        <v>187</v>
      </c>
      <c r="F7" s="56"/>
      <c r="G7" s="94"/>
    </row>
    <row r="8" spans="2:7" ht="15.75" x14ac:dyDescent="0.3">
      <c r="B8" s="407"/>
      <c r="C8" s="48" t="s">
        <v>188</v>
      </c>
      <c r="E8" s="50"/>
      <c r="F8" s="56"/>
      <c r="G8" s="49"/>
    </row>
    <row r="9" spans="2:7" ht="15.75" x14ac:dyDescent="0.3">
      <c r="B9" s="407"/>
      <c r="C9" s="71" t="s">
        <v>92</v>
      </c>
      <c r="F9" s="58"/>
      <c r="G9" s="95"/>
    </row>
    <row r="10" spans="2:7" ht="15.75" x14ac:dyDescent="0.3">
      <c r="B10" s="407"/>
      <c r="C10" s="48" t="s">
        <v>189</v>
      </c>
      <c r="F10" s="56"/>
      <c r="G10" s="93"/>
    </row>
    <row r="11" spans="2:7" ht="15.75" x14ac:dyDescent="0.3">
      <c r="B11" s="407"/>
      <c r="C11" s="52" t="s">
        <v>190</v>
      </c>
      <c r="D11" s="53"/>
      <c r="E11" s="53"/>
      <c r="F11" s="60"/>
      <c r="G11" s="96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7" t="s">
        <v>191</v>
      </c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0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10" x14ac:dyDescent="0.25">
      <c r="B18" s="378"/>
      <c r="C18" s="379"/>
      <c r="D18" s="379"/>
      <c r="E18" s="379"/>
      <c r="F18" s="379"/>
      <c r="G18" s="381"/>
    </row>
    <row r="19" spans="2:10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10" ht="15.75" x14ac:dyDescent="0.3">
      <c r="B20" s="383"/>
      <c r="C20" s="48" t="s">
        <v>184</v>
      </c>
      <c r="F20" s="56"/>
      <c r="G20" s="56"/>
    </row>
    <row r="21" spans="2:10" ht="15.75" x14ac:dyDescent="0.3">
      <c r="B21" s="383"/>
      <c r="C21" s="48" t="s">
        <v>192</v>
      </c>
      <c r="F21" s="58"/>
      <c r="G21" s="56"/>
    </row>
    <row r="22" spans="2:10" ht="15.75" x14ac:dyDescent="0.3">
      <c r="B22" s="383"/>
      <c r="C22" s="48"/>
      <c r="F22" s="56"/>
      <c r="G22" s="95"/>
    </row>
    <row r="23" spans="2:10" ht="15.75" x14ac:dyDescent="0.3">
      <c r="B23" s="383"/>
      <c r="C23" s="48"/>
      <c r="F23" s="58"/>
      <c r="G23" s="58"/>
    </row>
    <row r="24" spans="2:10" ht="15.75" customHeight="1" x14ac:dyDescent="0.3">
      <c r="B24" s="383"/>
      <c r="C24" s="48"/>
      <c r="F24" s="56"/>
      <c r="G24" s="60"/>
    </row>
    <row r="25" spans="2:10" x14ac:dyDescent="0.25">
      <c r="B25" s="384"/>
      <c r="C25" s="386" t="s">
        <v>78</v>
      </c>
      <c r="D25" s="387"/>
      <c r="E25" s="387"/>
      <c r="F25" s="387"/>
      <c r="G25" s="369"/>
    </row>
    <row r="26" spans="2:10" ht="15.75" x14ac:dyDescent="0.3">
      <c r="B26" s="384"/>
      <c r="C26" s="48" t="s">
        <v>132</v>
      </c>
      <c r="D26" s="50"/>
      <c r="E26" s="50"/>
      <c r="F26" s="50"/>
      <c r="G26" s="58"/>
    </row>
    <row r="27" spans="2:10" ht="15.75" customHeight="1" x14ac:dyDescent="0.25">
      <c r="B27" s="385"/>
      <c r="C27" s="59"/>
      <c r="D27" s="53"/>
      <c r="E27" s="53"/>
      <c r="F27" s="53"/>
      <c r="G27" s="60"/>
      <c r="J27" s="80"/>
    </row>
    <row r="28" spans="2:10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0" ht="15.75" customHeight="1" x14ac:dyDescent="0.25">
      <c r="B29" s="342"/>
      <c r="C29" s="343"/>
      <c r="D29" s="343"/>
      <c r="E29" s="342"/>
      <c r="F29" s="343"/>
      <c r="G29" s="345"/>
    </row>
    <row r="30" spans="2:10" ht="15.75" customHeight="1" x14ac:dyDescent="0.25">
      <c r="B30" s="64"/>
      <c r="C30" s="65"/>
      <c r="D30" s="66"/>
      <c r="E30" s="64"/>
      <c r="F30" s="65"/>
      <c r="G30" s="66"/>
    </row>
    <row r="31" spans="2:10" ht="15.75" x14ac:dyDescent="0.3">
      <c r="B31" s="67"/>
      <c r="C31" s="50"/>
      <c r="D31" s="56"/>
      <c r="E31" s="68"/>
      <c r="G31" s="56"/>
    </row>
    <row r="32" spans="2:10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2AE9-A897-48CC-8895-E400D08060C9}">
  <dimension ref="B1:G47"/>
  <sheetViews>
    <sheetView workbookViewId="0">
      <selection activeCell="F36" sqref="F3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Kompetenzraster!Q33</f>
        <v>46545</v>
      </c>
      <c r="F1" s="351"/>
      <c r="G1" s="354">
        <v>15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185</v>
      </c>
      <c r="C3" s="399"/>
      <c r="D3" s="399"/>
      <c r="E3" s="399"/>
      <c r="F3" s="400"/>
      <c r="G3" s="404">
        <v>2.7</v>
      </c>
    </row>
    <row r="4" spans="2:7" ht="15" customHeight="1" x14ac:dyDescent="0.25">
      <c r="B4" s="401"/>
      <c r="C4" s="402"/>
      <c r="D4" s="402"/>
      <c r="E4" s="402"/>
      <c r="F4" s="403"/>
      <c r="G4" s="405"/>
    </row>
    <row r="5" spans="2:7" ht="15.75" x14ac:dyDescent="0.3">
      <c r="B5" s="406" t="s">
        <v>73</v>
      </c>
      <c r="C5" s="70" t="s">
        <v>95</v>
      </c>
      <c r="D5" s="46"/>
      <c r="E5" s="46"/>
      <c r="F5" s="61"/>
      <c r="G5" s="78" t="s">
        <v>75</v>
      </c>
    </row>
    <row r="6" spans="2:7" ht="15.75" x14ac:dyDescent="0.3">
      <c r="B6" s="407"/>
      <c r="C6" s="48" t="s">
        <v>193</v>
      </c>
      <c r="D6" s="50"/>
      <c r="F6" s="58"/>
      <c r="G6" s="85"/>
    </row>
    <row r="7" spans="2:7" ht="15.75" x14ac:dyDescent="0.3">
      <c r="B7" s="407"/>
      <c r="C7" s="48" t="s">
        <v>194</v>
      </c>
      <c r="F7" s="56"/>
      <c r="G7" s="87"/>
    </row>
    <row r="8" spans="2:7" ht="15.75" x14ac:dyDescent="0.3">
      <c r="B8" s="407"/>
      <c r="C8" s="48" t="s">
        <v>200</v>
      </c>
      <c r="E8" s="50"/>
      <c r="F8" s="56"/>
      <c r="G8" s="56"/>
    </row>
    <row r="9" spans="2:7" ht="15.75" x14ac:dyDescent="0.3">
      <c r="B9" s="407"/>
      <c r="C9" s="67"/>
      <c r="F9" s="58"/>
      <c r="G9" s="97"/>
    </row>
    <row r="10" spans="2:7" ht="15.75" x14ac:dyDescent="0.3">
      <c r="B10" s="407"/>
      <c r="C10" s="48"/>
      <c r="F10" s="56"/>
      <c r="G10" s="85"/>
    </row>
    <row r="11" spans="2:7" ht="15.75" x14ac:dyDescent="0.3">
      <c r="B11" s="407"/>
      <c r="C11" s="424"/>
      <c r="D11" s="343"/>
      <c r="E11" s="343"/>
      <c r="F11" s="345"/>
      <c r="G11" s="86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0" t="s">
        <v>195</v>
      </c>
      <c r="D13" s="50"/>
      <c r="E13" s="50"/>
      <c r="F13" s="50"/>
      <c r="G13" s="58"/>
    </row>
    <row r="14" spans="2:7" ht="15.75" x14ac:dyDescent="0.3">
      <c r="B14" s="409"/>
      <c r="C14" s="50" t="s">
        <v>196</v>
      </c>
      <c r="D14" s="62"/>
      <c r="E14" s="62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7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7" ht="15" customHeight="1" x14ac:dyDescent="0.25">
      <c r="B18" s="378"/>
      <c r="C18" s="379"/>
      <c r="D18" s="379"/>
      <c r="E18" s="379"/>
      <c r="F18" s="379"/>
      <c r="G18" s="381"/>
    </row>
    <row r="19" spans="2:7" ht="15.75" x14ac:dyDescent="0.3">
      <c r="B19" s="382" t="s">
        <v>83</v>
      </c>
      <c r="C19" s="70" t="s">
        <v>112</v>
      </c>
      <c r="D19" s="46"/>
      <c r="E19" s="46"/>
      <c r="F19" s="61"/>
      <c r="G19" s="78" t="s">
        <v>75</v>
      </c>
    </row>
    <row r="20" spans="2:7" ht="15.75" x14ac:dyDescent="0.3">
      <c r="B20" s="383"/>
      <c r="C20" s="48" t="s">
        <v>197</v>
      </c>
      <c r="F20" s="56"/>
      <c r="G20" s="56"/>
    </row>
    <row r="21" spans="2:7" ht="15.75" x14ac:dyDescent="0.3">
      <c r="B21" s="383"/>
      <c r="C21" s="48" t="s">
        <v>198</v>
      </c>
      <c r="F21" s="58"/>
      <c r="G21" s="56"/>
    </row>
    <row r="22" spans="2:7" ht="15.75" x14ac:dyDescent="0.3">
      <c r="B22" s="383"/>
      <c r="C22" s="48" t="s">
        <v>175</v>
      </c>
      <c r="F22" s="56"/>
      <c r="G22" s="97" t="s">
        <v>98</v>
      </c>
    </row>
    <row r="23" spans="2:7" ht="15.75" x14ac:dyDescent="0.3">
      <c r="B23" s="383"/>
      <c r="C23" s="48" t="s">
        <v>176</v>
      </c>
      <c r="F23" s="56"/>
      <c r="G23" s="58"/>
    </row>
    <row r="24" spans="2:7" ht="15.75" customHeight="1" x14ac:dyDescent="0.25">
      <c r="B24" s="383"/>
      <c r="C24" s="59"/>
      <c r="D24" s="53"/>
      <c r="E24" s="53"/>
      <c r="F24" s="60"/>
      <c r="G24" s="60"/>
    </row>
    <row r="25" spans="2:7" x14ac:dyDescent="0.25">
      <c r="B25" s="384"/>
      <c r="C25" s="386" t="s">
        <v>78</v>
      </c>
      <c r="D25" s="387"/>
      <c r="E25" s="387"/>
      <c r="F25" s="387"/>
      <c r="G25" s="369"/>
    </row>
    <row r="26" spans="2:7" ht="15.75" x14ac:dyDescent="0.3">
      <c r="B26" s="384"/>
      <c r="C26" s="48" t="s">
        <v>132</v>
      </c>
      <c r="D26" s="50"/>
      <c r="E26" s="50"/>
      <c r="F26" s="50"/>
      <c r="G26" s="58"/>
    </row>
    <row r="27" spans="2:7" ht="15.75" customHeight="1" x14ac:dyDescent="0.25">
      <c r="B27" s="385"/>
      <c r="C27" s="59"/>
      <c r="D27" s="53"/>
      <c r="E27" s="53"/>
      <c r="F27" s="53"/>
      <c r="G27" s="60"/>
    </row>
    <row r="28" spans="2:7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7" ht="15.75" customHeight="1" x14ac:dyDescent="0.25">
      <c r="B29" s="342"/>
      <c r="C29" s="343"/>
      <c r="D29" s="343"/>
      <c r="E29" s="342"/>
      <c r="F29" s="343"/>
      <c r="G29" s="345"/>
    </row>
    <row r="30" spans="2:7" ht="15.75" customHeight="1" x14ac:dyDescent="0.25">
      <c r="B30" s="64"/>
      <c r="C30" s="65"/>
      <c r="D30" s="66"/>
      <c r="E30" s="64"/>
      <c r="F30" s="65"/>
      <c r="G30" s="66"/>
    </row>
    <row r="31" spans="2:7" ht="15.75" x14ac:dyDescent="0.3">
      <c r="B31" s="67"/>
      <c r="C31" s="50"/>
      <c r="D31" s="56"/>
      <c r="E31" s="68"/>
      <c r="G31" s="56"/>
    </row>
    <row r="32" spans="2:7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5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C11:F11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C12E-00F3-4972-B5E8-32D7B3E98804}">
  <dimension ref="B1:G48"/>
  <sheetViews>
    <sheetView zoomScaleNormal="100" workbookViewId="0">
      <selection activeCell="K11" sqref="K1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Kompetenzraster!Q35</f>
        <v>46552</v>
      </c>
      <c r="F1" s="351"/>
      <c r="G1" s="354">
        <v>16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247</v>
      </c>
      <c r="C3" s="425"/>
      <c r="D3" s="425"/>
      <c r="E3" s="425"/>
      <c r="F3" s="426"/>
      <c r="G3" s="404"/>
    </row>
    <row r="4" spans="2:7" ht="15" customHeight="1" x14ac:dyDescent="0.25">
      <c r="B4" s="427"/>
      <c r="C4" s="428"/>
      <c r="D4" s="428"/>
      <c r="E4" s="428"/>
      <c r="F4" s="429"/>
      <c r="G4" s="405"/>
    </row>
    <row r="5" spans="2:7" ht="15.75" x14ac:dyDescent="0.3">
      <c r="B5" s="406" t="s">
        <v>73</v>
      </c>
      <c r="C5" s="81"/>
      <c r="D5" s="46"/>
      <c r="E5" s="46"/>
      <c r="F5" s="46"/>
      <c r="G5" s="47"/>
    </row>
    <row r="6" spans="2:7" ht="15.75" x14ac:dyDescent="0.3">
      <c r="B6" s="406"/>
      <c r="C6" s="48"/>
      <c r="D6" s="50"/>
      <c r="E6" s="50"/>
      <c r="F6" s="50"/>
      <c r="G6" s="105"/>
    </row>
    <row r="7" spans="2:7" ht="15.75" x14ac:dyDescent="0.3">
      <c r="B7" s="406"/>
      <c r="C7" s="48"/>
      <c r="D7" s="50"/>
      <c r="E7" s="50"/>
      <c r="F7" s="50"/>
      <c r="G7" s="105"/>
    </row>
    <row r="8" spans="2:7" ht="15.75" x14ac:dyDescent="0.3">
      <c r="B8" s="406"/>
      <c r="C8" s="48"/>
      <c r="D8" s="50"/>
      <c r="E8" s="50"/>
      <c r="F8" s="50"/>
      <c r="G8" s="105"/>
    </row>
    <row r="9" spans="2:7" ht="15.75" x14ac:dyDescent="0.3">
      <c r="B9" s="406"/>
      <c r="C9" s="48"/>
      <c r="D9" s="50"/>
      <c r="E9" s="50"/>
      <c r="F9" s="50"/>
      <c r="G9" s="105"/>
    </row>
    <row r="10" spans="2:7" ht="15.75" x14ac:dyDescent="0.3">
      <c r="B10" s="406"/>
      <c r="C10" s="48"/>
      <c r="D10" s="50"/>
      <c r="E10" s="50"/>
      <c r="F10" s="50"/>
      <c r="G10" s="105"/>
    </row>
    <row r="11" spans="2:7" ht="15.75" x14ac:dyDescent="0.3">
      <c r="B11" s="406"/>
      <c r="C11" s="48"/>
      <c r="D11" s="50"/>
      <c r="E11" s="50"/>
      <c r="F11" s="50"/>
      <c r="G11" s="105"/>
    </row>
    <row r="12" spans="2:7" ht="15.75" x14ac:dyDescent="0.3">
      <c r="B12" s="406"/>
      <c r="C12" s="48"/>
      <c r="D12" s="50"/>
      <c r="E12" s="50"/>
      <c r="F12" s="50"/>
      <c r="G12" s="105"/>
    </row>
    <row r="13" spans="2:7" ht="15.75" x14ac:dyDescent="0.3">
      <c r="B13" s="406"/>
      <c r="C13" s="48"/>
      <c r="D13" s="50"/>
      <c r="E13" s="50"/>
      <c r="F13" s="50"/>
      <c r="G13" s="105"/>
    </row>
    <row r="14" spans="2:7" ht="15.75" x14ac:dyDescent="0.3">
      <c r="B14" s="406"/>
      <c r="C14" s="48"/>
      <c r="D14" s="50"/>
      <c r="E14" s="50"/>
      <c r="F14" s="50"/>
      <c r="G14" s="105"/>
    </row>
    <row r="15" spans="2:7" ht="15.75" x14ac:dyDescent="0.3">
      <c r="B15" s="406"/>
      <c r="C15" s="48"/>
      <c r="D15" s="50"/>
      <c r="E15" s="50"/>
      <c r="F15" s="50"/>
      <c r="G15" s="105"/>
    </row>
    <row r="16" spans="2:7" ht="15.75" x14ac:dyDescent="0.3">
      <c r="B16" s="407"/>
      <c r="C16" s="71"/>
      <c r="D16" s="50"/>
      <c r="F16" s="50"/>
      <c r="G16" s="93"/>
    </row>
    <row r="17" spans="2:7" ht="15.75" x14ac:dyDescent="0.3">
      <c r="B17" s="407"/>
      <c r="C17" s="48"/>
      <c r="G17" s="94"/>
    </row>
    <row r="18" spans="2:7" ht="15.75" x14ac:dyDescent="0.3">
      <c r="B18" s="407"/>
      <c r="C18" s="48"/>
      <c r="G18" s="94"/>
    </row>
    <row r="19" spans="2:7" ht="15.75" x14ac:dyDescent="0.3">
      <c r="B19" s="407"/>
      <c r="C19" s="48"/>
      <c r="G19" s="94"/>
    </row>
    <row r="20" spans="2:7" ht="15.75" x14ac:dyDescent="0.3">
      <c r="B20" s="407"/>
      <c r="C20" s="48"/>
      <c r="G20" s="94"/>
    </row>
    <row r="21" spans="2:7" ht="15.75" x14ac:dyDescent="0.3">
      <c r="B21" s="407"/>
      <c r="C21" s="48"/>
      <c r="G21" s="94"/>
    </row>
    <row r="22" spans="2:7" ht="15.75" x14ac:dyDescent="0.3">
      <c r="B22" s="407"/>
      <c r="C22" s="48"/>
      <c r="G22" s="94"/>
    </row>
    <row r="23" spans="2:7" ht="15.75" x14ac:dyDescent="0.3">
      <c r="B23" s="407"/>
      <c r="C23" s="48"/>
      <c r="G23" s="94"/>
    </row>
    <row r="24" spans="2:7" ht="15.75" x14ac:dyDescent="0.3">
      <c r="B24" s="407"/>
      <c r="C24" s="48"/>
      <c r="G24" s="94"/>
    </row>
    <row r="25" spans="2:7" ht="15.75" x14ac:dyDescent="0.3">
      <c r="B25" s="407"/>
      <c r="C25" s="48"/>
      <c r="G25" s="94"/>
    </row>
    <row r="26" spans="2:7" ht="15.75" x14ac:dyDescent="0.3">
      <c r="B26" s="407"/>
      <c r="C26" s="48"/>
      <c r="G26" s="94"/>
    </row>
    <row r="27" spans="2:7" ht="15.75" x14ac:dyDescent="0.3">
      <c r="B27" s="407"/>
      <c r="C27" s="48"/>
      <c r="G27" s="94"/>
    </row>
    <row r="28" spans="2:7" ht="15.75" x14ac:dyDescent="0.3">
      <c r="B28" s="407"/>
      <c r="C28" s="48"/>
      <c r="G28" s="94"/>
    </row>
    <row r="29" spans="2:7" ht="15.75" x14ac:dyDescent="0.3">
      <c r="B29" s="407"/>
      <c r="C29" s="48"/>
      <c r="G29" s="94"/>
    </row>
    <row r="30" spans="2:7" ht="15.75" x14ac:dyDescent="0.3">
      <c r="B30" s="407"/>
      <c r="C30" s="48"/>
      <c r="G30" s="94"/>
    </row>
    <row r="31" spans="2:7" ht="15.75" x14ac:dyDescent="0.3">
      <c r="B31" s="407"/>
      <c r="C31" s="48"/>
      <c r="G31" s="94"/>
    </row>
    <row r="32" spans="2:7" ht="15.75" x14ac:dyDescent="0.3">
      <c r="B32" s="407"/>
      <c r="C32" s="48"/>
      <c r="G32" s="94"/>
    </row>
    <row r="33" spans="2:7" ht="15.75" x14ac:dyDescent="0.3">
      <c r="B33" s="407"/>
      <c r="C33" s="48"/>
      <c r="E33" s="50"/>
      <c r="G33" s="49"/>
    </row>
    <row r="34" spans="2:7" ht="15.75" x14ac:dyDescent="0.3">
      <c r="B34" s="407"/>
      <c r="C34" s="48"/>
      <c r="E34" s="50"/>
      <c r="G34" s="49"/>
    </row>
    <row r="35" spans="2:7" x14ac:dyDescent="0.25">
      <c r="B35" s="407"/>
      <c r="C35" s="59"/>
      <c r="D35" s="53"/>
      <c r="E35" s="53"/>
      <c r="F35" s="53"/>
      <c r="G35" s="54"/>
    </row>
    <row r="36" spans="2:7" x14ac:dyDescent="0.25">
      <c r="B36" s="407"/>
      <c r="C36" s="386" t="s">
        <v>78</v>
      </c>
      <c r="D36" s="387"/>
      <c r="E36" s="387"/>
      <c r="F36" s="387"/>
      <c r="G36" s="369"/>
    </row>
    <row r="37" spans="2:7" ht="15.75" x14ac:dyDescent="0.3">
      <c r="B37" s="407"/>
      <c r="C37" s="48" t="s">
        <v>199</v>
      </c>
      <c r="D37" s="50"/>
      <c r="E37" s="50"/>
      <c r="F37" s="50"/>
      <c r="G37" s="58"/>
    </row>
    <row r="38" spans="2:7" ht="15.75" customHeight="1" x14ac:dyDescent="0.25">
      <c r="B38" s="340" t="s">
        <v>90</v>
      </c>
      <c r="C38" s="341"/>
      <c r="D38" s="341"/>
      <c r="E38" s="340" t="s">
        <v>91</v>
      </c>
      <c r="F38" s="341"/>
      <c r="G38" s="344"/>
    </row>
    <row r="39" spans="2:7" ht="15.75" customHeight="1" x14ac:dyDescent="0.25">
      <c r="B39" s="342"/>
      <c r="C39" s="343"/>
      <c r="D39" s="343"/>
      <c r="E39" s="342"/>
      <c r="F39" s="343"/>
      <c r="G39" s="345"/>
    </row>
    <row r="40" spans="2:7" ht="15.75" customHeight="1" x14ac:dyDescent="0.25">
      <c r="B40" s="64"/>
      <c r="C40" s="65"/>
      <c r="D40" s="66"/>
      <c r="E40" s="64"/>
      <c r="F40" s="65"/>
      <c r="G40" s="66"/>
    </row>
    <row r="41" spans="2:7" ht="15.75" x14ac:dyDescent="0.3">
      <c r="B41" s="67"/>
      <c r="C41" s="50"/>
      <c r="D41" s="56"/>
      <c r="E41" s="68"/>
      <c r="G41" s="56"/>
    </row>
    <row r="42" spans="2:7" ht="15.75" customHeight="1" x14ac:dyDescent="0.3">
      <c r="B42" s="67"/>
      <c r="C42" s="73"/>
      <c r="D42" s="56"/>
      <c r="E42" s="67"/>
      <c r="G42" s="56"/>
    </row>
    <row r="43" spans="2:7" ht="15.75" customHeight="1" x14ac:dyDescent="0.3">
      <c r="B43" s="67"/>
      <c r="C43" s="73"/>
      <c r="D43" s="56"/>
      <c r="E43" s="67"/>
      <c r="F43" s="69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ht="15.75" customHeight="1" x14ac:dyDescent="0.25">
      <c r="B47" s="67"/>
      <c r="D47" s="56"/>
      <c r="E47" s="67"/>
      <c r="G47" s="56"/>
    </row>
    <row r="48" spans="2:7" x14ac:dyDescent="0.25">
      <c r="B48" s="59"/>
      <c r="C48" s="53"/>
      <c r="D48" s="60"/>
      <c r="E48" s="59"/>
      <c r="F48" s="53"/>
      <c r="G48" s="60"/>
    </row>
  </sheetData>
  <mergeCells count="9">
    <mergeCell ref="B38:D39"/>
    <mergeCell ref="E38:G39"/>
    <mergeCell ref="B1:D2"/>
    <mergeCell ref="E1:F2"/>
    <mergeCell ref="G1:G2"/>
    <mergeCell ref="B3:F4"/>
    <mergeCell ref="G3:G4"/>
    <mergeCell ref="B5:B37"/>
    <mergeCell ref="C36:G36"/>
  </mergeCells>
  <pageMargins left="0.25" right="0.2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0D28-94ED-406E-8B1C-B6F27A3AE296}">
  <dimension ref="B1:G47"/>
  <sheetViews>
    <sheetView workbookViewId="0">
      <selection activeCell="C5" sqref="C5:F1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Kompetenzraster!Q37</f>
        <v>46559</v>
      </c>
      <c r="F1" s="351"/>
      <c r="G1" s="354">
        <v>17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185</v>
      </c>
      <c r="C3" s="399"/>
      <c r="D3" s="399"/>
      <c r="E3" s="399"/>
      <c r="F3" s="400"/>
      <c r="G3" s="404">
        <v>2.7</v>
      </c>
    </row>
    <row r="4" spans="2:7" ht="15" customHeight="1" x14ac:dyDescent="0.25">
      <c r="B4" s="401"/>
      <c r="C4" s="402"/>
      <c r="D4" s="402"/>
      <c r="E4" s="402"/>
      <c r="F4" s="403"/>
      <c r="G4" s="405"/>
    </row>
    <row r="5" spans="2:7" ht="15.75" x14ac:dyDescent="0.3">
      <c r="B5" s="406" t="s">
        <v>73</v>
      </c>
      <c r="C5" s="70" t="s">
        <v>95</v>
      </c>
      <c r="D5" s="46"/>
      <c r="E5" s="46"/>
      <c r="F5" s="61"/>
      <c r="G5" s="78" t="s">
        <v>75</v>
      </c>
    </row>
    <row r="6" spans="2:7" ht="15.75" x14ac:dyDescent="0.3">
      <c r="B6" s="407"/>
      <c r="C6" s="48" t="s">
        <v>201</v>
      </c>
      <c r="D6" s="50"/>
      <c r="F6" s="58"/>
      <c r="G6" s="85"/>
    </row>
    <row r="7" spans="2:7" ht="15.75" x14ac:dyDescent="0.3">
      <c r="B7" s="407"/>
      <c r="C7" s="48"/>
      <c r="D7" s="50"/>
      <c r="F7" s="56"/>
      <c r="G7" s="87"/>
    </row>
    <row r="8" spans="2:7" ht="15.75" x14ac:dyDescent="0.3">
      <c r="B8" s="407"/>
      <c r="C8" s="67"/>
      <c r="E8" s="50"/>
      <c r="F8" s="56"/>
      <c r="G8" s="56"/>
    </row>
    <row r="9" spans="2:7" ht="15.75" x14ac:dyDescent="0.3">
      <c r="B9" s="407"/>
      <c r="C9" s="71"/>
      <c r="F9" s="58"/>
      <c r="G9" s="97"/>
    </row>
    <row r="10" spans="2:7" ht="15.75" x14ac:dyDescent="0.3">
      <c r="B10" s="407"/>
      <c r="C10" s="48"/>
      <c r="F10" s="56"/>
      <c r="G10" s="85"/>
    </row>
    <row r="11" spans="2:7" ht="15.75" x14ac:dyDescent="0.3">
      <c r="B11" s="407"/>
      <c r="C11" s="52"/>
      <c r="D11" s="53"/>
      <c r="E11" s="53"/>
      <c r="F11" s="60"/>
      <c r="G11" s="86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7" t="s">
        <v>202</v>
      </c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7" ht="15.75" customHeight="1" x14ac:dyDescent="0.25">
      <c r="B17" s="376" t="s">
        <v>129</v>
      </c>
      <c r="C17" s="377"/>
      <c r="D17" s="377"/>
      <c r="E17" s="377"/>
      <c r="F17" s="377"/>
      <c r="G17" s="380">
        <v>2.2000000000000002</v>
      </c>
    </row>
    <row r="18" spans="2:7" ht="15" customHeight="1" x14ac:dyDescent="0.25">
      <c r="B18" s="378"/>
      <c r="C18" s="379"/>
      <c r="D18" s="379"/>
      <c r="E18" s="379"/>
      <c r="F18" s="379"/>
      <c r="G18" s="381"/>
    </row>
    <row r="19" spans="2:7" ht="15.75" x14ac:dyDescent="0.3">
      <c r="B19" s="430" t="s">
        <v>83</v>
      </c>
      <c r="C19" s="81" t="s">
        <v>203</v>
      </c>
      <c r="D19" s="65"/>
      <c r="E19" s="65"/>
      <c r="F19" s="66"/>
      <c r="G19" s="78" t="s">
        <v>75</v>
      </c>
    </row>
    <row r="20" spans="2:7" x14ac:dyDescent="0.25">
      <c r="B20" s="383"/>
      <c r="C20" s="67"/>
      <c r="F20" s="56"/>
      <c r="G20" s="56"/>
    </row>
    <row r="21" spans="2:7" ht="15.75" x14ac:dyDescent="0.3">
      <c r="B21" s="383"/>
      <c r="C21" s="48"/>
      <c r="F21" s="58"/>
      <c r="G21" s="56"/>
    </row>
    <row r="22" spans="2:7" ht="15.75" x14ac:dyDescent="0.3">
      <c r="B22" s="383"/>
      <c r="C22" s="48"/>
      <c r="F22" s="56"/>
      <c r="G22" s="97"/>
    </row>
    <row r="23" spans="2:7" ht="15.75" x14ac:dyDescent="0.3">
      <c r="B23" s="383"/>
      <c r="C23" s="59"/>
      <c r="D23" s="53"/>
      <c r="E23" s="53"/>
      <c r="F23" s="60"/>
      <c r="G23" s="58"/>
    </row>
    <row r="24" spans="2:7" ht="15.75" customHeight="1" x14ac:dyDescent="0.3">
      <c r="B24" s="383"/>
      <c r="C24" s="89" t="s">
        <v>180</v>
      </c>
      <c r="D24" s="90"/>
      <c r="E24" s="90"/>
      <c r="F24" s="91" t="s">
        <v>181</v>
      </c>
      <c r="G24" s="60"/>
    </row>
    <row r="25" spans="2:7" x14ac:dyDescent="0.25">
      <c r="B25" s="384"/>
      <c r="C25" s="367" t="s">
        <v>78</v>
      </c>
      <c r="D25" s="368"/>
      <c r="E25" s="368"/>
      <c r="F25" s="368"/>
      <c r="G25" s="369"/>
    </row>
    <row r="26" spans="2:7" ht="15.75" x14ac:dyDescent="0.3">
      <c r="B26" s="384"/>
      <c r="C26" s="48" t="s">
        <v>132</v>
      </c>
      <c r="D26" s="50"/>
      <c r="E26" s="50"/>
      <c r="F26" s="50"/>
      <c r="G26" s="58"/>
    </row>
    <row r="27" spans="2:7" ht="15.75" customHeight="1" x14ac:dyDescent="0.25">
      <c r="B27" s="385"/>
      <c r="C27" s="59"/>
      <c r="D27" s="53"/>
      <c r="E27" s="53"/>
      <c r="F27" s="53"/>
      <c r="G27" s="60"/>
    </row>
    <row r="28" spans="2:7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7" ht="15.75" customHeight="1" x14ac:dyDescent="0.25">
      <c r="B29" s="342"/>
      <c r="C29" s="343"/>
      <c r="D29" s="343"/>
      <c r="E29" s="342"/>
      <c r="F29" s="343"/>
      <c r="G29" s="345"/>
    </row>
    <row r="30" spans="2:7" ht="15.75" customHeight="1" x14ac:dyDescent="0.25">
      <c r="B30" s="64"/>
      <c r="C30" s="65"/>
      <c r="D30" s="66"/>
      <c r="E30" s="64"/>
      <c r="F30" s="65"/>
      <c r="G30" s="66"/>
    </row>
    <row r="31" spans="2:7" ht="15.75" x14ac:dyDescent="0.3">
      <c r="B31" s="67"/>
      <c r="C31" s="50"/>
      <c r="D31" s="56"/>
      <c r="E31" s="68"/>
      <c r="G31" s="56"/>
    </row>
    <row r="32" spans="2:7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42D7-66FE-4A36-B110-95ED5DE71281}">
  <dimension ref="B1:G48"/>
  <sheetViews>
    <sheetView workbookViewId="0">
      <selection activeCell="G3" sqref="G3:G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Kompetenzraster!Q39</f>
        <v>46566</v>
      </c>
      <c r="F1" s="351"/>
      <c r="G1" s="354">
        <v>18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76" t="s">
        <v>227</v>
      </c>
      <c r="C3" s="377"/>
      <c r="D3" s="377"/>
      <c r="E3" s="377"/>
      <c r="F3" s="431"/>
      <c r="G3" s="433">
        <v>2.11</v>
      </c>
    </row>
    <row r="4" spans="2:7" ht="15" customHeight="1" x14ac:dyDescent="0.25">
      <c r="B4" s="378"/>
      <c r="C4" s="379"/>
      <c r="D4" s="379"/>
      <c r="E4" s="379"/>
      <c r="F4" s="432"/>
      <c r="G4" s="434"/>
    </row>
    <row r="5" spans="2:7" ht="15.75" customHeight="1" x14ac:dyDescent="0.3">
      <c r="B5" s="430" t="s">
        <v>73</v>
      </c>
      <c r="C5" s="70" t="s">
        <v>74</v>
      </c>
      <c r="D5" s="46"/>
      <c r="E5" s="46"/>
      <c r="F5" s="61"/>
      <c r="G5" s="47" t="s">
        <v>75</v>
      </c>
    </row>
    <row r="6" spans="2:7" ht="15.75" x14ac:dyDescent="0.3">
      <c r="B6" s="383"/>
      <c r="C6" s="48" t="s">
        <v>224</v>
      </c>
      <c r="D6" s="50"/>
      <c r="F6" s="58"/>
      <c r="G6" s="93"/>
    </row>
    <row r="7" spans="2:7" ht="15.75" x14ac:dyDescent="0.3">
      <c r="B7" s="383"/>
      <c r="C7" s="71" t="s">
        <v>237</v>
      </c>
      <c r="F7" s="56"/>
      <c r="G7" s="94"/>
    </row>
    <row r="8" spans="2:7" ht="15.75" x14ac:dyDescent="0.3">
      <c r="B8" s="383"/>
      <c r="C8" s="48" t="s">
        <v>225</v>
      </c>
      <c r="F8" s="58"/>
      <c r="G8" s="49"/>
    </row>
    <row r="9" spans="2:7" ht="15.75" x14ac:dyDescent="0.3">
      <c r="B9" s="383"/>
      <c r="C9" s="48"/>
      <c r="F9" s="58"/>
      <c r="G9" s="95"/>
    </row>
    <row r="10" spans="2:7" ht="15.75" x14ac:dyDescent="0.3">
      <c r="B10" s="383"/>
      <c r="C10" s="436" t="s">
        <v>226</v>
      </c>
      <c r="D10" s="437"/>
      <c r="E10" s="437"/>
      <c r="F10" s="438"/>
      <c r="G10" s="93"/>
    </row>
    <row r="11" spans="2:7" ht="15.75" x14ac:dyDescent="0.3">
      <c r="B11" s="383"/>
      <c r="C11" s="98"/>
      <c r="D11" s="99"/>
      <c r="E11" s="99"/>
      <c r="F11" s="100"/>
      <c r="G11" s="96"/>
    </row>
    <row r="12" spans="2:7" x14ac:dyDescent="0.25">
      <c r="B12" s="384"/>
      <c r="C12" s="367" t="s">
        <v>78</v>
      </c>
      <c r="D12" s="368"/>
      <c r="E12" s="368"/>
      <c r="F12" s="368"/>
      <c r="G12" s="369"/>
    </row>
    <row r="13" spans="2:7" ht="15.75" x14ac:dyDescent="0.3">
      <c r="B13" s="384"/>
      <c r="C13" s="48" t="s">
        <v>231</v>
      </c>
      <c r="D13" s="50"/>
      <c r="E13" s="50"/>
      <c r="F13" s="50"/>
      <c r="G13" s="58"/>
    </row>
    <row r="14" spans="2:7" ht="15.75" x14ac:dyDescent="0.3">
      <c r="B14" s="384"/>
      <c r="C14" s="48" t="s">
        <v>232</v>
      </c>
      <c r="D14" s="50"/>
      <c r="E14" s="50"/>
      <c r="F14" s="50"/>
      <c r="G14" s="58"/>
    </row>
    <row r="15" spans="2:7" ht="15.75" x14ac:dyDescent="0.3">
      <c r="B15" s="384"/>
      <c r="C15" s="48" t="s">
        <v>228</v>
      </c>
      <c r="D15" s="50"/>
      <c r="E15" s="50"/>
      <c r="F15" s="50"/>
      <c r="G15" s="58"/>
    </row>
    <row r="16" spans="2:7" ht="15.75" x14ac:dyDescent="0.3">
      <c r="B16" s="384"/>
      <c r="C16" s="48" t="s">
        <v>230</v>
      </c>
      <c r="D16" s="50"/>
      <c r="E16" s="50"/>
      <c r="F16" s="50"/>
      <c r="G16" s="58"/>
    </row>
    <row r="17" spans="2:7" ht="15.75" x14ac:dyDescent="0.3">
      <c r="B17" s="384"/>
      <c r="C17" s="48" t="s">
        <v>229</v>
      </c>
      <c r="D17" s="50"/>
      <c r="E17" s="50"/>
      <c r="F17" s="50"/>
      <c r="G17" s="58"/>
    </row>
    <row r="18" spans="2:7" ht="15.75" x14ac:dyDescent="0.3">
      <c r="B18" s="384"/>
      <c r="C18" s="48" t="s">
        <v>233</v>
      </c>
      <c r="D18" s="50"/>
      <c r="E18" s="50"/>
      <c r="F18" s="50"/>
      <c r="G18" s="58"/>
    </row>
    <row r="19" spans="2:7" ht="15.75" customHeight="1" x14ac:dyDescent="0.3">
      <c r="B19" s="435"/>
      <c r="C19" s="48" t="s">
        <v>234</v>
      </c>
      <c r="D19" s="53"/>
      <c r="E19" s="53"/>
      <c r="F19" s="53"/>
      <c r="G19" s="60"/>
    </row>
    <row r="20" spans="2:7" ht="15" customHeight="1" x14ac:dyDescent="0.25">
      <c r="B20" s="370" t="s">
        <v>81</v>
      </c>
      <c r="C20" s="371"/>
      <c r="D20" s="371"/>
      <c r="E20" s="371"/>
      <c r="F20" s="371"/>
      <c r="G20" s="372"/>
    </row>
    <row r="21" spans="2:7" ht="15" customHeight="1" x14ac:dyDescent="0.25">
      <c r="B21" s="373"/>
      <c r="C21" s="374"/>
      <c r="D21" s="374"/>
      <c r="E21" s="374"/>
      <c r="F21" s="374"/>
      <c r="G21" s="375"/>
    </row>
    <row r="22" spans="2:7" ht="15.75" customHeight="1" x14ac:dyDescent="0.25">
      <c r="B22" s="376" t="s">
        <v>227</v>
      </c>
      <c r="C22" s="377"/>
      <c r="D22" s="377"/>
      <c r="E22" s="377"/>
      <c r="F22" s="431"/>
      <c r="G22" s="380">
        <v>2.11</v>
      </c>
    </row>
    <row r="23" spans="2:7" ht="15" customHeight="1" x14ac:dyDescent="0.25">
      <c r="B23" s="378"/>
      <c r="C23" s="379"/>
      <c r="D23" s="379"/>
      <c r="E23" s="379"/>
      <c r="F23" s="432"/>
      <c r="G23" s="381"/>
    </row>
    <row r="24" spans="2:7" ht="15.75" customHeight="1" x14ac:dyDescent="0.3">
      <c r="B24" s="382" t="s">
        <v>83</v>
      </c>
      <c r="C24" s="81"/>
      <c r="D24" s="46"/>
      <c r="E24" s="46"/>
      <c r="F24" s="61"/>
      <c r="G24" s="78" t="s">
        <v>75</v>
      </c>
    </row>
    <row r="25" spans="2:7" ht="15.75" customHeight="1" x14ac:dyDescent="0.3">
      <c r="B25" s="430"/>
      <c r="C25" s="48"/>
      <c r="D25" s="50"/>
      <c r="E25" s="50"/>
      <c r="F25" s="58"/>
      <c r="G25" s="123"/>
    </row>
    <row r="26" spans="2:7" ht="15.75" customHeight="1" x14ac:dyDescent="0.3">
      <c r="B26" s="430"/>
      <c r="C26" s="48"/>
      <c r="D26" s="50"/>
      <c r="E26" s="50"/>
      <c r="F26" s="58"/>
      <c r="G26" s="123"/>
    </row>
    <row r="27" spans="2:7" x14ac:dyDescent="0.25">
      <c r="B27" s="383"/>
      <c r="C27" s="67"/>
      <c r="D27" s="107"/>
      <c r="E27" s="108"/>
      <c r="F27" s="106"/>
      <c r="G27" s="56"/>
    </row>
    <row r="28" spans="2:7" ht="15.75" customHeight="1" x14ac:dyDescent="0.3">
      <c r="B28" s="383"/>
      <c r="C28" s="52"/>
      <c r="D28" s="53"/>
      <c r="E28" s="53"/>
      <c r="F28" s="60"/>
      <c r="G28" s="60"/>
    </row>
    <row r="29" spans="2:7" x14ac:dyDescent="0.25">
      <c r="B29" s="384"/>
      <c r="C29" s="367" t="s">
        <v>78</v>
      </c>
      <c r="D29" s="368"/>
      <c r="E29" s="368"/>
      <c r="F29" s="368"/>
      <c r="G29" s="369"/>
    </row>
    <row r="30" spans="2:7" ht="15.75" x14ac:dyDescent="0.3">
      <c r="B30" s="384"/>
      <c r="C30" s="48"/>
      <c r="D30" s="50"/>
      <c r="E30" s="50"/>
      <c r="F30" s="50"/>
      <c r="G30" s="58"/>
    </row>
    <row r="31" spans="2:7" ht="15.75" customHeight="1" x14ac:dyDescent="0.25">
      <c r="B31" s="385"/>
      <c r="C31" s="59"/>
      <c r="D31" s="53"/>
      <c r="E31" s="53"/>
      <c r="F31" s="53"/>
      <c r="G31" s="60"/>
    </row>
    <row r="32" spans="2:7" ht="15.75" customHeight="1" x14ac:dyDescent="0.25">
      <c r="B32" s="340" t="s">
        <v>90</v>
      </c>
      <c r="C32" s="341"/>
      <c r="D32" s="341"/>
      <c r="E32" s="340" t="s">
        <v>91</v>
      </c>
      <c r="F32" s="341"/>
      <c r="G32" s="344"/>
    </row>
    <row r="33" spans="2:7" ht="15.75" customHeight="1" x14ac:dyDescent="0.25">
      <c r="B33" s="342"/>
      <c r="C33" s="343"/>
      <c r="D33" s="343"/>
      <c r="E33" s="342"/>
      <c r="F33" s="343"/>
      <c r="G33" s="345"/>
    </row>
    <row r="34" spans="2:7" ht="15.75" customHeight="1" x14ac:dyDescent="0.25">
      <c r="B34" s="64"/>
      <c r="C34" s="65"/>
      <c r="D34" s="66"/>
      <c r="E34" s="64"/>
      <c r="F34" s="65"/>
      <c r="G34" s="66"/>
    </row>
    <row r="35" spans="2:7" ht="15.75" x14ac:dyDescent="0.3">
      <c r="B35" s="67"/>
      <c r="C35" s="50"/>
      <c r="D35" s="56"/>
      <c r="E35" s="68"/>
      <c r="G35" s="56"/>
    </row>
    <row r="36" spans="2:7" ht="15.75" customHeight="1" x14ac:dyDescent="0.3">
      <c r="B36" s="67"/>
      <c r="C36" s="73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ht="15.75" customHeight="1" x14ac:dyDescent="0.25">
      <c r="B47" s="67"/>
      <c r="D47" s="56"/>
      <c r="E47" s="67"/>
      <c r="G47" s="56"/>
    </row>
    <row r="48" spans="2:7" x14ac:dyDescent="0.25">
      <c r="B48" s="59"/>
      <c r="C48" s="53"/>
      <c r="D48" s="60"/>
      <c r="E48" s="59"/>
      <c r="F48" s="53"/>
      <c r="G48" s="60"/>
    </row>
  </sheetData>
  <mergeCells count="15">
    <mergeCell ref="B32:D33"/>
    <mergeCell ref="E32:G33"/>
    <mergeCell ref="B1:D2"/>
    <mergeCell ref="E1:F2"/>
    <mergeCell ref="G1:G2"/>
    <mergeCell ref="B3:F4"/>
    <mergeCell ref="G3:G4"/>
    <mergeCell ref="B5:B19"/>
    <mergeCell ref="C10:F10"/>
    <mergeCell ref="C12:G12"/>
    <mergeCell ref="B20:G21"/>
    <mergeCell ref="B22:F23"/>
    <mergeCell ref="G22:G23"/>
    <mergeCell ref="B24:B31"/>
    <mergeCell ref="C29:G29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5FA2-FD10-4F2A-A158-3F2D82C884AD}">
  <dimension ref="B1:G48"/>
  <sheetViews>
    <sheetView workbookViewId="0">
      <selection activeCell="I6" sqref="I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v>45833</v>
      </c>
      <c r="F1" s="351"/>
      <c r="G1" s="354">
        <v>19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76" t="s">
        <v>227</v>
      </c>
      <c r="C3" s="377"/>
      <c r="D3" s="377"/>
      <c r="E3" s="377"/>
      <c r="F3" s="431"/>
      <c r="G3" s="433">
        <v>2.11</v>
      </c>
    </row>
    <row r="4" spans="2:7" ht="15" customHeight="1" x14ac:dyDescent="0.25">
      <c r="B4" s="378"/>
      <c r="C4" s="379"/>
      <c r="D4" s="379"/>
      <c r="E4" s="379"/>
      <c r="F4" s="432"/>
      <c r="G4" s="434"/>
    </row>
    <row r="5" spans="2:7" ht="15.75" customHeight="1" x14ac:dyDescent="0.3">
      <c r="B5" s="430" t="s">
        <v>73</v>
      </c>
      <c r="C5" s="70" t="s">
        <v>112</v>
      </c>
      <c r="D5" s="46"/>
      <c r="E5" s="46"/>
      <c r="F5" s="61"/>
      <c r="G5" s="47" t="s">
        <v>75</v>
      </c>
    </row>
    <row r="6" spans="2:7" ht="15.75" x14ac:dyDescent="0.3">
      <c r="B6" s="383"/>
      <c r="C6" s="48" t="s">
        <v>239</v>
      </c>
      <c r="D6" s="50"/>
      <c r="F6" s="58"/>
      <c r="G6" s="93"/>
    </row>
    <row r="7" spans="2:7" ht="15.75" x14ac:dyDescent="0.3">
      <c r="B7" s="383"/>
      <c r="C7" s="71"/>
      <c r="F7" s="56"/>
      <c r="G7" s="94"/>
    </row>
    <row r="8" spans="2:7" ht="15.75" x14ac:dyDescent="0.3">
      <c r="B8" s="383"/>
      <c r="C8" s="48"/>
      <c r="F8" s="58"/>
      <c r="G8" s="49"/>
    </row>
    <row r="9" spans="2:7" ht="15.75" x14ac:dyDescent="0.3">
      <c r="B9" s="383"/>
      <c r="C9" s="48"/>
      <c r="F9" s="58"/>
      <c r="G9" s="95"/>
    </row>
    <row r="10" spans="2:7" ht="15.75" x14ac:dyDescent="0.3">
      <c r="B10" s="383"/>
      <c r="C10" s="436" t="s">
        <v>238</v>
      </c>
      <c r="D10" s="437"/>
      <c r="E10" s="437"/>
      <c r="F10" s="438"/>
      <c r="G10" s="93"/>
    </row>
    <row r="11" spans="2:7" ht="15.75" x14ac:dyDescent="0.3">
      <c r="B11" s="383"/>
      <c r="C11" s="98"/>
      <c r="D11" s="99"/>
      <c r="E11" s="99"/>
      <c r="F11" s="100"/>
      <c r="G11" s="96"/>
    </row>
    <row r="12" spans="2:7" x14ac:dyDescent="0.25">
      <c r="B12" s="384"/>
      <c r="C12" s="367" t="s">
        <v>78</v>
      </c>
      <c r="D12" s="368"/>
      <c r="E12" s="368"/>
      <c r="F12" s="368"/>
      <c r="G12" s="369"/>
    </row>
    <row r="13" spans="2:7" ht="15.75" x14ac:dyDescent="0.3">
      <c r="B13" s="384"/>
      <c r="C13" s="48" t="s">
        <v>231</v>
      </c>
      <c r="D13" s="50"/>
      <c r="E13" s="50"/>
      <c r="F13" s="50"/>
      <c r="G13" s="58"/>
    </row>
    <row r="14" spans="2:7" ht="15.75" x14ac:dyDescent="0.3">
      <c r="B14" s="384"/>
      <c r="C14" s="48" t="s">
        <v>232</v>
      </c>
      <c r="D14" s="50"/>
      <c r="E14" s="50"/>
      <c r="F14" s="50"/>
      <c r="G14" s="58"/>
    </row>
    <row r="15" spans="2:7" ht="15.75" x14ac:dyDescent="0.3">
      <c r="B15" s="384"/>
      <c r="C15" s="48" t="s">
        <v>228</v>
      </c>
      <c r="D15" s="50"/>
      <c r="E15" s="50"/>
      <c r="F15" s="50"/>
      <c r="G15" s="58"/>
    </row>
    <row r="16" spans="2:7" ht="15.75" x14ac:dyDescent="0.3">
      <c r="B16" s="384"/>
      <c r="C16" s="48" t="s">
        <v>230</v>
      </c>
      <c r="D16" s="50"/>
      <c r="E16" s="50"/>
      <c r="F16" s="50"/>
      <c r="G16" s="58"/>
    </row>
    <row r="17" spans="2:7" ht="15.75" x14ac:dyDescent="0.3">
      <c r="B17" s="384"/>
      <c r="C17" s="48" t="s">
        <v>229</v>
      </c>
      <c r="D17" s="50"/>
      <c r="E17" s="50"/>
      <c r="F17" s="50"/>
      <c r="G17" s="58"/>
    </row>
    <row r="18" spans="2:7" ht="15.75" x14ac:dyDescent="0.3">
      <c r="B18" s="384"/>
      <c r="C18" s="48" t="s">
        <v>233</v>
      </c>
      <c r="D18" s="50"/>
      <c r="E18" s="50"/>
      <c r="F18" s="50"/>
      <c r="G18" s="58"/>
    </row>
    <row r="19" spans="2:7" ht="15.75" customHeight="1" x14ac:dyDescent="0.3">
      <c r="B19" s="435"/>
      <c r="C19" s="48" t="s">
        <v>234</v>
      </c>
      <c r="D19" s="53"/>
      <c r="E19" s="53"/>
      <c r="F19" s="53"/>
      <c r="G19" s="60"/>
    </row>
    <row r="20" spans="2:7" ht="15" customHeight="1" x14ac:dyDescent="0.25">
      <c r="B20" s="370" t="s">
        <v>81</v>
      </c>
      <c r="C20" s="371"/>
      <c r="D20" s="371"/>
      <c r="E20" s="371"/>
      <c r="F20" s="371"/>
      <c r="G20" s="372"/>
    </row>
    <row r="21" spans="2:7" ht="15" customHeight="1" x14ac:dyDescent="0.25">
      <c r="B21" s="373"/>
      <c r="C21" s="374"/>
      <c r="D21" s="374"/>
      <c r="E21" s="374"/>
      <c r="F21" s="374"/>
      <c r="G21" s="375"/>
    </row>
    <row r="22" spans="2:7" ht="15.75" customHeight="1" x14ac:dyDescent="0.25">
      <c r="B22" s="376" t="s">
        <v>227</v>
      </c>
      <c r="C22" s="377"/>
      <c r="D22" s="377"/>
      <c r="E22" s="377"/>
      <c r="F22" s="431"/>
      <c r="G22" s="380">
        <v>2.11</v>
      </c>
    </row>
    <row r="23" spans="2:7" ht="15" customHeight="1" x14ac:dyDescent="0.25">
      <c r="B23" s="378"/>
      <c r="C23" s="379"/>
      <c r="D23" s="379"/>
      <c r="E23" s="379"/>
      <c r="F23" s="432"/>
      <c r="G23" s="381"/>
    </row>
    <row r="24" spans="2:7" ht="15.75" customHeight="1" x14ac:dyDescent="0.3">
      <c r="B24" s="382" t="s">
        <v>83</v>
      </c>
      <c r="C24" s="81"/>
      <c r="D24" s="46"/>
      <c r="E24" s="46"/>
      <c r="F24" s="61"/>
      <c r="G24" s="78" t="s">
        <v>75</v>
      </c>
    </row>
    <row r="25" spans="2:7" ht="15.75" customHeight="1" x14ac:dyDescent="0.3">
      <c r="B25" s="430"/>
      <c r="C25" s="48"/>
      <c r="D25" s="50"/>
      <c r="E25" s="50"/>
      <c r="F25" s="58"/>
      <c r="G25" s="123"/>
    </row>
    <row r="26" spans="2:7" ht="15.75" customHeight="1" x14ac:dyDescent="0.3">
      <c r="B26" s="430"/>
      <c r="C26" s="48"/>
      <c r="D26" s="50"/>
      <c r="E26" s="50"/>
      <c r="F26" s="58"/>
      <c r="G26" s="123"/>
    </row>
    <row r="27" spans="2:7" x14ac:dyDescent="0.25">
      <c r="B27" s="383"/>
      <c r="C27" s="67"/>
      <c r="D27" s="107"/>
      <c r="E27" s="108"/>
      <c r="F27" s="106"/>
      <c r="G27" s="56"/>
    </row>
    <row r="28" spans="2:7" ht="15.75" customHeight="1" x14ac:dyDescent="0.3">
      <c r="B28" s="383"/>
      <c r="C28" s="52"/>
      <c r="D28" s="53"/>
      <c r="E28" s="53"/>
      <c r="F28" s="60"/>
      <c r="G28" s="60"/>
    </row>
    <row r="29" spans="2:7" x14ac:dyDescent="0.25">
      <c r="B29" s="384"/>
      <c r="C29" s="367" t="s">
        <v>78</v>
      </c>
      <c r="D29" s="368"/>
      <c r="E29" s="368"/>
      <c r="F29" s="368"/>
      <c r="G29" s="369"/>
    </row>
    <row r="30" spans="2:7" ht="15.75" x14ac:dyDescent="0.3">
      <c r="B30" s="384"/>
      <c r="C30" s="48"/>
      <c r="D30" s="50"/>
      <c r="E30" s="50"/>
      <c r="F30" s="50"/>
      <c r="G30" s="58"/>
    </row>
    <row r="31" spans="2:7" ht="15.75" customHeight="1" x14ac:dyDescent="0.25">
      <c r="B31" s="385"/>
      <c r="C31" s="59"/>
      <c r="D31" s="53"/>
      <c r="E31" s="53"/>
      <c r="F31" s="53"/>
      <c r="G31" s="60"/>
    </row>
    <row r="32" spans="2:7" ht="15.75" customHeight="1" x14ac:dyDescent="0.25">
      <c r="B32" s="340" t="s">
        <v>90</v>
      </c>
      <c r="C32" s="341"/>
      <c r="D32" s="341"/>
      <c r="E32" s="340" t="s">
        <v>91</v>
      </c>
      <c r="F32" s="341"/>
      <c r="G32" s="344"/>
    </row>
    <row r="33" spans="2:7" ht="15.75" customHeight="1" x14ac:dyDescent="0.25">
      <c r="B33" s="342"/>
      <c r="C33" s="343"/>
      <c r="D33" s="343"/>
      <c r="E33" s="342"/>
      <c r="F33" s="343"/>
      <c r="G33" s="345"/>
    </row>
    <row r="34" spans="2:7" ht="15.75" customHeight="1" x14ac:dyDescent="0.25">
      <c r="B34" s="64"/>
      <c r="C34" s="65"/>
      <c r="D34" s="66"/>
      <c r="E34" s="64"/>
      <c r="F34" s="65"/>
      <c r="G34" s="66"/>
    </row>
    <row r="35" spans="2:7" ht="15.75" x14ac:dyDescent="0.3">
      <c r="B35" s="67"/>
      <c r="C35" s="50"/>
      <c r="D35" s="56"/>
      <c r="E35" s="68"/>
      <c r="G35" s="56"/>
    </row>
    <row r="36" spans="2:7" ht="15.75" customHeight="1" x14ac:dyDescent="0.3">
      <c r="B36" s="67"/>
      <c r="C36" s="73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ht="15.75" customHeight="1" x14ac:dyDescent="0.25">
      <c r="B47" s="67"/>
      <c r="D47" s="56"/>
      <c r="E47" s="67"/>
      <c r="G47" s="56"/>
    </row>
    <row r="48" spans="2:7" x14ac:dyDescent="0.25">
      <c r="B48" s="59"/>
      <c r="C48" s="53"/>
      <c r="D48" s="60"/>
      <c r="E48" s="59"/>
      <c r="F48" s="53"/>
      <c r="G48" s="60"/>
    </row>
  </sheetData>
  <mergeCells count="15">
    <mergeCell ref="B32:D33"/>
    <mergeCell ref="E32:G33"/>
    <mergeCell ref="B1:D2"/>
    <mergeCell ref="E1:F2"/>
    <mergeCell ref="G1:G2"/>
    <mergeCell ref="B3:F4"/>
    <mergeCell ref="G3:G4"/>
    <mergeCell ref="B5:B19"/>
    <mergeCell ref="C10:F10"/>
    <mergeCell ref="C12:G12"/>
    <mergeCell ref="B20:G21"/>
    <mergeCell ref="B22:F23"/>
    <mergeCell ref="G22:G23"/>
    <mergeCell ref="B24:B31"/>
    <mergeCell ref="C29:G29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E8CF-5446-4AD3-92CB-29DEED2BB405}">
  <dimension ref="B1:K47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46" t="s">
        <v>71</v>
      </c>
      <c r="C1" s="347"/>
      <c r="D1" s="347"/>
      <c r="E1" s="350">
        <f>Kompetenzraster!Q39</f>
        <v>46566</v>
      </c>
      <c r="F1" s="351"/>
      <c r="G1" s="354">
        <v>19</v>
      </c>
    </row>
    <row r="2" spans="2:7" x14ac:dyDescent="0.25">
      <c r="B2" s="348"/>
      <c r="C2" s="349"/>
      <c r="D2" s="349"/>
      <c r="E2" s="352"/>
      <c r="F2" s="353"/>
      <c r="G2" s="355"/>
    </row>
    <row r="3" spans="2:7" ht="15.75" customHeight="1" x14ac:dyDescent="0.25">
      <c r="B3" s="398" t="s">
        <v>185</v>
      </c>
      <c r="C3" s="399"/>
      <c r="D3" s="399"/>
      <c r="E3" s="399"/>
      <c r="F3" s="400"/>
      <c r="G3" s="404">
        <v>2.7</v>
      </c>
    </row>
    <row r="4" spans="2:7" ht="15" customHeight="1" x14ac:dyDescent="0.25">
      <c r="B4" s="401"/>
      <c r="C4" s="410"/>
      <c r="D4" s="410"/>
      <c r="E4" s="410"/>
      <c r="F4" s="411"/>
      <c r="G4" s="405"/>
    </row>
    <row r="5" spans="2:7" ht="15.75" x14ac:dyDescent="0.3">
      <c r="B5" s="406" t="s">
        <v>73</v>
      </c>
      <c r="C5" s="81"/>
      <c r="D5" s="46"/>
      <c r="E5" s="46"/>
      <c r="F5" s="61"/>
      <c r="G5" s="78" t="s">
        <v>75</v>
      </c>
    </row>
    <row r="6" spans="2:7" ht="15.75" x14ac:dyDescent="0.3">
      <c r="B6" s="407"/>
      <c r="C6" s="71" t="s">
        <v>204</v>
      </c>
      <c r="D6" s="50"/>
      <c r="F6" s="58"/>
      <c r="G6" s="85"/>
    </row>
    <row r="7" spans="2:7" ht="15.75" x14ac:dyDescent="0.3">
      <c r="B7" s="407"/>
      <c r="C7" s="48" t="s">
        <v>205</v>
      </c>
      <c r="F7" s="56"/>
      <c r="G7" s="87"/>
    </row>
    <row r="8" spans="2:7" ht="15.75" x14ac:dyDescent="0.3">
      <c r="B8" s="407"/>
      <c r="C8" s="67"/>
      <c r="E8" s="50"/>
      <c r="F8" s="56"/>
      <c r="G8" s="56"/>
    </row>
    <row r="9" spans="2:7" ht="15.75" x14ac:dyDescent="0.3">
      <c r="B9" s="407"/>
      <c r="C9" s="67"/>
      <c r="F9" s="58"/>
      <c r="G9" s="97"/>
    </row>
    <row r="10" spans="2:7" ht="15.75" x14ac:dyDescent="0.3">
      <c r="B10" s="407"/>
      <c r="C10" s="48"/>
      <c r="F10" s="56"/>
      <c r="G10" s="85"/>
    </row>
    <row r="11" spans="2:7" ht="15.75" x14ac:dyDescent="0.3">
      <c r="B11" s="407"/>
      <c r="C11" s="98"/>
      <c r="D11" s="99"/>
      <c r="E11" s="99"/>
      <c r="F11" s="100"/>
      <c r="G11" s="86"/>
    </row>
    <row r="12" spans="2:7" x14ac:dyDescent="0.25">
      <c r="B12" s="408"/>
      <c r="C12" s="367" t="s">
        <v>78</v>
      </c>
      <c r="D12" s="368"/>
      <c r="E12" s="368"/>
      <c r="F12" s="368"/>
      <c r="G12" s="369"/>
    </row>
    <row r="13" spans="2:7" ht="15.75" x14ac:dyDescent="0.3">
      <c r="B13" s="408"/>
      <c r="C13" s="57"/>
      <c r="D13" s="50"/>
      <c r="E13" s="50"/>
      <c r="F13" s="50"/>
      <c r="G13" s="58"/>
    </row>
    <row r="14" spans="2:7" ht="15.75" x14ac:dyDescent="0.3">
      <c r="B14" s="409"/>
      <c r="C14" s="55"/>
      <c r="D14" s="53"/>
      <c r="E14" s="53"/>
      <c r="F14" s="53"/>
      <c r="G14" s="60"/>
    </row>
    <row r="15" spans="2:7" x14ac:dyDescent="0.25">
      <c r="B15" s="370" t="s">
        <v>81</v>
      </c>
      <c r="C15" s="371"/>
      <c r="D15" s="371"/>
      <c r="E15" s="371"/>
      <c r="F15" s="371"/>
      <c r="G15" s="372"/>
    </row>
    <row r="16" spans="2:7" x14ac:dyDescent="0.25">
      <c r="B16" s="373"/>
      <c r="C16" s="374"/>
      <c r="D16" s="374"/>
      <c r="E16" s="374"/>
      <c r="F16" s="374"/>
      <c r="G16" s="375"/>
    </row>
    <row r="17" spans="2:11" ht="15.75" customHeight="1" x14ac:dyDescent="0.25">
      <c r="B17" s="376"/>
      <c r="C17" s="377"/>
      <c r="D17" s="377"/>
      <c r="E17" s="377"/>
      <c r="F17" s="377"/>
      <c r="G17" s="380"/>
    </row>
    <row r="18" spans="2:11" x14ac:dyDescent="0.25">
      <c r="B18" s="378"/>
      <c r="C18" s="379"/>
      <c r="D18" s="379"/>
      <c r="E18" s="379"/>
      <c r="F18" s="379"/>
      <c r="G18" s="381"/>
      <c r="K18" s="80"/>
    </row>
    <row r="19" spans="2:11" ht="15.75" x14ac:dyDescent="0.3">
      <c r="B19" s="382" t="s">
        <v>83</v>
      </c>
      <c r="C19" s="81"/>
      <c r="D19" s="46"/>
      <c r="E19" s="46"/>
      <c r="F19" s="61"/>
      <c r="G19" s="78" t="s">
        <v>75</v>
      </c>
    </row>
    <row r="20" spans="2:11" ht="15.75" x14ac:dyDescent="0.3">
      <c r="B20" s="383"/>
      <c r="C20" s="436" t="s">
        <v>206</v>
      </c>
      <c r="D20" s="439"/>
      <c r="E20" s="439"/>
      <c r="F20" s="440"/>
      <c r="G20" s="56"/>
    </row>
    <row r="21" spans="2:11" ht="15.75" x14ac:dyDescent="0.3">
      <c r="B21" s="383"/>
      <c r="C21" s="48"/>
      <c r="F21" s="58"/>
      <c r="G21" s="56"/>
    </row>
    <row r="22" spans="2:11" ht="15.75" x14ac:dyDescent="0.3">
      <c r="B22" s="383"/>
      <c r="C22" s="48"/>
      <c r="F22" s="56"/>
      <c r="G22" s="97"/>
    </row>
    <row r="23" spans="2:11" ht="15.75" x14ac:dyDescent="0.3">
      <c r="B23" s="383"/>
      <c r="C23" s="67"/>
      <c r="F23" s="56"/>
      <c r="G23" s="58"/>
    </row>
    <row r="24" spans="2:11" ht="15.75" customHeight="1" x14ac:dyDescent="0.3">
      <c r="B24" s="383"/>
      <c r="C24" s="52"/>
      <c r="D24" s="53"/>
      <c r="E24" s="53"/>
      <c r="F24" s="60"/>
      <c r="G24" s="60"/>
    </row>
    <row r="25" spans="2:11" x14ac:dyDescent="0.25">
      <c r="B25" s="384"/>
      <c r="C25" s="386" t="s">
        <v>78</v>
      </c>
      <c r="D25" s="387"/>
      <c r="E25" s="387"/>
      <c r="F25" s="387"/>
      <c r="G25" s="369"/>
    </row>
    <row r="26" spans="2:11" ht="15.75" x14ac:dyDescent="0.3">
      <c r="B26" s="384"/>
      <c r="C26" s="48"/>
      <c r="D26" s="50"/>
      <c r="E26" s="50"/>
      <c r="F26" s="50"/>
      <c r="G26" s="58"/>
    </row>
    <row r="27" spans="2:11" ht="15.75" customHeight="1" x14ac:dyDescent="0.25">
      <c r="B27" s="385"/>
      <c r="C27" s="59"/>
      <c r="D27" s="53"/>
      <c r="E27" s="53"/>
      <c r="F27" s="53"/>
      <c r="G27" s="60"/>
    </row>
    <row r="28" spans="2:11" ht="15.75" customHeight="1" x14ac:dyDescent="0.25">
      <c r="B28" s="340" t="s">
        <v>90</v>
      </c>
      <c r="C28" s="341"/>
      <c r="D28" s="341"/>
      <c r="E28" s="340" t="s">
        <v>91</v>
      </c>
      <c r="F28" s="341"/>
      <c r="G28" s="344"/>
    </row>
    <row r="29" spans="2:11" ht="15.75" customHeight="1" x14ac:dyDescent="0.25">
      <c r="B29" s="342"/>
      <c r="C29" s="343"/>
      <c r="D29" s="343"/>
      <c r="E29" s="342"/>
      <c r="F29" s="343"/>
      <c r="G29" s="345"/>
    </row>
    <row r="30" spans="2:11" ht="15.75" customHeight="1" x14ac:dyDescent="0.25">
      <c r="B30" s="64"/>
      <c r="C30" s="65"/>
      <c r="D30" s="66"/>
      <c r="E30" s="64"/>
      <c r="F30" s="65"/>
      <c r="G30" s="66"/>
    </row>
    <row r="31" spans="2:11" ht="15.75" x14ac:dyDescent="0.3">
      <c r="B31" s="67"/>
      <c r="C31" s="50"/>
      <c r="D31" s="56"/>
      <c r="E31" s="68"/>
      <c r="G31" s="56"/>
    </row>
    <row r="32" spans="2:11" ht="15.75" customHeight="1" x14ac:dyDescent="0.3">
      <c r="B32" s="67"/>
      <c r="C32" s="73"/>
      <c r="D32" s="56"/>
      <c r="E32" s="67"/>
      <c r="G32" s="56"/>
    </row>
    <row r="33" spans="2:7" ht="15.75" customHeight="1" x14ac:dyDescent="0.3">
      <c r="B33" s="67"/>
      <c r="C33" s="73"/>
      <c r="D33" s="56"/>
      <c r="E33" s="67"/>
      <c r="F33" s="69"/>
      <c r="G33" s="56"/>
    </row>
    <row r="34" spans="2:7" ht="15.75" customHeight="1" x14ac:dyDescent="0.25">
      <c r="B34" s="67"/>
      <c r="D34" s="56"/>
      <c r="E34" s="67"/>
      <c r="G34" s="56"/>
    </row>
    <row r="35" spans="2:7" ht="15.75" customHeight="1" x14ac:dyDescent="0.25">
      <c r="B35" s="67"/>
      <c r="D35" s="56"/>
      <c r="E35" s="67"/>
      <c r="G35" s="56"/>
    </row>
    <row r="36" spans="2:7" ht="15.75" customHeight="1" x14ac:dyDescent="0.25">
      <c r="B36" s="67"/>
      <c r="D36" s="56"/>
      <c r="E36" s="67"/>
      <c r="G36" s="56"/>
    </row>
    <row r="37" spans="2:7" ht="15.75" customHeight="1" x14ac:dyDescent="0.25">
      <c r="B37" s="67"/>
      <c r="D37" s="56"/>
      <c r="E37" s="67"/>
      <c r="G37" s="56"/>
    </row>
    <row r="38" spans="2:7" ht="15.75" customHeight="1" x14ac:dyDescent="0.25">
      <c r="B38" s="67"/>
      <c r="D38" s="56"/>
      <c r="E38" s="67"/>
      <c r="G38" s="56"/>
    </row>
    <row r="39" spans="2:7" ht="15.75" customHeight="1" x14ac:dyDescent="0.25">
      <c r="B39" s="67"/>
      <c r="D39" s="56"/>
      <c r="E39" s="67"/>
      <c r="G39" s="56"/>
    </row>
    <row r="40" spans="2:7" ht="15.75" customHeight="1" x14ac:dyDescent="0.25">
      <c r="B40" s="67"/>
      <c r="D40" s="56"/>
      <c r="E40" s="67"/>
      <c r="G40" s="56"/>
    </row>
    <row r="41" spans="2:7" ht="15.75" customHeight="1" x14ac:dyDescent="0.25">
      <c r="B41" s="67"/>
      <c r="D41" s="56"/>
      <c r="E41" s="67"/>
      <c r="G41" s="56"/>
    </row>
    <row r="42" spans="2:7" ht="15.75" customHeight="1" x14ac:dyDescent="0.25">
      <c r="B42" s="67"/>
      <c r="D42" s="56"/>
      <c r="E42" s="67"/>
      <c r="G42" s="56"/>
    </row>
    <row r="43" spans="2:7" ht="15.75" customHeight="1" x14ac:dyDescent="0.25">
      <c r="B43" s="67"/>
      <c r="D43" s="56"/>
      <c r="E43" s="67"/>
      <c r="G43" s="56"/>
    </row>
    <row r="44" spans="2:7" ht="15.75" customHeight="1" x14ac:dyDescent="0.25">
      <c r="B44" s="67"/>
      <c r="D44" s="56"/>
      <c r="E44" s="67"/>
      <c r="G44" s="56"/>
    </row>
    <row r="45" spans="2:7" ht="15.75" customHeight="1" x14ac:dyDescent="0.25">
      <c r="B45" s="67"/>
      <c r="D45" s="56"/>
      <c r="E45" s="67"/>
      <c r="G45" s="56"/>
    </row>
    <row r="46" spans="2:7" ht="15.75" customHeight="1" x14ac:dyDescent="0.25">
      <c r="B46" s="67"/>
      <c r="D46" s="56"/>
      <c r="E46" s="67"/>
      <c r="G46" s="56"/>
    </row>
    <row r="47" spans="2:7" x14ac:dyDescent="0.25">
      <c r="B47" s="59"/>
      <c r="C47" s="53"/>
      <c r="D47" s="60"/>
      <c r="E47" s="59"/>
      <c r="F47" s="53"/>
      <c r="G47" s="60"/>
    </row>
  </sheetData>
  <mergeCells count="15">
    <mergeCell ref="B28:D29"/>
    <mergeCell ref="E28:G29"/>
    <mergeCell ref="C20:F20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2321-AAC1-4230-AA1E-075B58EE1870}">
  <dimension ref="B1:F115"/>
  <sheetViews>
    <sheetView view="pageLayout" zoomScaleNormal="100" workbookViewId="0">
      <selection activeCell="B36" sqref="B36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28515625" customWidth="1"/>
    <col min="7" max="7" width="2.85546875" customWidth="1"/>
  </cols>
  <sheetData>
    <row r="1" spans="2:6" x14ac:dyDescent="0.25">
      <c r="B1" s="441" t="s">
        <v>207</v>
      </c>
      <c r="C1" s="442"/>
      <c r="D1" s="442"/>
      <c r="E1" s="443"/>
      <c r="F1" s="444"/>
    </row>
    <row r="2" spans="2:6" x14ac:dyDescent="0.25">
      <c r="B2" s="445"/>
      <c r="C2" s="446"/>
      <c r="D2" s="446"/>
      <c r="E2" s="447"/>
      <c r="F2" s="448"/>
    </row>
    <row r="3" spans="2:6" ht="12.75" customHeight="1" x14ac:dyDescent="0.25">
      <c r="C3" s="103"/>
      <c r="D3" s="103"/>
      <c r="E3" s="103"/>
      <c r="F3" s="103"/>
    </row>
    <row r="4" spans="2:6" x14ac:dyDescent="0.25">
      <c r="B4" s="449" t="s">
        <v>7</v>
      </c>
      <c r="C4" s="451" t="s">
        <v>209</v>
      </c>
      <c r="D4" s="452"/>
      <c r="E4" s="452"/>
      <c r="F4" s="453"/>
    </row>
    <row r="5" spans="2:6" ht="15.75" customHeight="1" x14ac:dyDescent="0.25">
      <c r="B5" s="450"/>
      <c r="C5" s="454"/>
      <c r="D5" s="455"/>
      <c r="E5" s="455"/>
      <c r="F5" s="456"/>
    </row>
    <row r="6" spans="2:6" x14ac:dyDescent="0.25">
      <c r="B6" s="102" t="s">
        <v>208</v>
      </c>
      <c r="C6" s="454"/>
      <c r="D6" s="455"/>
      <c r="E6" s="455"/>
      <c r="F6" s="456"/>
    </row>
    <row r="7" spans="2:6" x14ac:dyDescent="0.25">
      <c r="B7" s="101">
        <v>2</v>
      </c>
      <c r="C7" s="454"/>
      <c r="D7" s="455"/>
      <c r="E7" s="455"/>
      <c r="F7" s="456"/>
    </row>
    <row r="8" spans="2:6" ht="15.75" customHeight="1" x14ac:dyDescent="0.25">
      <c r="B8" s="461"/>
      <c r="C8" s="454"/>
      <c r="D8" s="455"/>
      <c r="E8" s="455"/>
      <c r="F8" s="456"/>
    </row>
    <row r="9" spans="2:6" ht="15.75" customHeight="1" x14ac:dyDescent="0.25">
      <c r="B9" s="462"/>
      <c r="C9" s="454"/>
      <c r="D9" s="455"/>
      <c r="E9" s="455"/>
      <c r="F9" s="456"/>
    </row>
    <row r="10" spans="2:6" ht="15.75" customHeight="1" x14ac:dyDescent="0.25">
      <c r="B10" s="462"/>
      <c r="C10" s="454"/>
      <c r="D10" s="455"/>
      <c r="E10" s="455"/>
      <c r="F10" s="456"/>
    </row>
    <row r="11" spans="2:6" ht="15.75" customHeight="1" x14ac:dyDescent="0.25">
      <c r="B11" s="462"/>
      <c r="C11" s="454"/>
      <c r="D11" s="455"/>
      <c r="E11" s="455"/>
      <c r="F11" s="456"/>
    </row>
    <row r="12" spans="2:6" x14ac:dyDescent="0.25">
      <c r="B12" s="462"/>
      <c r="C12" s="454"/>
      <c r="D12" s="455"/>
      <c r="E12" s="455"/>
      <c r="F12" s="456"/>
    </row>
    <row r="13" spans="2:6" x14ac:dyDescent="0.25">
      <c r="B13" s="462"/>
      <c r="C13" s="454"/>
      <c r="D13" s="455"/>
      <c r="E13" s="455"/>
      <c r="F13" s="456"/>
    </row>
    <row r="14" spans="2:6" x14ac:dyDescent="0.25">
      <c r="B14" s="462"/>
      <c r="C14" s="454"/>
      <c r="D14" s="455"/>
      <c r="E14" s="455"/>
      <c r="F14" s="456"/>
    </row>
    <row r="15" spans="2:6" ht="15.75" customHeight="1" x14ac:dyDescent="0.25">
      <c r="B15" s="462"/>
      <c r="C15" s="454"/>
      <c r="D15" s="455"/>
      <c r="E15" s="455"/>
      <c r="F15" s="456"/>
    </row>
    <row r="16" spans="2:6" ht="15.75" customHeight="1" x14ac:dyDescent="0.25">
      <c r="B16" s="463"/>
      <c r="C16" s="457"/>
      <c r="D16" s="458"/>
      <c r="E16" s="458"/>
      <c r="F16" s="459"/>
    </row>
    <row r="17" spans="2:6" x14ac:dyDescent="0.25">
      <c r="B17" s="449" t="s">
        <v>8</v>
      </c>
      <c r="C17" s="460" t="s">
        <v>210</v>
      </c>
      <c r="D17" s="452"/>
      <c r="E17" s="452"/>
      <c r="F17" s="453"/>
    </row>
    <row r="18" spans="2:6" x14ac:dyDescent="0.25">
      <c r="B18" s="450"/>
      <c r="C18" s="454"/>
      <c r="D18" s="455"/>
      <c r="E18" s="455"/>
      <c r="F18" s="456"/>
    </row>
    <row r="19" spans="2:6" x14ac:dyDescent="0.25">
      <c r="B19" s="102" t="s">
        <v>208</v>
      </c>
      <c r="C19" s="454"/>
      <c r="D19" s="455"/>
      <c r="E19" s="455"/>
      <c r="F19" s="456"/>
    </row>
    <row r="20" spans="2:6" x14ac:dyDescent="0.25">
      <c r="B20" s="101">
        <v>3</v>
      </c>
      <c r="C20" s="454"/>
      <c r="D20" s="455"/>
      <c r="E20" s="455"/>
      <c r="F20" s="456"/>
    </row>
    <row r="21" spans="2:6" x14ac:dyDescent="0.25">
      <c r="B21" s="461"/>
      <c r="C21" s="454"/>
      <c r="D21" s="455"/>
      <c r="E21" s="455"/>
      <c r="F21" s="456"/>
    </row>
    <row r="22" spans="2:6" x14ac:dyDescent="0.25">
      <c r="B22" s="462"/>
      <c r="C22" s="454"/>
      <c r="D22" s="455"/>
      <c r="E22" s="455"/>
      <c r="F22" s="456"/>
    </row>
    <row r="23" spans="2:6" x14ac:dyDescent="0.25">
      <c r="B23" s="462"/>
      <c r="C23" s="454"/>
      <c r="D23" s="455"/>
      <c r="E23" s="455"/>
      <c r="F23" s="456"/>
    </row>
    <row r="24" spans="2:6" x14ac:dyDescent="0.25">
      <c r="B24" s="462"/>
      <c r="C24" s="454"/>
      <c r="D24" s="455"/>
      <c r="E24" s="455"/>
      <c r="F24" s="456"/>
    </row>
    <row r="25" spans="2:6" x14ac:dyDescent="0.25">
      <c r="B25" s="462"/>
      <c r="C25" s="454"/>
      <c r="D25" s="455"/>
      <c r="E25" s="455"/>
      <c r="F25" s="456"/>
    </row>
    <row r="26" spans="2:6" x14ac:dyDescent="0.25">
      <c r="B26" s="462"/>
      <c r="C26" s="454"/>
      <c r="D26" s="455"/>
      <c r="E26" s="455"/>
      <c r="F26" s="456"/>
    </row>
    <row r="27" spans="2:6" x14ac:dyDescent="0.25">
      <c r="B27" s="462"/>
      <c r="C27" s="454"/>
      <c r="D27" s="455"/>
      <c r="E27" s="455"/>
      <c r="F27" s="456"/>
    </row>
    <row r="28" spans="2:6" x14ac:dyDescent="0.25">
      <c r="B28" s="462"/>
      <c r="C28" s="454"/>
      <c r="D28" s="455"/>
      <c r="E28" s="455"/>
      <c r="F28" s="456"/>
    </row>
    <row r="29" spans="2:6" x14ac:dyDescent="0.25">
      <c r="B29" s="462"/>
      <c r="C29" s="454"/>
      <c r="D29" s="455"/>
      <c r="E29" s="455"/>
      <c r="F29" s="456"/>
    </row>
    <row r="30" spans="2:6" x14ac:dyDescent="0.25">
      <c r="B30" s="462"/>
      <c r="C30" s="454"/>
      <c r="D30" s="455"/>
      <c r="E30" s="455"/>
      <c r="F30" s="456"/>
    </row>
    <row r="31" spans="2:6" x14ac:dyDescent="0.25">
      <c r="B31" s="462"/>
      <c r="C31" s="454"/>
      <c r="D31" s="455"/>
      <c r="E31" s="455"/>
      <c r="F31" s="456"/>
    </row>
    <row r="32" spans="2:6" x14ac:dyDescent="0.25">
      <c r="B32" s="463"/>
      <c r="C32" s="457"/>
      <c r="D32" s="458"/>
      <c r="E32" s="458"/>
      <c r="F32" s="459"/>
    </row>
    <row r="33" spans="2:6" x14ac:dyDescent="0.25">
      <c r="B33" s="449" t="s">
        <v>24</v>
      </c>
      <c r="C33" s="460" t="s">
        <v>211</v>
      </c>
      <c r="D33" s="452"/>
      <c r="E33" s="452"/>
      <c r="F33" s="453"/>
    </row>
    <row r="34" spans="2:6" x14ac:dyDescent="0.25">
      <c r="B34" s="450"/>
      <c r="C34" s="454"/>
      <c r="D34" s="455"/>
      <c r="E34" s="455"/>
      <c r="F34" s="456"/>
    </row>
    <row r="35" spans="2:6" x14ac:dyDescent="0.25">
      <c r="B35" s="102" t="s">
        <v>208</v>
      </c>
      <c r="C35" s="454"/>
      <c r="D35" s="455"/>
      <c r="E35" s="455"/>
      <c r="F35" s="456"/>
    </row>
    <row r="36" spans="2:6" x14ac:dyDescent="0.25">
      <c r="B36" s="101">
        <v>1</v>
      </c>
      <c r="C36" s="454"/>
      <c r="D36" s="455"/>
      <c r="E36" s="455"/>
      <c r="F36" s="456"/>
    </row>
    <row r="37" spans="2:6" x14ac:dyDescent="0.25">
      <c r="B37" s="461"/>
      <c r="C37" s="454"/>
      <c r="D37" s="455"/>
      <c r="E37" s="455"/>
      <c r="F37" s="456"/>
    </row>
    <row r="38" spans="2:6" x14ac:dyDescent="0.25">
      <c r="B38" s="462"/>
      <c r="C38" s="454"/>
      <c r="D38" s="455"/>
      <c r="E38" s="455"/>
      <c r="F38" s="456"/>
    </row>
    <row r="39" spans="2:6" x14ac:dyDescent="0.25">
      <c r="B39" s="462"/>
      <c r="C39" s="454"/>
      <c r="D39" s="455"/>
      <c r="E39" s="455"/>
      <c r="F39" s="456"/>
    </row>
    <row r="40" spans="2:6" x14ac:dyDescent="0.25">
      <c r="B40" s="462"/>
      <c r="C40" s="454"/>
      <c r="D40" s="455"/>
      <c r="E40" s="455"/>
      <c r="F40" s="456"/>
    </row>
    <row r="41" spans="2:6" x14ac:dyDescent="0.25">
      <c r="B41" s="462"/>
      <c r="C41" s="454"/>
      <c r="D41" s="455"/>
      <c r="E41" s="455"/>
      <c r="F41" s="456"/>
    </row>
    <row r="42" spans="2:6" x14ac:dyDescent="0.25">
      <c r="B42" s="462"/>
      <c r="C42" s="454"/>
      <c r="D42" s="455"/>
      <c r="E42" s="455"/>
      <c r="F42" s="456"/>
    </row>
    <row r="43" spans="2:6" x14ac:dyDescent="0.25">
      <c r="B43" s="462"/>
      <c r="C43" s="454"/>
      <c r="D43" s="455"/>
      <c r="E43" s="455"/>
      <c r="F43" s="456"/>
    </row>
    <row r="44" spans="2:6" x14ac:dyDescent="0.25">
      <c r="B44" s="462"/>
      <c r="C44" s="454"/>
      <c r="D44" s="455"/>
      <c r="E44" s="455"/>
      <c r="F44" s="456"/>
    </row>
    <row r="45" spans="2:6" x14ac:dyDescent="0.25">
      <c r="B45" s="463"/>
      <c r="C45" s="457"/>
      <c r="D45" s="458"/>
      <c r="E45" s="458"/>
      <c r="F45" s="459"/>
    </row>
    <row r="46" spans="2:6" x14ac:dyDescent="0.25">
      <c r="C46" s="103"/>
      <c r="D46" s="103"/>
      <c r="E46" s="103"/>
      <c r="F46" s="103"/>
    </row>
    <row r="47" spans="2:6" x14ac:dyDescent="0.25">
      <c r="C47" s="103"/>
      <c r="D47" s="103"/>
      <c r="E47" s="103"/>
      <c r="F47" s="103"/>
    </row>
    <row r="48" spans="2:6" x14ac:dyDescent="0.25">
      <c r="C48" s="103"/>
      <c r="D48" s="103"/>
      <c r="E48" s="103"/>
      <c r="F48" s="103"/>
    </row>
    <row r="49" spans="2:6" x14ac:dyDescent="0.25">
      <c r="C49" s="103"/>
      <c r="D49" s="103"/>
      <c r="E49" s="103"/>
      <c r="F49" s="103"/>
    </row>
    <row r="50" spans="2:6" ht="12.75" customHeight="1" x14ac:dyDescent="0.25">
      <c r="C50" s="103"/>
      <c r="D50" s="103"/>
      <c r="E50" s="103"/>
      <c r="F50" s="103"/>
    </row>
    <row r="51" spans="2:6" x14ac:dyDescent="0.25">
      <c r="B51" s="449" t="s">
        <v>26</v>
      </c>
      <c r="C51" s="460" t="s">
        <v>212</v>
      </c>
      <c r="D51" s="452"/>
      <c r="E51" s="452"/>
      <c r="F51" s="453"/>
    </row>
    <row r="52" spans="2:6" x14ac:dyDescent="0.25">
      <c r="B52" s="450"/>
      <c r="C52" s="454"/>
      <c r="D52" s="455"/>
      <c r="E52" s="455"/>
      <c r="F52" s="456"/>
    </row>
    <row r="53" spans="2:6" x14ac:dyDescent="0.25">
      <c r="B53" s="102" t="s">
        <v>208</v>
      </c>
      <c r="C53" s="454"/>
      <c r="D53" s="455"/>
      <c r="E53" s="455"/>
      <c r="F53" s="456"/>
    </row>
    <row r="54" spans="2:6" x14ac:dyDescent="0.25">
      <c r="B54" s="101">
        <v>2</v>
      </c>
      <c r="C54" s="454"/>
      <c r="D54" s="455"/>
      <c r="E54" s="455"/>
      <c r="F54" s="456"/>
    </row>
    <row r="55" spans="2:6" x14ac:dyDescent="0.25">
      <c r="B55" s="461"/>
      <c r="C55" s="454"/>
      <c r="D55" s="455"/>
      <c r="E55" s="455"/>
      <c r="F55" s="456"/>
    </row>
    <row r="56" spans="2:6" x14ac:dyDescent="0.25">
      <c r="B56" s="462"/>
      <c r="C56" s="454"/>
      <c r="D56" s="455"/>
      <c r="E56" s="455"/>
      <c r="F56" s="456"/>
    </row>
    <row r="57" spans="2:6" x14ac:dyDescent="0.25">
      <c r="B57" s="462"/>
      <c r="C57" s="454"/>
      <c r="D57" s="455"/>
      <c r="E57" s="455"/>
      <c r="F57" s="456"/>
    </row>
    <row r="58" spans="2:6" x14ac:dyDescent="0.25">
      <c r="B58" s="462"/>
      <c r="C58" s="454"/>
      <c r="D58" s="455"/>
      <c r="E58" s="455"/>
      <c r="F58" s="456"/>
    </row>
    <row r="59" spans="2:6" x14ac:dyDescent="0.25">
      <c r="B59" s="463"/>
      <c r="C59" s="457"/>
      <c r="D59" s="458"/>
      <c r="E59" s="458"/>
      <c r="F59" s="459"/>
    </row>
    <row r="60" spans="2:6" x14ac:dyDescent="0.25">
      <c r="B60" s="449" t="s">
        <v>28</v>
      </c>
      <c r="C60" s="460" t="s">
        <v>213</v>
      </c>
      <c r="D60" s="452"/>
      <c r="E60" s="452"/>
      <c r="F60" s="453"/>
    </row>
    <row r="61" spans="2:6" x14ac:dyDescent="0.25">
      <c r="B61" s="450"/>
      <c r="C61" s="454"/>
      <c r="D61" s="455"/>
      <c r="E61" s="455"/>
      <c r="F61" s="456"/>
    </row>
    <row r="62" spans="2:6" x14ac:dyDescent="0.25">
      <c r="B62" s="102" t="s">
        <v>208</v>
      </c>
      <c r="C62" s="454"/>
      <c r="D62" s="455"/>
      <c r="E62" s="455"/>
      <c r="F62" s="456"/>
    </row>
    <row r="63" spans="2:6" x14ac:dyDescent="0.25">
      <c r="B63" s="101">
        <v>1</v>
      </c>
      <c r="C63" s="454"/>
      <c r="D63" s="455"/>
      <c r="E63" s="455"/>
      <c r="F63" s="456"/>
    </row>
    <row r="64" spans="2:6" x14ac:dyDescent="0.25">
      <c r="B64" s="461"/>
      <c r="C64" s="454"/>
      <c r="D64" s="455"/>
      <c r="E64" s="455"/>
      <c r="F64" s="456"/>
    </row>
    <row r="65" spans="2:6" x14ac:dyDescent="0.25">
      <c r="B65" s="395"/>
      <c r="C65" s="454"/>
      <c r="D65" s="455"/>
      <c r="E65" s="455"/>
      <c r="F65" s="456"/>
    </row>
    <row r="66" spans="2:6" x14ac:dyDescent="0.25">
      <c r="B66" s="395"/>
      <c r="C66" s="454"/>
      <c r="D66" s="455"/>
      <c r="E66" s="455"/>
      <c r="F66" s="456"/>
    </row>
    <row r="67" spans="2:6" x14ac:dyDescent="0.25">
      <c r="B67" s="395"/>
      <c r="C67" s="454"/>
      <c r="D67" s="455"/>
      <c r="E67" s="455"/>
      <c r="F67" s="456"/>
    </row>
    <row r="68" spans="2:6" x14ac:dyDescent="0.25">
      <c r="B68" s="395"/>
      <c r="C68" s="454"/>
      <c r="D68" s="455"/>
      <c r="E68" s="455"/>
      <c r="F68" s="456"/>
    </row>
    <row r="69" spans="2:6" x14ac:dyDescent="0.25">
      <c r="B69" s="396"/>
      <c r="C69" s="457"/>
      <c r="D69" s="458"/>
      <c r="E69" s="458"/>
      <c r="F69" s="459"/>
    </row>
    <row r="70" spans="2:6" x14ac:dyDescent="0.25">
      <c r="B70" s="449" t="s">
        <v>33</v>
      </c>
      <c r="C70" s="460" t="s">
        <v>214</v>
      </c>
      <c r="D70" s="452"/>
      <c r="E70" s="452"/>
      <c r="F70" s="453"/>
    </row>
    <row r="71" spans="2:6" x14ac:dyDescent="0.25">
      <c r="B71" s="450"/>
      <c r="C71" s="454"/>
      <c r="D71" s="455"/>
      <c r="E71" s="455"/>
      <c r="F71" s="456"/>
    </row>
    <row r="72" spans="2:6" x14ac:dyDescent="0.25">
      <c r="B72" s="102" t="s">
        <v>208</v>
      </c>
      <c r="C72" s="454"/>
      <c r="D72" s="455"/>
      <c r="E72" s="455"/>
      <c r="F72" s="456"/>
    </row>
    <row r="73" spans="2:6" x14ac:dyDescent="0.25">
      <c r="B73" s="101">
        <v>2</v>
      </c>
      <c r="C73" s="454"/>
      <c r="D73" s="455"/>
      <c r="E73" s="455"/>
      <c r="F73" s="456"/>
    </row>
    <row r="74" spans="2:6" x14ac:dyDescent="0.25">
      <c r="B74" s="461"/>
      <c r="C74" s="454"/>
      <c r="D74" s="455"/>
      <c r="E74" s="455"/>
      <c r="F74" s="456"/>
    </row>
    <row r="75" spans="2:6" x14ac:dyDescent="0.25">
      <c r="B75" s="462"/>
      <c r="C75" s="454"/>
      <c r="D75" s="455"/>
      <c r="E75" s="455"/>
      <c r="F75" s="456"/>
    </row>
    <row r="76" spans="2:6" x14ac:dyDescent="0.25">
      <c r="B76" s="462"/>
      <c r="C76" s="454"/>
      <c r="D76" s="455"/>
      <c r="E76" s="455"/>
      <c r="F76" s="456"/>
    </row>
    <row r="77" spans="2:6" x14ac:dyDescent="0.25">
      <c r="B77" s="462"/>
      <c r="C77" s="454"/>
      <c r="D77" s="455"/>
      <c r="E77" s="455"/>
      <c r="F77" s="456"/>
    </row>
    <row r="78" spans="2:6" x14ac:dyDescent="0.25">
      <c r="B78" s="463"/>
      <c r="C78" s="457"/>
      <c r="D78" s="458"/>
      <c r="E78" s="458"/>
      <c r="F78" s="459"/>
    </row>
    <row r="79" spans="2:6" x14ac:dyDescent="0.25">
      <c r="B79" s="449" t="s">
        <v>41</v>
      </c>
      <c r="C79" s="460" t="s">
        <v>215</v>
      </c>
      <c r="D79" s="452"/>
      <c r="E79" s="452"/>
      <c r="F79" s="453"/>
    </row>
    <row r="80" spans="2:6" x14ac:dyDescent="0.25">
      <c r="B80" s="450"/>
      <c r="C80" s="454"/>
      <c r="D80" s="455"/>
      <c r="E80" s="455"/>
      <c r="F80" s="456"/>
    </row>
    <row r="81" spans="2:6" x14ac:dyDescent="0.25">
      <c r="B81" s="102" t="s">
        <v>208</v>
      </c>
      <c r="C81" s="454"/>
      <c r="D81" s="455"/>
      <c r="E81" s="455"/>
      <c r="F81" s="456"/>
    </row>
    <row r="82" spans="2:6" x14ac:dyDescent="0.25">
      <c r="B82" s="101">
        <v>2</v>
      </c>
      <c r="C82" s="454"/>
      <c r="D82" s="455"/>
      <c r="E82" s="455"/>
      <c r="F82" s="456"/>
    </row>
    <row r="83" spans="2:6" x14ac:dyDescent="0.25">
      <c r="B83" s="461"/>
      <c r="C83" s="454"/>
      <c r="D83" s="455"/>
      <c r="E83" s="455"/>
      <c r="F83" s="456"/>
    </row>
    <row r="84" spans="2:6" x14ac:dyDescent="0.25">
      <c r="B84" s="395"/>
      <c r="C84" s="454"/>
      <c r="D84" s="455"/>
      <c r="E84" s="455"/>
      <c r="F84" s="456"/>
    </row>
    <row r="85" spans="2:6" x14ac:dyDescent="0.25">
      <c r="B85" s="395"/>
      <c r="C85" s="454"/>
      <c r="D85" s="455"/>
      <c r="E85" s="455"/>
      <c r="F85" s="456"/>
    </row>
    <row r="86" spans="2:6" x14ac:dyDescent="0.25">
      <c r="B86" s="395"/>
      <c r="C86" s="454"/>
      <c r="D86" s="455"/>
      <c r="E86" s="455"/>
      <c r="F86" s="456"/>
    </row>
    <row r="87" spans="2:6" x14ac:dyDescent="0.25">
      <c r="B87" s="395"/>
      <c r="C87" s="454"/>
      <c r="D87" s="455"/>
      <c r="E87" s="455"/>
      <c r="F87" s="456"/>
    </row>
    <row r="88" spans="2:6" x14ac:dyDescent="0.25">
      <c r="B88" s="396"/>
      <c r="C88" s="457"/>
      <c r="D88" s="458"/>
      <c r="E88" s="458"/>
      <c r="F88" s="459"/>
    </row>
    <row r="89" spans="2:6" x14ac:dyDescent="0.25">
      <c r="B89" s="449" t="s">
        <v>42</v>
      </c>
      <c r="C89" s="460" t="s">
        <v>216</v>
      </c>
      <c r="D89" s="452"/>
      <c r="E89" s="452"/>
      <c r="F89" s="453"/>
    </row>
    <row r="90" spans="2:6" x14ac:dyDescent="0.25">
      <c r="B90" s="450"/>
      <c r="C90" s="454"/>
      <c r="D90" s="455"/>
      <c r="E90" s="455"/>
      <c r="F90" s="456"/>
    </row>
    <row r="91" spans="2:6" x14ac:dyDescent="0.25">
      <c r="B91" s="102" t="s">
        <v>208</v>
      </c>
      <c r="C91" s="454"/>
      <c r="D91" s="455"/>
      <c r="E91" s="455"/>
      <c r="F91" s="456"/>
    </row>
    <row r="92" spans="2:6" x14ac:dyDescent="0.25">
      <c r="B92" s="101">
        <v>1</v>
      </c>
      <c r="C92" s="454"/>
      <c r="D92" s="455"/>
      <c r="E92" s="455"/>
      <c r="F92" s="456"/>
    </row>
    <row r="93" spans="2:6" x14ac:dyDescent="0.25">
      <c r="B93" s="461"/>
      <c r="C93" s="454"/>
      <c r="D93" s="455"/>
      <c r="E93" s="455"/>
      <c r="F93" s="456"/>
    </row>
    <row r="94" spans="2:6" x14ac:dyDescent="0.25">
      <c r="B94" s="462"/>
      <c r="C94" s="454"/>
      <c r="D94" s="455"/>
      <c r="E94" s="455"/>
      <c r="F94" s="456"/>
    </row>
    <row r="95" spans="2:6" x14ac:dyDescent="0.25">
      <c r="B95" s="462"/>
      <c r="C95" s="454"/>
      <c r="D95" s="455"/>
      <c r="E95" s="455"/>
      <c r="F95" s="456"/>
    </row>
    <row r="96" spans="2:6" x14ac:dyDescent="0.25">
      <c r="B96" s="462"/>
      <c r="C96" s="454"/>
      <c r="D96" s="455"/>
      <c r="E96" s="455"/>
      <c r="F96" s="456"/>
    </row>
    <row r="97" spans="2:6" x14ac:dyDescent="0.25">
      <c r="B97" s="462"/>
      <c r="C97" s="454"/>
      <c r="D97" s="455"/>
      <c r="E97" s="455"/>
      <c r="F97" s="456"/>
    </row>
    <row r="98" spans="2:6" x14ac:dyDescent="0.25">
      <c r="B98" s="462"/>
      <c r="C98" s="454"/>
      <c r="D98" s="455"/>
      <c r="E98" s="455"/>
      <c r="F98" s="456"/>
    </row>
    <row r="99" spans="2:6" x14ac:dyDescent="0.25">
      <c r="B99" s="462"/>
      <c r="C99" s="454"/>
      <c r="D99" s="455"/>
      <c r="E99" s="455"/>
      <c r="F99" s="456"/>
    </row>
    <row r="100" spans="2:6" x14ac:dyDescent="0.25">
      <c r="B100" s="463"/>
      <c r="C100" s="457"/>
      <c r="D100" s="458"/>
      <c r="E100" s="458"/>
      <c r="F100" s="459"/>
    </row>
    <row r="101" spans="2:6" x14ac:dyDescent="0.25">
      <c r="B101" s="449" t="s">
        <v>235</v>
      </c>
      <c r="C101" s="460" t="s">
        <v>236</v>
      </c>
      <c r="D101" s="452"/>
      <c r="E101" s="452"/>
      <c r="F101" s="453"/>
    </row>
    <row r="102" spans="2:6" x14ac:dyDescent="0.25">
      <c r="B102" s="450"/>
      <c r="C102" s="454"/>
      <c r="D102" s="455"/>
      <c r="E102" s="455"/>
      <c r="F102" s="456"/>
    </row>
    <row r="103" spans="2:6" x14ac:dyDescent="0.25">
      <c r="B103" s="102" t="s">
        <v>208</v>
      </c>
      <c r="C103" s="454"/>
      <c r="D103" s="455"/>
      <c r="E103" s="455"/>
      <c r="F103" s="456"/>
    </row>
    <row r="104" spans="2:6" x14ac:dyDescent="0.25">
      <c r="B104" s="101">
        <v>6</v>
      </c>
      <c r="C104" s="454"/>
      <c r="D104" s="455"/>
      <c r="E104" s="455"/>
      <c r="F104" s="456"/>
    </row>
    <row r="105" spans="2:6" x14ac:dyDescent="0.25">
      <c r="B105" s="461"/>
      <c r="C105" s="454"/>
      <c r="D105" s="455"/>
      <c r="E105" s="455"/>
      <c r="F105" s="456"/>
    </row>
    <row r="106" spans="2:6" x14ac:dyDescent="0.25">
      <c r="B106" s="462"/>
      <c r="C106" s="454"/>
      <c r="D106" s="455"/>
      <c r="E106" s="455"/>
      <c r="F106" s="456"/>
    </row>
    <row r="107" spans="2:6" x14ac:dyDescent="0.25">
      <c r="B107" s="462"/>
      <c r="C107" s="454"/>
      <c r="D107" s="455"/>
      <c r="E107" s="455"/>
      <c r="F107" s="456"/>
    </row>
    <row r="108" spans="2:6" x14ac:dyDescent="0.25">
      <c r="B108" s="462"/>
      <c r="C108" s="454"/>
      <c r="D108" s="455"/>
      <c r="E108" s="455"/>
      <c r="F108" s="456"/>
    </row>
    <row r="109" spans="2:6" x14ac:dyDescent="0.25">
      <c r="B109" s="462"/>
      <c r="C109" s="454"/>
      <c r="D109" s="455"/>
      <c r="E109" s="455"/>
      <c r="F109" s="456"/>
    </row>
    <row r="110" spans="2:6" x14ac:dyDescent="0.25">
      <c r="B110" s="462"/>
      <c r="C110" s="454"/>
      <c r="D110" s="455"/>
      <c r="E110" s="455"/>
      <c r="F110" s="456"/>
    </row>
    <row r="111" spans="2:6" x14ac:dyDescent="0.25">
      <c r="B111" s="462"/>
      <c r="C111" s="454"/>
      <c r="D111" s="455"/>
      <c r="E111" s="455"/>
      <c r="F111" s="456"/>
    </row>
    <row r="112" spans="2:6" x14ac:dyDescent="0.25">
      <c r="B112" s="462"/>
      <c r="C112" s="454"/>
      <c r="D112" s="455"/>
      <c r="E112" s="455"/>
      <c r="F112" s="456"/>
    </row>
    <row r="113" spans="2:6" x14ac:dyDescent="0.25">
      <c r="B113" s="462"/>
      <c r="C113" s="454"/>
      <c r="D113" s="455"/>
      <c r="E113" s="455"/>
      <c r="F113" s="456"/>
    </row>
    <row r="114" spans="2:6" x14ac:dyDescent="0.25">
      <c r="B114" s="462"/>
      <c r="C114" s="454"/>
      <c r="D114" s="455"/>
      <c r="E114" s="455"/>
      <c r="F114" s="456"/>
    </row>
    <row r="115" spans="2:6" x14ac:dyDescent="0.25">
      <c r="B115" s="463"/>
      <c r="C115" s="457"/>
      <c r="D115" s="458"/>
      <c r="E115" s="458"/>
      <c r="F115" s="459"/>
    </row>
  </sheetData>
  <mergeCells count="28">
    <mergeCell ref="B101:B102"/>
    <mergeCell ref="C101:F115"/>
    <mergeCell ref="B79:B80"/>
    <mergeCell ref="C79:F88"/>
    <mergeCell ref="B89:B90"/>
    <mergeCell ref="C89:F100"/>
    <mergeCell ref="B83:B88"/>
    <mergeCell ref="B93:B100"/>
    <mergeCell ref="B105:B115"/>
    <mergeCell ref="B60:B61"/>
    <mergeCell ref="C60:F69"/>
    <mergeCell ref="B70:B71"/>
    <mergeCell ref="C70:F78"/>
    <mergeCell ref="B64:B69"/>
    <mergeCell ref="B74:B78"/>
    <mergeCell ref="B33:B34"/>
    <mergeCell ref="C33:F45"/>
    <mergeCell ref="B51:B52"/>
    <mergeCell ref="C51:F59"/>
    <mergeCell ref="B55:B59"/>
    <mergeCell ref="B37:B45"/>
    <mergeCell ref="B1:F2"/>
    <mergeCell ref="B4:B5"/>
    <mergeCell ref="C4:F16"/>
    <mergeCell ref="B17:B18"/>
    <mergeCell ref="C17:F32"/>
    <mergeCell ref="B8:B16"/>
    <mergeCell ref="B21:B32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4F57DC-141E-4AB1-87CC-0E2B5E397D59}">
  <ds:schemaRefs>
    <ds:schemaRef ds:uri="http://schemas.microsoft.com/office/2006/metadata/properties"/>
    <ds:schemaRef ds:uri="550b22fb-13da-4cf5-969f-c4932bbd4a2b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e6d905db-4f59-4a3b-930f-acb1d61e4a6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Kompetenzraster</vt:lpstr>
      <vt:lpstr>ST_1_KW_6</vt:lpstr>
      <vt:lpstr>ST_2_KW_7</vt:lpstr>
      <vt:lpstr>ST_3_KW_8</vt:lpstr>
      <vt:lpstr>ST_4_KW_9</vt:lpstr>
      <vt:lpstr>ST_5_KW_10</vt:lpstr>
      <vt:lpstr>ST_6_KW_11</vt:lpstr>
      <vt:lpstr>ST_7_KW_12</vt:lpstr>
      <vt:lpstr>ST_8_KW_13</vt:lpstr>
      <vt:lpstr>ST_9_KW_14</vt:lpstr>
      <vt:lpstr>ST_10_KW_15</vt:lpstr>
      <vt:lpstr>ST_11_KW_20</vt:lpstr>
      <vt:lpstr>ST_12_KW_21</vt:lpstr>
      <vt:lpstr>ST_13_KW_22</vt:lpstr>
      <vt:lpstr>ST_14_KW_23</vt:lpstr>
      <vt:lpstr>ST_15_KW_24</vt:lpstr>
      <vt:lpstr>ST_16_KW_25</vt:lpstr>
      <vt:lpstr>ST_17_KW_26</vt:lpstr>
      <vt:lpstr>ST_18_KW_27</vt:lpstr>
      <vt:lpstr>ST_19_KW_28</vt:lpstr>
      <vt:lpstr>ST_20_KW_29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2025-06-18T08:35:53Z</cp:lastPrinted>
  <dcterms:created xsi:type="dcterms:W3CDTF">2018-02-19T12:02:46Z</dcterms:created>
  <dcterms:modified xsi:type="dcterms:W3CDTF">2026-06-30T09:02:46Z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