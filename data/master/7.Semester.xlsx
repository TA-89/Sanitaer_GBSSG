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bldsg-my.sharepoint.com/personal/marcel_item_gbssg_ch/Documents/1_Sanitärinstallateure/2_Unterrichtsmaterial_EFZ/1_Word_Vorlagen/7.Semester/"/>
    </mc:Choice>
  </mc:AlternateContent>
  <xr:revisionPtr revIDLastSave="819" documentId="8_{BC0786E5-0D45-4735-81BC-618EB7C057B7}" xr6:coauthVersionLast="47" xr6:coauthVersionMax="47" xr10:uidLastSave="{110FAF53-394B-4742-9257-5D2602798F59}"/>
  <bookViews>
    <workbookView xWindow="-120" yWindow="-120" windowWidth="51840" windowHeight="21120" activeTab="4" xr2:uid="{00000000-000D-0000-FFFF-FFFF00000000}"/>
  </bookViews>
  <sheets>
    <sheet name="Kompetenzraster" sheetId="13" r:id="rId1"/>
    <sheet name="ST_1_KW_33" sheetId="15" r:id="rId2"/>
    <sheet name="ST_2_KW_34" sheetId="16" r:id="rId3"/>
    <sheet name="ST_3_KW_35" sheetId="17" r:id="rId4"/>
    <sheet name="ST_4_KW_36" sheetId="18" r:id="rId5"/>
    <sheet name="ST_5_KW_37" sheetId="20" r:id="rId6"/>
    <sheet name="ST_6_KW_38" sheetId="21" r:id="rId7"/>
    <sheet name="ST_7_KW_39" sheetId="22" r:id="rId8"/>
    <sheet name="ST_8_KW_43" sheetId="23" r:id="rId9"/>
    <sheet name="ST_9_KW_44" sheetId="24" r:id="rId10"/>
    <sheet name="ST_10_KW_45" sheetId="25" r:id="rId11"/>
    <sheet name="ST_11_KW_46" sheetId="26" r:id="rId12"/>
    <sheet name="ST_12_KW_47" sheetId="27" r:id="rId13"/>
    <sheet name="ST_13_KW_48" sheetId="28" r:id="rId14"/>
    <sheet name="ST_14_KW_49" sheetId="29" r:id="rId15"/>
    <sheet name="ST_15_KW_50" sheetId="30" r:id="rId16"/>
    <sheet name="ST_16_KW_51" sheetId="31" r:id="rId17"/>
    <sheet name="ST_17_KW_2" sheetId="32" r:id="rId18"/>
    <sheet name="ST_18_KW_3" sheetId="33" r:id="rId19"/>
    <sheet name="Aufgaben_Teams" sheetId="14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2" i="14" l="1"/>
  <c r="B97" i="14"/>
  <c r="B95" i="14"/>
  <c r="E1" i="33"/>
  <c r="Q39" i="13"/>
  <c r="Q37" i="13"/>
  <c r="E1" i="32" l="1"/>
  <c r="E1" i="31" l="1"/>
  <c r="E1" i="30"/>
  <c r="E1" i="29" l="1"/>
  <c r="E1" i="28"/>
  <c r="E1" i="27"/>
  <c r="E1" i="26"/>
  <c r="E1" i="25" l="1"/>
  <c r="Q5" i="13" l="1"/>
  <c r="B33" i="14" s="1"/>
  <c r="N19" i="13"/>
  <c r="E1" i="15" l="1"/>
  <c r="B9" i="14"/>
  <c r="Q7" i="13"/>
  <c r="Q9" i="13" l="1"/>
  <c r="E1" i="16"/>
  <c r="Q11" i="13" l="1"/>
  <c r="E1" i="17"/>
  <c r="Q13" i="13" l="1"/>
  <c r="E1" i="18"/>
  <c r="B66" i="14"/>
  <c r="B35" i="14"/>
  <c r="B11" i="14"/>
  <c r="Q15" i="13" l="1"/>
  <c r="E1" i="20"/>
  <c r="Q17" i="13" l="1"/>
  <c r="E1" i="21"/>
  <c r="E1" i="22" l="1"/>
  <c r="Q19" i="13"/>
  <c r="E1" i="23" l="1"/>
  <c r="Q21" i="13"/>
  <c r="B68" i="14"/>
  <c r="B55" i="14"/>
  <c r="E1" i="24" l="1"/>
  <c r="Q23" i="13"/>
  <c r="Q25" i="13" s="1"/>
  <c r="Q27" i="13" l="1"/>
  <c r="B23" i="14"/>
  <c r="B57" i="14"/>
  <c r="B42" i="14" l="1"/>
  <c r="Q29" i="13"/>
  <c r="Q31" i="13" s="1"/>
  <c r="Q33" i="13" s="1"/>
  <c r="Q35" i="13" l="1"/>
  <c r="B44" i="14"/>
  <c r="B76" i="14"/>
  <c r="B78" i="14" l="1"/>
  <c r="B25" i="14" l="1"/>
</calcChain>
</file>

<file path=xl/sharedStrings.xml><?xml version="1.0" encoding="utf-8"?>
<sst xmlns="http://schemas.openxmlformats.org/spreadsheetml/2006/main" count="674" uniqueCount="261">
  <si>
    <t>Semesterstart:</t>
  </si>
  <si>
    <t>Schultag:</t>
  </si>
  <si>
    <t xml:space="preserve">HF 1       </t>
  </si>
  <si>
    <r>
      <rPr>
        <b/>
        <sz val="12"/>
        <color theme="1"/>
        <rFont val="Century Gothic"/>
        <family val="2"/>
      </rPr>
      <t>Planen der Arbeiten</t>
    </r>
    <r>
      <rPr>
        <sz val="12"/>
        <color theme="1"/>
        <rFont val="Century Gothic"/>
        <family val="2"/>
      </rPr>
      <t xml:space="preserve">
</t>
    </r>
  </si>
  <si>
    <t>Gesetzliche Feiertage</t>
  </si>
  <si>
    <t>Allerheiligen</t>
  </si>
  <si>
    <t>Karfreitag</t>
  </si>
  <si>
    <t>Ostermontag</t>
  </si>
  <si>
    <t>Auffahrt</t>
  </si>
  <si>
    <t>Pfingstmontag</t>
  </si>
  <si>
    <t xml:space="preserve">Fachgruppe Sanitär Spengler </t>
  </si>
  <si>
    <t>itm I sanitärlernen.ch</t>
  </si>
  <si>
    <t>Bewertung / Benotung</t>
  </si>
  <si>
    <t xml:space="preserve">Die Note aus den Leistungsnachweisen berechnet sich aus den während des Semestes erzielten Punkten. </t>
  </si>
  <si>
    <t>Zu jedem Auftrag wird im Unterricht eine kurze Zwischenprüfung geschrieben.</t>
  </si>
  <si>
    <t>Zeugnisnote</t>
  </si>
  <si>
    <t>Noten Prüfungen</t>
  </si>
  <si>
    <t>X</t>
  </si>
  <si>
    <t>Handlungsfelder und Kompetenzen</t>
  </si>
  <si>
    <t>Note Leistungsnachweis</t>
  </si>
  <si>
    <t xml:space="preserve">Sie benennen gebräuchliche Ver- und Entsorgungsapparate sowie deren Komponenten. </t>
  </si>
  <si>
    <t>3 Schultage (9L)</t>
  </si>
  <si>
    <t>2 Schultage (10L)</t>
  </si>
  <si>
    <t>Vernetzung aller Handlungsfelder</t>
  </si>
  <si>
    <t xml:space="preserve">HF 1/2/3/4/5/6/7     </t>
  </si>
  <si>
    <t xml:space="preserve">Punkte max. </t>
  </si>
  <si>
    <t>Kompetenzraster 7.Semester  Sanitärinstallateur/in EFZ</t>
  </si>
  <si>
    <t xml:space="preserve"> Sie beschreiben den Aufbau und die Funktion einer Enthärtungsanlage.</t>
  </si>
  <si>
    <t>Auftrag 7.1</t>
  </si>
  <si>
    <t>10 Schultage (20L)</t>
  </si>
  <si>
    <t>Sie zeichnen einfache Installationspläne
unter Berücksichtigung der relevanten
Vorschriften.</t>
  </si>
  <si>
    <t>Sie erklären den Zusammenhang
zwischen Volumenstrom, Fliess-
geschwindigkeit, Druckverlust und
Rohrdurchmessern. (K2)</t>
  </si>
  <si>
    <t>Sie bestimmen die Grösse eines
Wassererwärmers anhand der
geltenden Vorschriften. (K3</t>
  </si>
  <si>
    <t xml:space="preserve">Sie bestimmen die Rohrweiten von
Trinkwasser- Schmutzwasser-  und Gasleitungen anhand der geltenden Vorschriften </t>
  </si>
  <si>
    <t>6 Schultage (12L)</t>
  </si>
  <si>
    <t xml:space="preserve">Auftrag 7.2 </t>
  </si>
  <si>
    <t>Sie erstellen genaue und vollständige Isometrie-Zeichnungen anhand von Planunterlagen.</t>
  </si>
  <si>
    <t>Sie berechnen rechtwinklige Dreiecke.</t>
  </si>
  <si>
    <t>Sie wenden die X- und z-Mass-Methode an verschiedenen Beispielen an.</t>
  </si>
  <si>
    <t>Sie bestimmen stumpfwinklige Dreiecke anhand der Tabellen.</t>
  </si>
  <si>
    <t>Sie erstellen anhand von isometrischen Zeichnungen vollständige Stücklisten.</t>
  </si>
  <si>
    <t>Sie erstellen anhand von Planunterla-
gen und Massskizzen
einen massstäblichen Detailplan.</t>
  </si>
  <si>
    <t>Sie erstellen ein Materialausmass anhand von verschiedenen Beispielen.</t>
  </si>
  <si>
    <t>Sie erklären die hygienischen Anforde-
rungen an Sanitäranlagen gemäss den
geltenden Vorschriften. (K2)</t>
  </si>
  <si>
    <t>Sie erklären die gebräuchlichen Anla-
genteile in einfachen Worten. (K2)</t>
  </si>
  <si>
    <t>Sie benennen die Ersatzteile von Spülkästen und Armaturen und erklären deren Funktion.</t>
  </si>
  <si>
    <t>Sie beschreiben die wesentlichen
Wartungsintervalle einer sanitären
Installation. (K2)</t>
  </si>
  <si>
    <t>HF 6</t>
  </si>
  <si>
    <t>Auftrag 7.7</t>
  </si>
  <si>
    <t>Sie erstellen anhand von Planunterlagen einen Werkstattplan für eine Vorwand.</t>
  </si>
  <si>
    <t>Sie erläutern die Unterschiede der verschiedenen Systeme der Wassererwärmung in Bezug auf die Energieeffizienz.</t>
  </si>
  <si>
    <t xml:space="preserve"> Sie beschreiben den Aufbau und die Funktion einer Wärmepumpe.</t>
  </si>
  <si>
    <t xml:space="preserve">Auftrag 7.4 </t>
  </si>
  <si>
    <t>Auftrag 7.5</t>
  </si>
  <si>
    <t>Auftrag 7.6</t>
  </si>
  <si>
    <t>Sie berechnen die  benötigten Wassermengen zur Erreichung gewünschter Tempearaturen beim Mischen von Wasser.</t>
  </si>
  <si>
    <t>4 Schultage (12L)</t>
  </si>
  <si>
    <t>Sie beschreiben die wesentlichen
Wartungsintervalle und Arbeiten einer sanitären
Installation. (K2)</t>
  </si>
  <si>
    <t>Auftrag 7.3</t>
  </si>
  <si>
    <r>
      <rPr>
        <b/>
        <sz val="10"/>
        <rFont val="Century Gothic"/>
        <family val="2"/>
      </rPr>
      <t>QV Vorbereitung Trinkwasserleitungen &amp; Planen der Arbeiten</t>
    </r>
    <r>
      <rPr>
        <b/>
        <sz val="10"/>
        <color theme="1"/>
        <rFont val="Century Gothic"/>
        <family val="2"/>
      </rPr>
      <t xml:space="preserve">
</t>
    </r>
    <r>
      <rPr>
        <sz val="6.5"/>
        <color theme="1"/>
        <rFont val="Century Gothic"/>
        <family val="2"/>
      </rPr>
      <t xml:space="preserve">Sie erstellen selbstständig Lernkarten zu den Grundlagenkenntnissen im Bereich Trinkwasserleitungen und Planen der Arbeiten. </t>
    </r>
  </si>
  <si>
    <t xml:space="preserve">Auftrag 7.1 </t>
  </si>
  <si>
    <t>Auftrag 7.2</t>
  </si>
  <si>
    <t>Auftrag 7.4</t>
  </si>
  <si>
    <t>Auftrag 7.11</t>
  </si>
  <si>
    <t>1 Schultage (6L)</t>
  </si>
  <si>
    <t>Unterichtsplanung 7. Semester</t>
  </si>
  <si>
    <t>Montieren von sanitären Anlagen und Apparaten</t>
  </si>
  <si>
    <t>Die Note aus den Lernprodukten zählt zu 30%. Alle Noten der Prüfungen zählen zu 60%.</t>
  </si>
  <si>
    <t>Installationspläne erstellen (Schema)</t>
  </si>
  <si>
    <t>Werkstattplanung AVOR X-Z Mass</t>
  </si>
  <si>
    <t>7.3  I  7.1</t>
  </si>
  <si>
    <t>7.6  I  7.1</t>
  </si>
  <si>
    <t>7.5  I  7.1</t>
  </si>
  <si>
    <t>7.4  I  7.2</t>
  </si>
  <si>
    <t>Trinkwasserleitungen in Betrieb nehmen</t>
  </si>
  <si>
    <t>Wartungsarbeiten ausführen</t>
  </si>
  <si>
    <t>San. Anlagen (Enthärtungsanlage)</t>
  </si>
  <si>
    <t>San. Anlagen (Wärmepumpe)</t>
  </si>
  <si>
    <t>Mittwoch</t>
  </si>
  <si>
    <t>Aufgaben Teams</t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</si>
  <si>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zeichnen einfache Installationspläne unter Berücksichtigung
   der relevanten Vorschriften.
- Sie zeichnen einfache Schemapläne unter Berücksichtigung 
  der relevanten Vorschriften.
- Sie bestimmen die Rohrweiten von Trinkwasser- Schmutzwasser- 
  und Gasleitungen anhand der geltenden Vorschriften
- Sie bestimmen die Grösse eines Wassererwärmers anhand der 
   geltenden Vorschriften.
</t>
    </r>
    <r>
      <rPr>
        <b/>
        <sz val="11"/>
        <color theme="1"/>
        <rFont val="Calibri"/>
        <family val="2"/>
        <scheme val="minor"/>
      </rPr>
      <t xml:space="preserve">Abzugebende Leistungsnachweise:
</t>
    </r>
    <r>
      <rPr>
        <sz val="11"/>
        <color theme="1"/>
        <rFont val="Calibri"/>
        <family val="2"/>
        <scheme val="minor"/>
      </rPr>
      <t xml:space="preserve">
- Leistungsnachweis "Grundriss inkl. Schema"
</t>
    </r>
  </si>
  <si>
    <t>Punkte</t>
  </si>
  <si>
    <t>Zuweisung</t>
  </si>
  <si>
    <t>Abgabe</t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</si>
  <si>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kennen die Grundlagen der X-Mass Methode und wenden diese 
in einfachen Beispielen an.   
- Sie erstellen selbstständig einfache X-Mass Vorfabrikationszeichnungen
inkl. Rohrlängen und Stückliste.
</t>
    </r>
    <r>
      <rPr>
        <b/>
        <sz val="11"/>
        <color theme="1"/>
        <rFont val="Calibri"/>
        <family val="2"/>
        <scheme val="minor"/>
      </rPr>
      <t xml:space="preserve"> 
Abzugebende Leistungsnachweise:
</t>
    </r>
    <r>
      <rPr>
        <sz val="11"/>
        <color theme="1"/>
        <rFont val="Calibri"/>
        <family val="2"/>
        <scheme val="minor"/>
      </rPr>
      <t xml:space="preserve">
- Leistungsnachweis "AVOR X-Mass "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</si>
  <si>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benennen gebräuchliche Ver- und Entsorgungsapparate 
  sowie deren Komponenten.
- Sie beschreiben den Aufbau und die Funktion einer Enthärtungsanlage
</t>
    </r>
    <r>
      <rPr>
        <b/>
        <sz val="11"/>
        <color theme="1"/>
        <rFont val="Calibri"/>
        <family val="2"/>
        <scheme val="minor"/>
      </rPr>
      <t xml:space="preserve">
Abzugebende Leistungsnachweise:
</t>
    </r>
    <r>
      <rPr>
        <sz val="11"/>
        <color theme="1"/>
        <rFont val="Calibri"/>
        <family val="2"/>
        <scheme val="minor"/>
      </rPr>
      <t xml:space="preserve">
- Leistungsnachweis "Enthärtungsanlage"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</si>
  <si>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benennen die Ersatzteile von Spülkästen und Armaturen und
   erklären deren Funktion.
- Sie beschreiben die wesentlichen Wartungsintervalle und Arbeiten
  einer sanitären Installation.
- Sie erklären die gebräuchlichen Anlagenteile in einfachen Worten.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"Praxisauftrag Spülkasten reparieren"
</t>
    </r>
  </si>
  <si>
    <r>
      <rPr>
        <b/>
        <sz val="11"/>
        <rFont val="Calibri"/>
        <family val="2"/>
        <scheme val="minor"/>
      </rPr>
      <t>Lernziele:</t>
    </r>
    <r>
      <rPr>
        <sz val="11"/>
        <rFont val="Calibri"/>
        <family val="2"/>
        <scheme val="minor"/>
      </rPr>
      <t xml:space="preserve">
- Sie erklären die hygienischen Anforderungen an Sanitäranlagen 
   gemäss den geltenden Vorschriften.
- Sie erklären den Zusammenhang zwischen Volumenstrom,
   Fliessgeschwindigkeit, Druckverlust und Rohrdurchmessern.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Leistungsnachweis "Projektierung &amp; Berechnung EFH"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</si>
  <si>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 xml:space="preserve">Lernziele:
</t>
    </r>
    <r>
      <rPr>
        <sz val="11"/>
        <rFont val="Calibri"/>
        <family val="2"/>
        <scheme val="minor"/>
      </rPr>
      <t xml:space="preserve">- Vernetzende Kompetenzen gemäss Auftrag 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>- Leistungsnachweis "Lernkarten"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</si>
  <si>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>Lernziele:</t>
    </r>
    <r>
      <rPr>
        <sz val="11"/>
        <rFont val="Calibri"/>
        <family val="2"/>
        <scheme val="minor"/>
      </rPr>
      <t xml:space="preserve">
- Vernetzende Kompetenzen gemäss Auftrag.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Leistungsnachweis «Projektarbeit »
</t>
    </r>
    <r>
      <rPr>
        <sz val="11"/>
        <color theme="1"/>
        <rFont val="Calibri"/>
        <family val="2"/>
        <scheme val="minor"/>
      </rPr>
      <t xml:space="preserve">
</t>
    </r>
  </si>
  <si>
    <t>Unterrichtsverlauf</t>
  </si>
  <si>
    <t>Versorgungsapparate montieren</t>
  </si>
  <si>
    <t>Filme / Theorie</t>
  </si>
  <si>
    <t>1 - 3 Lektion</t>
  </si>
  <si>
    <t>Auftrag 1</t>
  </si>
  <si>
    <t>* Einstieg mit Kurzvideo "Wie kommt der Kalk ins Wasser"</t>
  </si>
  <si>
    <t xml:space="preserve">* Abschnitt im Lehrmittel lesen und Einstiegfragen beantworten </t>
  </si>
  <si>
    <t xml:space="preserve">* Recherche "Mein Trinkwasser der Gemeinde" </t>
  </si>
  <si>
    <t>Auftrag 2</t>
  </si>
  <si>
    <t>* Recherche W3 / Einbau von Wassernachbehandlungsanlagen</t>
  </si>
  <si>
    <t>Auftrag 3</t>
  </si>
  <si>
    <t>* Vorbereitung Expertenpuzzle als Einstieg für nächste Woche</t>
  </si>
  <si>
    <t>Lernziele</t>
  </si>
  <si>
    <t>* Sie benennen gebräuchliche Ver- und Entsorgungsapparate sowie deren Komponenten.</t>
  </si>
  <si>
    <t>* Sie beschreiben den Aufbau und die Funktion einer Enthärtungsanlage</t>
  </si>
  <si>
    <t>Pause</t>
  </si>
  <si>
    <t>Installationspläne erstellen</t>
  </si>
  <si>
    <t>4 - 5 Lektion</t>
  </si>
  <si>
    <t>* Gemeinsames Betrachten des Schemas im Lehrmittel</t>
  </si>
  <si>
    <t>* Hinweis zur Repetition =&gt; Erstellung Grundriss als Vorbereitung</t>
  </si>
  <si>
    <t>* Gemeinsames Zeichnen relevanter Schemasymbole als Grundlage</t>
  </si>
  <si>
    <t>* Sie zeichnen einfache Installationspläne unter Berücksichtigung der relevanten Vorschriften.</t>
  </si>
  <si>
    <t>* Sie zeichnen einfache Schemapläne unter Berücksichtigung der relevanten Vorschriften.</t>
  </si>
  <si>
    <t>Hausaufgaben</t>
  </si>
  <si>
    <t>Administratives</t>
  </si>
  <si>
    <t>*  Durchführung Expertenpuzzle als Einstieg in Thematik</t>
  </si>
  <si>
    <t>Auftrag 4</t>
  </si>
  <si>
    <t>*  Einführung und Besprechung  Enthärtungsanlage.</t>
  </si>
  <si>
    <t>*  Klasse halbiert / Demoraum / Enthärtung betrachten.</t>
  </si>
  <si>
    <t>*  Auftrag besprechen / Letzte Fragen klären.</t>
  </si>
  <si>
    <t>* Einzelne Schemazeichnungen vervollständigen</t>
  </si>
  <si>
    <t>* Start mit EFH Fraun - gemeinsames Zeichnen</t>
  </si>
  <si>
    <t>* Besprechung verbleibende Fragen aus Auftrag 4 (HA)</t>
  </si>
  <si>
    <t>* Abgabe und Instruktion Leistungsnachweis</t>
  </si>
  <si>
    <t>Lernziele / Prüfung</t>
  </si>
  <si>
    <t>* Aufgabe EFH Kauns lösen</t>
  </si>
  <si>
    <t xml:space="preserve">* Einstieg mit Quizacademy </t>
  </si>
  <si>
    <t>Einrichten / Vorstellung TopinSan</t>
  </si>
  <si>
    <t>* Vorstellung &amp; Idee</t>
  </si>
  <si>
    <t>* Einladungen managen und erste Gehversuche</t>
  </si>
  <si>
    <t>Link zu TopinSan</t>
  </si>
  <si>
    <t>(30Sek)</t>
  </si>
  <si>
    <t>* Schema kontrollieren =&gt; Lehrperson</t>
  </si>
  <si>
    <t>* Aufgabe EFH Psi lösen</t>
  </si>
  <si>
    <t>Wasserleitungen in Betrieb nehmen</t>
  </si>
  <si>
    <t>30min</t>
  </si>
  <si>
    <t>Prüfung Auftrag 7.3</t>
  </si>
  <si>
    <t>?? Top in San ??</t>
  </si>
  <si>
    <t>Einstieg</t>
  </si>
  <si>
    <t>* Gruppendiskussion zum Thema Legionellen</t>
  </si>
  <si>
    <t>* Filmbeitrag Legionellen</t>
  </si>
  <si>
    <t>* Bearbeitung und Besprechung Fragen 1-6</t>
  </si>
  <si>
    <t>* Technische Lösungen gegen Legionellen =&gt; Lehrmittel</t>
  </si>
  <si>
    <t>* Bearbeitung und Besprechung Fragen 7-10</t>
  </si>
  <si>
    <t>Prüfung 1 Auftrag 7.1</t>
  </si>
  <si>
    <t>* Aufgabe EFH Leermoos</t>
  </si>
  <si>
    <t>* Fliessgeschwindigkeiten definieren / festhalten gem. W3</t>
  </si>
  <si>
    <t>* Erste Berechnungen gemeinsam lösen</t>
  </si>
  <si>
    <t>* Übungen selbstständig lösen</t>
  </si>
  <si>
    <t>20min</t>
  </si>
  <si>
    <t>* Theorie gemeinsam herleiten - &gt; Formeln kennen lernen</t>
  </si>
  <si>
    <t>* Aufgabe EFH Engelburg</t>
  </si>
  <si>
    <t xml:space="preserve">* Gemeinsames Erarbeiten des Auftrages 3 </t>
  </si>
  <si>
    <t xml:space="preserve">* Hinweis zu einzelnen Themen </t>
  </si>
  <si>
    <t xml:space="preserve">* Sie erklären die hygienischen Anforderungen an Sanitäranlagen </t>
  </si>
  <si>
    <t xml:space="preserve">   gemäss den geltenden Vorschriften.</t>
  </si>
  <si>
    <t>* Sie erklären den Zusammenhang zwischen Volumenstrom</t>
  </si>
  <si>
    <t xml:space="preserve">   Fliessgeschwindigkeit, Druckverlust und Rohrdurchmessern.</t>
  </si>
  <si>
    <t xml:space="preserve">Leistungsnachweis lösen </t>
  </si>
  <si>
    <t>* Aufgabe EFH Neudorf</t>
  </si>
  <si>
    <t>* Sie benennen die Ersatzteile von Spülkästen und Armaturen und erklären deren Funktion.</t>
  </si>
  <si>
    <t>* Sie beschreiben die wesentlichen Wartungsintervalle und Arbeiten einer sanitären Installation.</t>
  </si>
  <si>
    <t xml:space="preserve">* Sie erklären die gebräuchlichen Anlagenteile in einfachen Worten. </t>
  </si>
  <si>
    <t>* Einstiegsfragen 1-4 lösen / Beantworten in Diskussionsrunde</t>
  </si>
  <si>
    <t>* Zu erledigende Arbeiten vor dem Ausführen eines Serviceauftrages</t>
  </si>
  <si>
    <t>* Aufgabe 5 / Erarbeitung Mind - Map / Übersicht Wartung von Anlagen</t>
  </si>
  <si>
    <t>* Aufgabe EFH Omega</t>
  </si>
  <si>
    <t>Auftrag 7.8</t>
  </si>
  <si>
    <t>1 Schultag (5L)</t>
  </si>
  <si>
    <t>Sie erstellen selbstständig einfache X-Mass Vorfabrikationszeichnungen inkl. Rohrlängen und Stücklisten.</t>
  </si>
  <si>
    <t>Vorbereitungsauftrag ÜK 7</t>
  </si>
  <si>
    <t>QV Vorbereitung / Fahrplan 2024</t>
  </si>
  <si>
    <t>* Einstieg mit Serviceauftrag Wartung eines Waschtisch</t>
  </si>
  <si>
    <t xml:space="preserve">* Besprechung und Korrektur </t>
  </si>
  <si>
    <t>* Einzelheiten zum Service Wassererwärmer / Fragen 22 - 29</t>
  </si>
  <si>
    <t>* Abschluss mit Video "Domotec" / Fehler bei der Wartung</t>
  </si>
  <si>
    <t>Auftrag 5</t>
  </si>
  <si>
    <t xml:space="preserve">* Leistungsnachweis 7.1 </t>
  </si>
  <si>
    <t>*  Sie erstellen anhand von Planunterlagen einen Werkstattplan für eine Vorwand.</t>
  </si>
  <si>
    <t xml:space="preserve">* Sie erstellen selbstständig einfache X-Mass Vorfabrikationszeichnungen inkl. Rohrlängen </t>
  </si>
  <si>
    <t xml:space="preserve">   und Stückliste.</t>
  </si>
  <si>
    <t>65min</t>
  </si>
  <si>
    <t>Instruktion / Hinweise zu Auftrag</t>
  </si>
  <si>
    <t xml:space="preserve"> =&gt; Aufgabe 6 - 7</t>
  </si>
  <si>
    <t xml:space="preserve"> =&gt; Aufgabe 8 -13 als Vorbereitung 7 HA</t>
  </si>
  <si>
    <t>* Gruppendiskussion zum Thema Verschränkungen / Bezug ÜK</t>
  </si>
  <si>
    <t>* Verschränkungen aufzeichnen / Einfache Beispiele</t>
  </si>
  <si>
    <t>* Sie kennen die Grundlagen der X-Mass Methode und wenden</t>
  </si>
  <si>
    <t xml:space="preserve">* Sie erstellen selbstständig X-Mass Vorfabrikationszeichnungen inkl. </t>
  </si>
  <si>
    <t xml:space="preserve">   Rohrlängen und Stücklisten. </t>
  </si>
  <si>
    <t xml:space="preserve">   diese in einfachen Beispielen an. </t>
  </si>
  <si>
    <t>Arbeitsvorbereitung AVOR X-Mass</t>
  </si>
  <si>
    <t>* Sie beschreiben den Aufbau und die Funktion einer Wärmepumpe</t>
  </si>
  <si>
    <t>* Sie berechnen die benötigten Wassermengen zur Erreichung gewünschter Temperaturen.</t>
  </si>
  <si>
    <t>* Sie erläutern die verschiedenen Systeme der Wassererwärmung in Bezug auf die Energieffizienz.</t>
  </si>
  <si>
    <t>* Theorie lesen / Einstigesfragen 1 - 5 beantworten.</t>
  </si>
  <si>
    <t>Einstieg / Gruppendiskussion =&gt; Wärmepumpe / Flipchart</t>
  </si>
  <si>
    <t>* Video der Funktion schauen / Funktionsweise erläutern!</t>
  </si>
  <si>
    <t>* Fragen 6-9 erarbeiten und besprechen</t>
  </si>
  <si>
    <t>Korrektur / Auftrag / ÜK =&gt; Schwerpunkt X-Mass</t>
  </si>
  <si>
    <t>* Komplexere Beispiele lösen….</t>
  </si>
  <si>
    <t>* Aufgabe "Alpha"</t>
  </si>
  <si>
    <t>* Wirkungsgrad berechnen / Einstieg mit Versuch</t>
  </si>
  <si>
    <t>* Berechnungen lösen und üben…</t>
  </si>
  <si>
    <t>* Theorie herleiten und Bezug zur Wärmelehre</t>
  </si>
  <si>
    <t>* Kombinierte Aufgaben lösen</t>
  </si>
  <si>
    <t>Quiz oder irgendwas zum Einstieg machen….</t>
  </si>
  <si>
    <t>* Mischwassertemperaturberechnung mit der Formel</t>
  </si>
  <si>
    <t>* Mischwassermengenberechnung mit dem Mischwasserkreuz</t>
  </si>
  <si>
    <t>* Erste Berechnung gemeinsam an der Tafel lösen</t>
  </si>
  <si>
    <t>* Einstieg mit Situation aus der Praxis / Versuch</t>
  </si>
  <si>
    <t>* Aufgabe "Beta"</t>
  </si>
  <si>
    <t>* Aufgabe "Gamma"</t>
  </si>
  <si>
    <t>* Abgabe und Arbeit an Leistungsnachweis / Abgabe 12.00 Uhr</t>
  </si>
  <si>
    <t xml:space="preserve">Einstieg mit Powepoint "PP_WP_Einstieg_Schultag_4" </t>
  </si>
  <si>
    <t>* Individuell / Arbeit an VA falls gewünscht und gearbeitet wird….</t>
  </si>
  <si>
    <t>Auftrag 7.9</t>
  </si>
  <si>
    <t>7.9  I  7.2</t>
  </si>
  <si>
    <t xml:space="preserve">Sie wissen, was am Qualifikationsverfahren von Ihnen gefordert wird. </t>
  </si>
  <si>
    <t xml:space="preserve">Sie wissen wann Sie welche Inhalte lernen.	</t>
  </si>
  <si>
    <t>0.5 Schultage (3L)</t>
  </si>
  <si>
    <t>Einstieg mit Betrachtung QV / Ablaufplanung</t>
  </si>
  <si>
    <t>* Was muss ich wann können?</t>
  </si>
  <si>
    <t>* Wie wird geprüft?</t>
  </si>
  <si>
    <t xml:space="preserve">* Leistungsnachweis </t>
  </si>
  <si>
    <t>* Sie wissen, was am Qualifikationsverfahren von Ihnen gefordert wird.</t>
  </si>
  <si>
    <t>* Sie wissen, wann Sie welche Themen und Inhalte lernen.</t>
  </si>
  <si>
    <t>Wie wird was geübt?</t>
  </si>
  <si>
    <t>* Welche Themen werden in der Schule geübt?</t>
  </si>
  <si>
    <t>* Was muss ich selbstständig üben?</t>
  </si>
  <si>
    <t>Erstellung Terminplan</t>
  </si>
  <si>
    <t>Link Terminplan</t>
  </si>
  <si>
    <t>Mein Fahrplan zum QV</t>
  </si>
  <si>
    <t>105min</t>
  </si>
  <si>
    <t>Vorb. Qualifikationsverfahren</t>
  </si>
  <si>
    <t>* Erklärung der zu behandelnden Handlungskompetenzbereiche</t>
  </si>
  <si>
    <t>Gruppen / Einteilung</t>
  </si>
  <si>
    <t>Leistungsnachweis</t>
  </si>
  <si>
    <t>* Abgabe der Lernkarten ist direkt Leistungsnachweis</t>
  </si>
  <si>
    <t>QV Vorbereitung / Lernkarten</t>
  </si>
  <si>
    <t>Projektarbeit</t>
  </si>
  <si>
    <t>Arbeit bis 09.35</t>
  </si>
  <si>
    <t>Semesterarbeit</t>
  </si>
  <si>
    <t>Arbeit an Projektarbeit</t>
  </si>
  <si>
    <t xml:space="preserve">  =&gt; Hinweis / Erwatungen / Cast</t>
  </si>
  <si>
    <t>Zeugnisbesprechung</t>
  </si>
  <si>
    <t>* Sie erstellen anhand von Planunterlagen einen Werkstattplan für eine Vorwand.</t>
  </si>
  <si>
    <t>*  Sie wenden die X- und z-Mass-Methode an verschiedenen Beispielen an.</t>
  </si>
  <si>
    <t xml:space="preserve">* Sie erstellen anhand von Planunterlagen, Apparatelisten und Massskizzen </t>
  </si>
  <si>
    <t xml:space="preserve">   einen massstäblichen Detailplan.</t>
  </si>
  <si>
    <t>* Sie beschreiben die handelsüblichen Vorwandsysteme.</t>
  </si>
  <si>
    <t>* Sie berechnen den Druck unter Berücksichtigung der Kompressibilität des Wassers.</t>
  </si>
  <si>
    <t xml:space="preserve">* Sie beschreiben das korrekte Vorgehen zur Überprüfung der Ausstosszeiten. </t>
  </si>
  <si>
    <t>* Sie bestimmen die Rohrweiten von Trinkwasser-Leitungen anhand der geltenden Vorschriften.</t>
  </si>
  <si>
    <t>1 - 5 Lektion</t>
  </si>
  <si>
    <t>7.11  I  7.2</t>
  </si>
  <si>
    <r>
      <rPr>
        <b/>
        <sz val="11"/>
        <rFont val="Calibri"/>
        <family val="2"/>
        <scheme val="minor"/>
      </rPr>
      <t>Lernziele:</t>
    </r>
    <r>
      <rPr>
        <sz val="11"/>
        <rFont val="Calibri"/>
        <family val="2"/>
        <scheme val="minor"/>
      </rPr>
      <t xml:space="preserve">
- Sie benennen gebräuchliche Ver- und Entsorgungsapparate
   sowie deren Komponenten.
- Sie beschreiben den Aufbau und die Funktion einer Wärmepumpe. 
- Sie erläutern die Unterschiede der verschiedenen Systeme der
   Wassererwärmung in Bezug auf die Energieeffizienz.
- Sie berechnen die benötigten Wassermengen zur Erreichung 
  gewünschter Temperaturen beim Mischen von Wasser.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Leistungsnachweis "Wärmepumpe &amp; Wirkungsgrad"
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</si>
  <si>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 xml:space="preserve">Lernziele:
</t>
    </r>
    <r>
      <rPr>
        <sz val="11"/>
        <rFont val="Calibri"/>
        <family val="2"/>
        <scheme val="minor"/>
      </rPr>
      <t xml:space="preserve">- Vernetzende Kompetenzen gemäss Auftrag 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>- Leistungsnachweis "ÜK Vorbereitung"</t>
    </r>
    <r>
      <rPr>
        <sz val="11"/>
        <color theme="1"/>
        <rFont val="Calibri"/>
        <family val="2"/>
        <scheme val="minor"/>
      </rPr>
      <t xml:space="preserve">
</t>
    </r>
  </si>
  <si>
    <t>Quiz / Einstieg Fliessgeschwindigkeit</t>
  </si>
  <si>
    <t>Prüfung Auftrag 7.6</t>
  </si>
  <si>
    <t>* Hinweis Wasserprobe GBS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</si>
</sst>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4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24"/>
      <color theme="1"/>
      <name val="Century Gothic"/>
      <family val="2"/>
    </font>
    <font>
      <b/>
      <sz val="14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sz val="9"/>
      <color theme="1"/>
      <name val="Century Gothic"/>
      <family val="2"/>
    </font>
    <font>
      <sz val="8"/>
      <color theme="0" tint="-0.499984740745262"/>
      <name val="Century Gothic"/>
      <family val="2"/>
    </font>
    <font>
      <b/>
      <sz val="10"/>
      <name val="Century Gothic"/>
      <family val="2"/>
    </font>
    <font>
      <sz val="6.5"/>
      <color theme="1"/>
      <name val="Century Gothic"/>
      <family val="2"/>
    </font>
    <font>
      <sz val="6.5"/>
      <color theme="1"/>
      <name val="Calibri"/>
      <family val="2"/>
      <scheme val="minor"/>
    </font>
    <font>
      <i/>
      <sz val="11"/>
      <color theme="1"/>
      <name val="Century Gothic"/>
      <family val="2"/>
    </font>
    <font>
      <b/>
      <sz val="8"/>
      <color theme="1"/>
      <name val="Century Gothic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theme="0" tint="-0.34998626667073579"/>
      <name val="Century Gothic"/>
      <family val="2"/>
    </font>
    <font>
      <sz val="12"/>
      <color theme="0"/>
      <name val="Calibri"/>
      <family val="2"/>
      <scheme val="minor"/>
    </font>
    <font>
      <b/>
      <sz val="10"/>
      <color theme="1"/>
      <name val="Blackadder ITC"/>
      <family val="5"/>
    </font>
    <font>
      <sz val="11"/>
      <color theme="1"/>
      <name val="Blackadder ITC"/>
      <family val="5"/>
    </font>
    <font>
      <sz val="10"/>
      <name val="Century Gothic"/>
      <family val="2"/>
    </font>
    <font>
      <sz val="8"/>
      <name val="Century Gothic"/>
      <family val="2"/>
    </font>
    <font>
      <sz val="11"/>
      <name val="Calibri"/>
      <family val="2"/>
      <scheme val="minor"/>
    </font>
    <font>
      <b/>
      <sz val="9"/>
      <color theme="1"/>
      <name val="Century Gothic"/>
      <family val="2"/>
    </font>
    <font>
      <i/>
      <sz val="8"/>
      <color theme="0" tint="-0.499984740745262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sz val="11"/>
      <color theme="1"/>
      <name val="Calibri"/>
      <family val="2"/>
      <scheme val="minor"/>
    </font>
    <font>
      <sz val="18"/>
      <color theme="1"/>
      <name val="Century Gothic"/>
      <family val="2"/>
    </font>
    <font>
      <b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13"/>
      <color theme="1"/>
      <name val="Arial"/>
      <family val="2"/>
    </font>
    <font>
      <i/>
      <sz val="18"/>
      <color theme="1"/>
      <name val="Century Gothic"/>
      <family val="2"/>
    </font>
    <font>
      <i/>
      <sz val="18"/>
      <color theme="1"/>
      <name val="Calibri"/>
      <family val="2"/>
      <scheme val="minor"/>
    </font>
    <font>
      <sz val="9"/>
      <color rgb="FFFF0000"/>
      <name val="Century Gothic"/>
      <family val="2"/>
    </font>
    <font>
      <b/>
      <i/>
      <u/>
      <sz val="11"/>
      <color theme="10"/>
      <name val="Century Gothic"/>
      <family val="2"/>
    </font>
    <font>
      <sz val="11"/>
      <color rgb="FFFF0000"/>
      <name val="Calibri"/>
      <family val="2"/>
      <scheme val="minor"/>
    </font>
    <font>
      <b/>
      <sz val="9"/>
      <color rgb="FFFF0000"/>
      <name val="Century Gothic"/>
      <family val="2"/>
    </font>
    <font>
      <b/>
      <i/>
      <sz val="10"/>
      <color theme="1"/>
      <name val="Century Gothic"/>
      <family val="2"/>
    </font>
    <font>
      <sz val="9"/>
      <name val="Century Gothic"/>
      <family val="2"/>
    </font>
    <font>
      <i/>
      <sz val="11"/>
      <color rgb="FFFF0000"/>
      <name val="Calibri"/>
      <family val="2"/>
      <scheme val="minor"/>
    </font>
    <font>
      <i/>
      <u/>
      <sz val="9"/>
      <color theme="1"/>
      <name val="Century Gothic"/>
      <family val="2"/>
    </font>
    <font>
      <i/>
      <sz val="9"/>
      <name val="Century Gothic"/>
      <family val="2"/>
    </font>
    <font>
      <i/>
      <sz val="11"/>
      <color theme="1"/>
      <name val="Calibri"/>
      <family val="2"/>
      <scheme val="minor"/>
    </font>
    <font>
      <b/>
      <i/>
      <sz val="9"/>
      <color theme="4"/>
      <name val="Century Gothic"/>
      <family val="2"/>
    </font>
    <font>
      <b/>
      <sz val="18"/>
      <name val="Century Gothic"/>
      <family val="2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E32CE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CC0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58">
    <xf numFmtId="0" fontId="0" fillId="0" borderId="0" xfId="0"/>
    <xf numFmtId="0" fontId="2" fillId="0" borderId="0" xfId="0" applyFont="1"/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17" fillId="0" borderId="0" xfId="0" applyFont="1"/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6" fillId="3" borderId="1" xfId="0" applyFont="1" applyFill="1" applyBorder="1" applyAlignment="1">
      <alignment horizontal="left" vertical="center"/>
    </xf>
    <xf numFmtId="0" fontId="27" fillId="3" borderId="3" xfId="0" applyFont="1" applyFill="1" applyBorder="1" applyAlignment="1">
      <alignment horizontal="left" vertical="center"/>
    </xf>
    <xf numFmtId="0" fontId="27" fillId="3" borderId="3" xfId="0" applyFont="1" applyFill="1" applyBorder="1" applyAlignment="1">
      <alignment horizontal="center" vertical="center"/>
    </xf>
    <xf numFmtId="0" fontId="27" fillId="3" borderId="2" xfId="0" applyFont="1" applyFill="1" applyBorder="1"/>
    <xf numFmtId="14" fontId="20" fillId="3" borderId="32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2" fillId="4" borderId="5" xfId="0" applyFont="1" applyFill="1" applyBorder="1"/>
    <xf numFmtId="0" fontId="2" fillId="4" borderId="6" xfId="0" applyFont="1" applyFill="1" applyBorder="1"/>
    <xf numFmtId="0" fontId="2" fillId="4" borderId="15" xfId="0" applyFont="1" applyFill="1" applyBorder="1"/>
    <xf numFmtId="0" fontId="9" fillId="4" borderId="8" xfId="0" applyFont="1" applyFill="1" applyBorder="1" applyAlignment="1">
      <alignment horizontal="left" vertical="center"/>
    </xf>
    <xf numFmtId="0" fontId="9" fillId="4" borderId="9" xfId="0" applyFont="1" applyFill="1" applyBorder="1" applyAlignment="1">
      <alignment horizontal="left" vertical="center"/>
    </xf>
    <xf numFmtId="0" fontId="0" fillId="4" borderId="16" xfId="0" applyFill="1" applyBorder="1" applyAlignment="1">
      <alignment horizontal="left" vertical="center"/>
    </xf>
    <xf numFmtId="14" fontId="14" fillId="4" borderId="29" xfId="0" applyNumberFormat="1" applyFont="1" applyFill="1" applyBorder="1" applyAlignment="1">
      <alignment horizontal="left" vertical="center"/>
    </xf>
    <xf numFmtId="14" fontId="14" fillId="4" borderId="4" xfId="0" applyNumberFormat="1" applyFont="1" applyFill="1" applyBorder="1" applyAlignment="1">
      <alignment horizontal="left" vertical="center"/>
    </xf>
    <xf numFmtId="14" fontId="14" fillId="4" borderId="30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0" fontId="2" fillId="5" borderId="3" xfId="0" applyFont="1" applyFill="1" applyBorder="1"/>
    <xf numFmtId="0" fontId="6" fillId="5" borderId="3" xfId="0" applyFont="1" applyFill="1" applyBorder="1" applyAlignment="1">
      <alignment horizontal="center" vertical="center"/>
    </xf>
    <xf numFmtId="14" fontId="19" fillId="5" borderId="3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horizontal="center" vertical="center"/>
      <protection locked="0" hidden="1"/>
    </xf>
    <xf numFmtId="0" fontId="1" fillId="5" borderId="1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4" fontId="20" fillId="3" borderId="28" xfId="0" applyNumberFormat="1" applyFont="1" applyFill="1" applyBorder="1" applyAlignment="1">
      <alignment horizontal="center" vertical="center"/>
    </xf>
    <xf numFmtId="0" fontId="32" fillId="4" borderId="4" xfId="0" applyFont="1" applyFill="1" applyBorder="1" applyAlignment="1">
      <alignment horizontal="left"/>
    </xf>
    <xf numFmtId="0" fontId="33" fillId="4" borderId="4" xfId="0" applyFont="1" applyFill="1" applyBorder="1"/>
    <xf numFmtId="0" fontId="9" fillId="4" borderId="8" xfId="0" applyFont="1" applyFill="1" applyBorder="1" applyAlignment="1">
      <alignment horizontal="left"/>
    </xf>
    <xf numFmtId="0" fontId="9" fillId="4" borderId="9" xfId="0" applyFont="1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0" fillId="0" borderId="0" xfId="0" applyAlignment="1">
      <alignment horizontal="left" vertical="top"/>
    </xf>
    <xf numFmtId="0" fontId="6" fillId="5" borderId="51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4" fontId="2" fillId="0" borderId="52" xfId="0" applyNumberFormat="1" applyFont="1" applyBorder="1" applyAlignment="1">
      <alignment horizontal="left"/>
    </xf>
    <xf numFmtId="14" fontId="2" fillId="0" borderId="46" xfId="0" applyNumberFormat="1" applyFont="1" applyBorder="1" applyAlignment="1">
      <alignment horizontal="left"/>
    </xf>
    <xf numFmtId="0" fontId="0" fillId="0" borderId="46" xfId="0" applyBorder="1"/>
    <xf numFmtId="0" fontId="1" fillId="0" borderId="40" xfId="0" applyFont="1" applyBorder="1"/>
    <xf numFmtId="0" fontId="1" fillId="0" borderId="26" xfId="0" applyFont="1" applyBorder="1"/>
    <xf numFmtId="0" fontId="1" fillId="0" borderId="43" xfId="0" applyFont="1" applyBorder="1" applyAlignment="1">
      <alignment horizontal="center"/>
    </xf>
    <xf numFmtId="0" fontId="30" fillId="0" borderId="43" xfId="0" applyFont="1" applyBorder="1" applyAlignment="1">
      <alignment horizontal="center"/>
    </xf>
    <xf numFmtId="0" fontId="30" fillId="0" borderId="36" xfId="0" applyFont="1" applyBorder="1"/>
    <xf numFmtId="0" fontId="1" fillId="0" borderId="44" xfId="0" applyFont="1" applyBorder="1" applyAlignment="1">
      <alignment horizontal="center"/>
    </xf>
    <xf numFmtId="0" fontId="0" fillId="0" borderId="44" xfId="0" applyBorder="1"/>
    <xf numFmtId="0" fontId="14" fillId="0" borderId="36" xfId="0" applyFont="1" applyBorder="1"/>
    <xf numFmtId="0" fontId="14" fillId="0" borderId="44" xfId="0" applyFont="1" applyBorder="1"/>
    <xf numFmtId="0" fontId="33" fillId="0" borderId="44" xfId="0" applyFont="1" applyBorder="1" applyAlignment="1">
      <alignment horizontal="center"/>
    </xf>
    <xf numFmtId="0" fontId="14" fillId="0" borderId="0" xfId="0" applyFont="1"/>
    <xf numFmtId="0" fontId="38" fillId="0" borderId="0" xfId="0" applyFont="1"/>
    <xf numFmtId="0" fontId="0" fillId="0" borderId="25" xfId="0" applyBorder="1"/>
    <xf numFmtId="0" fontId="0" fillId="0" borderId="50" xfId="0" applyBorder="1"/>
    <xf numFmtId="0" fontId="14" fillId="0" borderId="49" xfId="0" applyFont="1" applyBorder="1"/>
    <xf numFmtId="0" fontId="14" fillId="0" borderId="40" xfId="0" applyFont="1" applyBorder="1"/>
    <xf numFmtId="0" fontId="14" fillId="0" borderId="26" xfId="0" applyFont="1" applyBorder="1"/>
    <xf numFmtId="0" fontId="14" fillId="0" borderId="43" xfId="0" applyFont="1" applyBorder="1"/>
    <xf numFmtId="0" fontId="0" fillId="0" borderId="36" xfId="0" applyBorder="1"/>
    <xf numFmtId="0" fontId="0" fillId="0" borderId="49" xfId="0" applyBorder="1"/>
    <xf numFmtId="0" fontId="33" fillId="0" borderId="52" xfId="0" applyFont="1" applyBorder="1" applyAlignment="1">
      <alignment horizontal="center"/>
    </xf>
    <xf numFmtId="0" fontId="41" fillId="0" borderId="36" xfId="0" applyFont="1" applyBorder="1"/>
    <xf numFmtId="0" fontId="42" fillId="0" borderId="36" xfId="1" applyFont="1" applyBorder="1"/>
    <xf numFmtId="0" fontId="44" fillId="0" borderId="36" xfId="0" applyFont="1" applyBorder="1"/>
    <xf numFmtId="0" fontId="43" fillId="0" borderId="0" xfId="0" applyFont="1"/>
    <xf numFmtId="0" fontId="43" fillId="0" borderId="36" xfId="0" applyFont="1" applyBorder="1"/>
    <xf numFmtId="0" fontId="0" fillId="0" borderId="52" xfId="0" applyBorder="1"/>
    <xf numFmtId="0" fontId="1" fillId="8" borderId="53" xfId="0" applyFont="1" applyFill="1" applyBorder="1"/>
    <xf numFmtId="0" fontId="1" fillId="8" borderId="33" xfId="0" applyFont="1" applyFill="1" applyBorder="1"/>
    <xf numFmtId="0" fontId="1" fillId="8" borderId="39" xfId="0" applyFont="1" applyFill="1" applyBorder="1" applyAlignment="1">
      <alignment horizontal="center"/>
    </xf>
    <xf numFmtId="0" fontId="33" fillId="0" borderId="36" xfId="0" applyFont="1" applyBorder="1"/>
    <xf numFmtId="0" fontId="29" fillId="0" borderId="0" xfId="0" applyFont="1"/>
    <xf numFmtId="0" fontId="46" fillId="0" borderId="0" xfId="0" applyFont="1"/>
    <xf numFmtId="0" fontId="46" fillId="0" borderId="36" xfId="0" applyFont="1" applyBorder="1"/>
    <xf numFmtId="0" fontId="30" fillId="0" borderId="51" xfId="0" applyFont="1" applyBorder="1" applyAlignment="1">
      <alignment horizontal="center"/>
    </xf>
    <xf numFmtId="0" fontId="0" fillId="0" borderId="40" xfId="0" applyBorder="1"/>
    <xf numFmtId="0" fontId="0" fillId="0" borderId="26" xfId="0" applyBorder="1"/>
    <xf numFmtId="0" fontId="0" fillId="0" borderId="43" xfId="0" applyBorder="1"/>
    <xf numFmtId="0" fontId="1" fillId="0" borderId="49" xfId="0" applyFont="1" applyBorder="1"/>
    <xf numFmtId="0" fontId="1" fillId="0" borderId="25" xfId="0" applyFont="1" applyBorder="1"/>
    <xf numFmtId="0" fontId="1" fillId="0" borderId="50" xfId="0" applyFont="1" applyBorder="1" applyAlignment="1">
      <alignment horizontal="center"/>
    </xf>
    <xf numFmtId="14" fontId="20" fillId="3" borderId="54" xfId="0" applyNumberFormat="1" applyFont="1" applyFill="1" applyBorder="1" applyAlignment="1">
      <alignment horizontal="center" vertical="center"/>
    </xf>
    <xf numFmtId="0" fontId="14" fillId="0" borderId="52" xfId="0" applyFont="1" applyBorder="1"/>
    <xf numFmtId="0" fontId="33" fillId="9" borderId="53" xfId="0" applyFont="1" applyFill="1" applyBorder="1"/>
    <xf numFmtId="0" fontId="43" fillId="9" borderId="33" xfId="0" applyFont="1" applyFill="1" applyBorder="1"/>
    <xf numFmtId="0" fontId="0" fillId="9" borderId="33" xfId="0" applyFill="1" applyBorder="1"/>
    <xf numFmtId="0" fontId="1" fillId="9" borderId="39" xfId="0" applyFont="1" applyFill="1" applyBorder="1" applyAlignment="1">
      <alignment horizontal="center"/>
    </xf>
    <xf numFmtId="0" fontId="47" fillId="0" borderId="36" xfId="0" applyFont="1" applyBorder="1"/>
    <xf numFmtId="0" fontId="47" fillId="0" borderId="0" xfId="0" applyFont="1"/>
    <xf numFmtId="0" fontId="48" fillId="0" borderId="36" xfId="0" applyFont="1" applyBorder="1"/>
    <xf numFmtId="0" fontId="49" fillId="5" borderId="53" xfId="0" applyFont="1" applyFill="1" applyBorder="1"/>
    <xf numFmtId="0" fontId="50" fillId="5" borderId="33" xfId="0" applyFont="1" applyFill="1" applyBorder="1"/>
    <xf numFmtId="0" fontId="50" fillId="5" borderId="39" xfId="0" applyFont="1" applyFill="1" applyBorder="1"/>
    <xf numFmtId="0" fontId="29" fillId="0" borderId="25" xfId="0" applyFont="1" applyBorder="1"/>
    <xf numFmtId="0" fontId="50" fillId="0" borderId="0" xfId="0" applyFont="1"/>
    <xf numFmtId="0" fontId="50" fillId="0" borderId="44" xfId="0" applyFont="1" applyBorder="1"/>
    <xf numFmtId="0" fontId="51" fillId="0" borderId="0" xfId="0" applyFont="1"/>
    <xf numFmtId="0" fontId="53" fillId="0" borderId="0" xfId="0" applyFont="1"/>
    <xf numFmtId="0" fontId="46" fillId="0" borderId="49" xfId="0" applyFont="1" applyBorder="1"/>
    <xf numFmtId="0" fontId="43" fillId="0" borderId="25" xfId="0" applyFont="1" applyBorder="1"/>
    <xf numFmtId="0" fontId="53" fillId="0" borderId="26" xfId="0" applyFont="1" applyBorder="1"/>
    <xf numFmtId="0" fontId="53" fillId="0" borderId="25" xfId="0" applyFont="1" applyBorder="1"/>
    <xf numFmtId="0" fontId="5" fillId="3" borderId="37" xfId="0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5" fillId="3" borderId="38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vertical="center" wrapText="1"/>
    </xf>
    <xf numFmtId="0" fontId="5" fillId="3" borderId="16" xfId="0" applyFont="1" applyFill="1" applyBorder="1" applyAlignment="1">
      <alignment vertical="center" wrapText="1"/>
    </xf>
    <xf numFmtId="14" fontId="14" fillId="4" borderId="0" xfId="0" applyNumberFormat="1" applyFont="1" applyFill="1" applyAlignment="1">
      <alignment horizontal="left" vertical="center"/>
    </xf>
    <xf numFmtId="0" fontId="0" fillId="4" borderId="14" xfId="0" applyFill="1" applyBorder="1" applyAlignment="1">
      <alignment horizontal="left"/>
    </xf>
    <xf numFmtId="0" fontId="9" fillId="2" borderId="8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17" fillId="10" borderId="10" xfId="0" applyFont="1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14" fontId="14" fillId="4" borderId="34" xfId="0" applyNumberFormat="1" applyFont="1" applyFill="1" applyBorder="1" applyAlignment="1">
      <alignment horizontal="left" vertical="center"/>
    </xf>
    <xf numFmtId="0" fontId="0" fillId="4" borderId="35" xfId="0" applyFill="1" applyBorder="1" applyAlignment="1">
      <alignment horizontal="left"/>
    </xf>
    <xf numFmtId="0" fontId="5" fillId="3" borderId="55" xfId="0" applyFont="1" applyFill="1" applyBorder="1"/>
    <xf numFmtId="0" fontId="5" fillId="3" borderId="3" xfId="0" applyFont="1" applyFill="1" applyBorder="1"/>
    <xf numFmtId="0" fontId="5" fillId="3" borderId="2" xfId="0" applyFont="1" applyFill="1" applyBorder="1"/>
    <xf numFmtId="0" fontId="5" fillId="3" borderId="38" xfId="0" applyFont="1" applyFill="1" applyBorder="1"/>
    <xf numFmtId="0" fontId="5" fillId="3" borderId="9" xfId="0" applyFont="1" applyFill="1" applyBorder="1"/>
    <xf numFmtId="0" fontId="5" fillId="3" borderId="16" xfId="0" applyFont="1" applyFill="1" applyBorder="1"/>
    <xf numFmtId="0" fontId="20" fillId="3" borderId="38" xfId="0" applyFont="1" applyFill="1" applyBorder="1"/>
    <xf numFmtId="0" fontId="20" fillId="3" borderId="9" xfId="0" applyFont="1" applyFill="1" applyBorder="1"/>
    <xf numFmtId="0" fontId="20" fillId="3" borderId="16" xfId="0" applyFont="1" applyFill="1" applyBorder="1"/>
    <xf numFmtId="14" fontId="14" fillId="4" borderId="33" xfId="0" applyNumberFormat="1" applyFont="1" applyFill="1" applyBorder="1" applyAlignment="1">
      <alignment horizontal="left" vertical="center"/>
    </xf>
    <xf numFmtId="0" fontId="0" fillId="4" borderId="31" xfId="0" applyFill="1" applyBorder="1" applyAlignment="1">
      <alignment horizontal="left"/>
    </xf>
    <xf numFmtId="0" fontId="23" fillId="2" borderId="3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8" fillId="4" borderId="0" xfId="0" applyFont="1" applyFill="1" applyAlignment="1">
      <alignment horizontal="center"/>
    </xf>
    <xf numFmtId="0" fontId="29" fillId="0" borderId="14" xfId="0" applyFont="1" applyBorder="1" applyAlignment="1">
      <alignment horizontal="center"/>
    </xf>
    <xf numFmtId="0" fontId="17" fillId="2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49" fontId="28" fillId="2" borderId="17" xfId="0" applyNumberFormat="1" applyFont="1" applyFill="1" applyBorder="1" applyAlignment="1">
      <alignment horizontal="center"/>
    </xf>
    <xf numFmtId="49" fontId="21" fillId="2" borderId="25" xfId="0" applyNumberFormat="1" applyFont="1" applyFill="1" applyBorder="1" applyAlignment="1">
      <alignment horizontal="center"/>
    </xf>
    <xf numFmtId="49" fontId="21" fillId="2" borderId="18" xfId="0" applyNumberFormat="1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9" fillId="0" borderId="0" xfId="1" applyFont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2" fillId="2" borderId="8" xfId="0" applyNumberFormat="1" applyFont="1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11" fillId="2" borderId="24" xfId="0" applyFont="1" applyFill="1" applyBorder="1" applyAlignment="1">
      <alignment horizontal="left" vertical="center" wrapText="1"/>
    </xf>
    <xf numFmtId="0" fontId="11" fillId="2" borderId="26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31" fillId="2" borderId="17" xfId="0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7" fillId="2" borderId="21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7" fillId="2" borderId="40" xfId="0" applyFont="1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15" xfId="0" applyBorder="1" applyAlignment="1">
      <alignment vertical="center"/>
    </xf>
    <xf numFmtId="0" fontId="17" fillId="2" borderId="23" xfId="0" applyFon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4" fillId="5" borderId="3" xfId="0" applyFont="1" applyFill="1" applyBorder="1" applyAlignment="1" applyProtection="1">
      <alignment horizontal="left" vertical="center"/>
      <protection locked="0" hidden="1"/>
    </xf>
    <xf numFmtId="0" fontId="0" fillId="5" borderId="3" xfId="0" applyFill="1" applyBorder="1" applyAlignment="1" applyProtection="1">
      <alignment horizontal="left" vertical="center"/>
      <protection locked="0" hidden="1"/>
    </xf>
    <xf numFmtId="0" fontId="5" fillId="4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4" xfId="0" applyFill="1" applyBorder="1"/>
    <xf numFmtId="0" fontId="0" fillId="4" borderId="0" xfId="0" applyFill="1"/>
    <xf numFmtId="0" fontId="0" fillId="4" borderId="14" xfId="0" applyFill="1" applyBorder="1"/>
    <xf numFmtId="0" fontId="0" fillId="0" borderId="9" xfId="0" applyBorder="1" applyAlignment="1">
      <alignment vertical="center"/>
    </xf>
    <xf numFmtId="0" fontId="0" fillId="0" borderId="16" xfId="0" applyBorder="1" applyAlignment="1">
      <alignment vertical="center"/>
    </xf>
    <xf numFmtId="0" fontId="5" fillId="3" borderId="0" xfId="0" applyFont="1" applyFill="1"/>
    <xf numFmtId="0" fontId="5" fillId="3" borderId="14" xfId="0" applyFont="1" applyFill="1" applyBorder="1"/>
    <xf numFmtId="0" fontId="16" fillId="4" borderId="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0" fillId="4" borderId="16" xfId="0" applyFill="1" applyBorder="1"/>
    <xf numFmtId="0" fontId="5" fillId="4" borderId="0" xfId="0" applyFont="1" applyFill="1" applyAlignment="1">
      <alignment horizontal="left" vertical="center" wrapText="1"/>
    </xf>
    <xf numFmtId="0" fontId="22" fillId="4" borderId="14" xfId="0" applyFont="1" applyFill="1" applyBorder="1" applyAlignment="1">
      <alignment horizontal="left" vertical="center"/>
    </xf>
    <xf numFmtId="0" fontId="22" fillId="4" borderId="4" xfId="0" applyFont="1" applyFill="1" applyBorder="1" applyAlignment="1">
      <alignment horizontal="left" vertical="center"/>
    </xf>
    <xf numFmtId="0" fontId="22" fillId="4" borderId="0" xfId="0" applyFont="1" applyFill="1" applyAlignment="1">
      <alignment horizontal="left" vertical="center"/>
    </xf>
    <xf numFmtId="0" fontId="22" fillId="4" borderId="5" xfId="0" applyFont="1" applyFill="1" applyBorder="1" applyAlignment="1">
      <alignment horizontal="left" vertical="center"/>
    </xf>
    <xf numFmtId="0" fontId="22" fillId="4" borderId="6" xfId="0" applyFont="1" applyFill="1" applyBorder="1" applyAlignment="1">
      <alignment horizontal="left" vertical="center"/>
    </xf>
    <xf numFmtId="0" fontId="22" fillId="4" borderId="15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left"/>
    </xf>
    <xf numFmtId="0" fontId="9" fillId="4" borderId="9" xfId="0" applyFont="1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17" fillId="2" borderId="28" xfId="0" applyFont="1" applyFill="1" applyBorder="1" applyAlignment="1">
      <alignment horizontal="center" vertical="center" wrapText="1"/>
    </xf>
    <xf numFmtId="0" fontId="16" fillId="4" borderId="42" xfId="0" applyFont="1" applyFill="1" applyBorder="1" applyAlignment="1">
      <alignment horizontal="center"/>
    </xf>
    <xf numFmtId="0" fontId="29" fillId="0" borderId="41" xfId="0" applyFont="1" applyBorder="1"/>
    <xf numFmtId="49" fontId="28" fillId="2" borderId="17" xfId="0" applyNumberFormat="1" applyFont="1" applyFill="1" applyBorder="1" applyAlignment="1">
      <alignment horizontal="center" vertical="center"/>
    </xf>
    <xf numFmtId="0" fontId="29" fillId="2" borderId="18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9" xfId="0" applyBorder="1" applyAlignment="1">
      <alignment horizontal="center"/>
    </xf>
    <xf numFmtId="0" fontId="13" fillId="2" borderId="24" xfId="0" applyFont="1" applyFill="1" applyBorder="1" applyAlignment="1">
      <alignment horizontal="left" vertical="center" wrapText="1"/>
    </xf>
    <xf numFmtId="0" fontId="0" fillId="2" borderId="26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2" borderId="16" xfId="0" applyFill="1" applyBorder="1"/>
    <xf numFmtId="0" fontId="28" fillId="2" borderId="47" xfId="0" applyFont="1" applyFill="1" applyBorder="1" applyAlignment="1">
      <alignment horizontal="center" vertical="center"/>
    </xf>
    <xf numFmtId="0" fontId="21" fillId="2" borderId="46" xfId="0" applyFont="1" applyFill="1" applyBorder="1" applyAlignment="1">
      <alignment horizontal="center" vertical="center"/>
    </xf>
    <xf numFmtId="0" fontId="0" fillId="2" borderId="48" xfId="0" applyFill="1" applyBorder="1"/>
    <xf numFmtId="0" fontId="17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17" fillId="2" borderId="36" xfId="0" applyFont="1" applyFill="1" applyBorder="1" applyAlignment="1">
      <alignment horizontal="center" vertical="center" wrapText="1"/>
    </xf>
    <xf numFmtId="0" fontId="18" fillId="2" borderId="36" xfId="0" applyFont="1" applyFill="1" applyBorder="1" applyAlignment="1">
      <alignment horizontal="center" vertical="center"/>
    </xf>
    <xf numFmtId="0" fontId="0" fillId="2" borderId="36" xfId="0" applyFill="1" applyBorder="1"/>
    <xf numFmtId="0" fontId="0" fillId="2" borderId="37" xfId="0" applyFill="1" applyBorder="1"/>
    <xf numFmtId="0" fontId="17" fillId="2" borderId="23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49" fontId="28" fillId="2" borderId="25" xfId="0" applyNumberFormat="1" applyFont="1" applyFill="1" applyBorder="1" applyAlignment="1">
      <alignment horizontal="center"/>
    </xf>
    <xf numFmtId="0" fontId="17" fillId="2" borderId="39" xfId="0" applyFont="1" applyFill="1" applyBorder="1" applyAlignment="1">
      <alignment horizontal="center" vertical="center" wrapText="1"/>
    </xf>
    <xf numFmtId="0" fontId="17" fillId="2" borderId="39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 wrapText="1"/>
    </xf>
    <xf numFmtId="0" fontId="17" fillId="2" borderId="43" xfId="0" applyFont="1" applyFill="1" applyBorder="1" applyAlignment="1">
      <alignment horizontal="center" vertical="center" wrapText="1"/>
    </xf>
    <xf numFmtId="0" fontId="18" fillId="2" borderId="44" xfId="0" applyFont="1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8" fillId="2" borderId="23" xfId="0" applyFont="1" applyFill="1" applyBorder="1" applyAlignment="1">
      <alignment horizontal="center" vertical="center"/>
    </xf>
    <xf numFmtId="0" fontId="17" fillId="10" borderId="24" xfId="0" applyFont="1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7" fillId="2" borderId="53" xfId="0" applyFont="1" applyFill="1" applyBorder="1" applyAlignment="1">
      <alignment horizontal="center" vertical="center" wrapText="1"/>
    </xf>
    <xf numFmtId="0" fontId="0" fillId="2" borderId="53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35" fillId="5" borderId="40" xfId="0" applyFont="1" applyFill="1" applyBorder="1" applyAlignment="1">
      <alignment horizontal="left" vertical="center"/>
    </xf>
    <xf numFmtId="0" fontId="35" fillId="5" borderId="26" xfId="0" applyFont="1" applyFill="1" applyBorder="1" applyAlignment="1">
      <alignment horizontal="left" vertical="center"/>
    </xf>
    <xf numFmtId="0" fontId="35" fillId="5" borderId="49" xfId="0" applyFont="1" applyFill="1" applyBorder="1" applyAlignment="1">
      <alignment horizontal="left" vertical="center"/>
    </xf>
    <xf numFmtId="0" fontId="35" fillId="5" borderId="25" xfId="0" applyFont="1" applyFill="1" applyBorder="1" applyAlignment="1">
      <alignment horizontal="left" vertical="center"/>
    </xf>
    <xf numFmtId="14" fontId="35" fillId="5" borderId="40" xfId="0" applyNumberFormat="1" applyFont="1" applyFill="1" applyBorder="1" applyAlignment="1">
      <alignment horizontal="center" vertical="center"/>
    </xf>
    <xf numFmtId="0" fontId="35" fillId="5" borderId="43" xfId="0" applyFont="1" applyFill="1" applyBorder="1" applyAlignment="1">
      <alignment horizontal="center" vertical="center"/>
    </xf>
    <xf numFmtId="0" fontId="35" fillId="5" borderId="49" xfId="0" applyFont="1" applyFill="1" applyBorder="1" applyAlignment="1">
      <alignment horizontal="center" vertical="center"/>
    </xf>
    <xf numFmtId="0" fontId="35" fillId="5" borderId="50" xfId="0" applyFont="1" applyFill="1" applyBorder="1" applyAlignment="1">
      <alignment horizontal="center" vertical="center"/>
    </xf>
    <xf numFmtId="0" fontId="12" fillId="5" borderId="51" xfId="0" applyFont="1" applyFill="1" applyBorder="1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12" fillId="6" borderId="40" xfId="0" applyFont="1" applyFill="1" applyBorder="1" applyAlignment="1">
      <alignment horizontal="left" vertical="center"/>
    </xf>
    <xf numFmtId="0" fontId="0" fillId="6" borderId="26" xfId="0" applyFill="1" applyBorder="1" applyAlignment="1">
      <alignment horizontal="left" vertical="center"/>
    </xf>
    <xf numFmtId="0" fontId="0" fillId="6" borderId="49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35" fillId="6" borderId="51" xfId="0" applyFont="1" applyFill="1" applyBorder="1" applyAlignment="1">
      <alignment horizontal="center" vertical="center"/>
    </xf>
    <xf numFmtId="0" fontId="35" fillId="6" borderId="52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0" fillId="6" borderId="46" xfId="0" applyFont="1" applyFill="1" applyBorder="1" applyAlignment="1">
      <alignment horizontal="center" vertical="center"/>
    </xf>
    <xf numFmtId="0" fontId="35" fillId="6" borderId="40" xfId="0" applyFont="1" applyFill="1" applyBorder="1" applyAlignment="1">
      <alignment horizontal="center" vertical="center" textRotation="90"/>
    </xf>
    <xf numFmtId="0" fontId="37" fillId="6" borderId="36" xfId="0" applyFont="1" applyFill="1" applyBorder="1" applyAlignment="1">
      <alignment horizontal="center" vertical="center" textRotation="90"/>
    </xf>
    <xf numFmtId="0" fontId="37" fillId="6" borderId="52" xfId="0" applyFont="1" applyFill="1" applyBorder="1"/>
    <xf numFmtId="0" fontId="0" fillId="6" borderId="36" xfId="0" applyFill="1" applyBorder="1"/>
    <xf numFmtId="0" fontId="0" fillId="6" borderId="49" xfId="0" applyFill="1" applyBorder="1"/>
    <xf numFmtId="0" fontId="30" fillId="5" borderId="53" xfId="0" applyFont="1" applyFill="1" applyBorder="1"/>
    <xf numFmtId="0" fontId="30" fillId="5" borderId="33" xfId="0" applyFont="1" applyFill="1" applyBorder="1"/>
    <xf numFmtId="0" fontId="30" fillId="5" borderId="39" xfId="0" applyFont="1" applyFill="1" applyBorder="1"/>
    <xf numFmtId="0" fontId="14" fillId="0" borderId="40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4" fillId="0" borderId="43" xfId="0" applyFont="1" applyBorder="1" applyAlignment="1">
      <alignment wrapText="1"/>
    </xf>
    <xf numFmtId="0" fontId="14" fillId="0" borderId="36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44" xfId="0" applyFont="1" applyBorder="1" applyAlignment="1">
      <alignment wrapText="1"/>
    </xf>
    <xf numFmtId="0" fontId="14" fillId="0" borderId="49" xfId="0" applyFont="1" applyBorder="1" applyAlignment="1">
      <alignment wrapText="1"/>
    </xf>
    <xf numFmtId="0" fontId="0" fillId="0" borderId="25" xfId="0" applyBorder="1"/>
    <xf numFmtId="0" fontId="0" fillId="0" borderId="50" xfId="0" applyBorder="1"/>
    <xf numFmtId="0" fontId="35" fillId="5" borderId="4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9" xfId="0" applyBorder="1" applyAlignment="1">
      <alignment horizontal="center"/>
    </xf>
    <xf numFmtId="0" fontId="35" fillId="5" borderId="3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50" xfId="0" applyBorder="1" applyAlignment="1">
      <alignment horizontal="center"/>
    </xf>
    <xf numFmtId="0" fontId="39" fillId="5" borderId="40" xfId="0" applyFont="1" applyFill="1" applyBorder="1" applyAlignment="1">
      <alignment horizontal="center" vertical="center"/>
    </xf>
    <xf numFmtId="0" fontId="40" fillId="5" borderId="0" xfId="0" applyFont="1" applyFill="1" applyAlignment="1">
      <alignment horizontal="center"/>
    </xf>
    <xf numFmtId="0" fontId="40" fillId="5" borderId="44" xfId="0" applyFont="1" applyFill="1" applyBorder="1" applyAlignment="1">
      <alignment horizontal="center"/>
    </xf>
    <xf numFmtId="0" fontId="40" fillId="5" borderId="49" xfId="0" applyFont="1" applyFill="1" applyBorder="1" applyAlignment="1">
      <alignment horizontal="center"/>
    </xf>
    <xf numFmtId="0" fontId="40" fillId="5" borderId="25" xfId="0" applyFont="1" applyFill="1" applyBorder="1" applyAlignment="1">
      <alignment horizontal="center"/>
    </xf>
    <xf numFmtId="0" fontId="40" fillId="5" borderId="50" xfId="0" applyFont="1" applyFill="1" applyBorder="1" applyAlignment="1">
      <alignment horizontal="center"/>
    </xf>
    <xf numFmtId="0" fontId="12" fillId="2" borderId="40" xfId="0" applyFont="1" applyFill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35" fillId="2" borderId="51" xfId="0" applyFont="1" applyFill="1" applyBorder="1" applyAlignment="1">
      <alignment horizontal="center" vertical="center"/>
    </xf>
    <xf numFmtId="0" fontId="35" fillId="2" borderId="52" xfId="0" applyFont="1" applyFill="1" applyBorder="1" applyAlignment="1">
      <alignment horizontal="center" vertical="center"/>
    </xf>
    <xf numFmtId="0" fontId="30" fillId="2" borderId="51" xfId="0" applyFont="1" applyFill="1" applyBorder="1" applyAlignment="1">
      <alignment horizontal="center" vertical="center"/>
    </xf>
    <xf numFmtId="0" fontId="30" fillId="2" borderId="46" xfId="0" applyFont="1" applyFill="1" applyBorder="1" applyAlignment="1">
      <alignment horizontal="center" vertical="center"/>
    </xf>
    <xf numFmtId="0" fontId="35" fillId="2" borderId="40" xfId="0" applyFont="1" applyFill="1" applyBorder="1" applyAlignment="1">
      <alignment horizontal="center" vertical="center" textRotation="90"/>
    </xf>
    <xf numFmtId="0" fontId="37" fillId="2" borderId="36" xfId="0" applyFont="1" applyFill="1" applyBorder="1" applyAlignment="1">
      <alignment horizontal="center" vertical="center" textRotation="90"/>
    </xf>
    <xf numFmtId="0" fontId="37" fillId="2" borderId="52" xfId="0" applyFont="1" applyFill="1" applyBorder="1" applyAlignment="1">
      <alignment horizontal="center" vertical="center" textRotation="90"/>
    </xf>
    <xf numFmtId="0" fontId="0" fillId="0" borderId="36" xfId="0" applyBorder="1"/>
    <xf numFmtId="0" fontId="0" fillId="0" borderId="49" xfId="0" applyBorder="1"/>
    <xf numFmtId="0" fontId="30" fillId="5" borderId="40" xfId="0" applyFont="1" applyFill="1" applyBorder="1"/>
    <xf numFmtId="0" fontId="30" fillId="5" borderId="26" xfId="0" applyFont="1" applyFill="1" applyBorder="1"/>
    <xf numFmtId="0" fontId="30" fillId="5" borderId="43" xfId="0" applyFont="1" applyFill="1" applyBorder="1"/>
    <xf numFmtId="0" fontId="30" fillId="6" borderId="52" xfId="0" applyFont="1" applyFill="1" applyBorder="1" applyAlignment="1">
      <alignment horizontal="center" vertical="center"/>
    </xf>
    <xf numFmtId="0" fontId="30" fillId="5" borderId="49" xfId="0" applyFont="1" applyFill="1" applyBorder="1"/>
    <xf numFmtId="0" fontId="30" fillId="5" borderId="25" xfId="0" applyFont="1" applyFill="1" applyBorder="1"/>
    <xf numFmtId="0" fontId="30" fillId="5" borderId="50" xfId="0" applyFont="1" applyFill="1" applyBorder="1"/>
    <xf numFmtId="0" fontId="35" fillId="7" borderId="40" xfId="0" applyFont="1" applyFill="1" applyBorder="1" applyAlignment="1">
      <alignment horizontal="center" vertical="center" textRotation="90"/>
    </xf>
    <xf numFmtId="0" fontId="37" fillId="7" borderId="36" xfId="0" applyFont="1" applyFill="1" applyBorder="1" applyAlignment="1">
      <alignment horizontal="center" vertical="center" textRotation="90"/>
    </xf>
    <xf numFmtId="0" fontId="37" fillId="7" borderId="52" xfId="0" applyFont="1" applyFill="1" applyBorder="1"/>
    <xf numFmtId="0" fontId="0" fillId="7" borderId="36" xfId="0" applyFill="1" applyBorder="1"/>
    <xf numFmtId="0" fontId="0" fillId="7" borderId="49" xfId="0" applyFill="1" applyBorder="1"/>
    <xf numFmtId="0" fontId="45" fillId="2" borderId="53" xfId="1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12" fillId="7" borderId="40" xfId="0" applyFont="1" applyFill="1" applyBorder="1" applyAlignment="1">
      <alignment horizontal="left" vertical="center"/>
    </xf>
    <xf numFmtId="0" fontId="0" fillId="7" borderId="26" xfId="0" applyFill="1" applyBorder="1" applyAlignment="1">
      <alignment horizontal="left" vertical="center"/>
    </xf>
    <xf numFmtId="0" fontId="0" fillId="7" borderId="49" xfId="0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35" fillId="7" borderId="51" xfId="0" applyFont="1" applyFill="1" applyBorder="1" applyAlignment="1">
      <alignment horizontal="center" vertical="center"/>
    </xf>
    <xf numFmtId="0" fontId="35" fillId="7" borderId="52" xfId="0" applyFont="1" applyFill="1" applyBorder="1" applyAlignment="1">
      <alignment horizontal="center" vertical="center"/>
    </xf>
    <xf numFmtId="0" fontId="30" fillId="7" borderId="51" xfId="0" applyFont="1" applyFill="1" applyBorder="1" applyAlignment="1">
      <alignment horizontal="center" vertical="center"/>
    </xf>
    <xf numFmtId="0" fontId="30" fillId="7" borderId="52" xfId="0" applyFont="1" applyFill="1" applyBorder="1" applyAlignment="1">
      <alignment horizontal="center" vertical="center"/>
    </xf>
    <xf numFmtId="0" fontId="35" fillId="7" borderId="36" xfId="0" applyFont="1" applyFill="1" applyBorder="1" applyAlignment="1">
      <alignment horizontal="center" vertical="center" textRotation="90"/>
    </xf>
    <xf numFmtId="0" fontId="30" fillId="5" borderId="36" xfId="0" applyFont="1" applyFill="1" applyBorder="1"/>
    <xf numFmtId="0" fontId="30" fillId="5" borderId="0" xfId="0" applyFont="1" applyFill="1"/>
    <xf numFmtId="0" fontId="30" fillId="5" borderId="44" xfId="0" applyFont="1" applyFill="1" applyBorder="1"/>
    <xf numFmtId="0" fontId="35" fillId="2" borderId="51" xfId="0" applyFont="1" applyFill="1" applyBorder="1" applyAlignment="1">
      <alignment horizontal="center" vertical="center" textRotation="90"/>
    </xf>
    <xf numFmtId="0" fontId="0" fillId="0" borderId="52" xfId="0" applyBorder="1"/>
    <xf numFmtId="0" fontId="0" fillId="0" borderId="46" xfId="0" applyBorder="1"/>
    <xf numFmtId="0" fontId="0" fillId="0" borderId="0" xfId="0" applyAlignment="1">
      <alignment wrapText="1"/>
    </xf>
    <xf numFmtId="0" fontId="0" fillId="0" borderId="4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50" xfId="0" applyBorder="1" applyAlignment="1">
      <alignment wrapText="1"/>
    </xf>
    <xf numFmtId="0" fontId="37" fillId="6" borderId="36" xfId="0" applyFont="1" applyFill="1" applyBorder="1"/>
    <xf numFmtId="0" fontId="0" fillId="0" borderId="26" xfId="0" applyBorder="1" applyAlignment="1">
      <alignment wrapText="1"/>
    </xf>
    <xf numFmtId="0" fontId="0" fillId="0" borderId="43" xfId="0" applyBorder="1" applyAlignment="1">
      <alignment wrapText="1"/>
    </xf>
    <xf numFmtId="0" fontId="35" fillId="10" borderId="40" xfId="0" applyFont="1" applyFill="1" applyBorder="1" applyAlignment="1">
      <alignment horizontal="center" vertical="center" textRotation="90"/>
    </xf>
    <xf numFmtId="0" fontId="37" fillId="10" borderId="36" xfId="0" applyFont="1" applyFill="1" applyBorder="1" applyAlignment="1">
      <alignment horizontal="center" vertical="center" textRotation="90"/>
    </xf>
    <xf numFmtId="0" fontId="37" fillId="10" borderId="36" xfId="0" applyFont="1" applyFill="1" applyBorder="1"/>
    <xf numFmtId="0" fontId="0" fillId="10" borderId="36" xfId="0" applyFill="1" applyBorder="1"/>
    <xf numFmtId="0" fontId="0" fillId="10" borderId="49" xfId="0" applyFill="1" applyBorder="1"/>
    <xf numFmtId="0" fontId="12" fillId="10" borderId="40" xfId="0" applyFont="1" applyFill="1" applyBorder="1" applyAlignment="1">
      <alignment horizontal="left" vertical="center"/>
    </xf>
    <xf numFmtId="0" fontId="0" fillId="10" borderId="26" xfId="0" applyFill="1" applyBorder="1" applyAlignment="1">
      <alignment horizontal="left" vertical="center"/>
    </xf>
    <xf numFmtId="0" fontId="0" fillId="10" borderId="49" xfId="0" applyFill="1" applyBorder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35" fillId="10" borderId="51" xfId="0" applyFont="1" applyFill="1" applyBorder="1" applyAlignment="1">
      <alignment horizontal="center" vertical="center"/>
    </xf>
    <xf numFmtId="0" fontId="35" fillId="10" borderId="52" xfId="0" applyFont="1" applyFill="1" applyBorder="1" applyAlignment="1">
      <alignment horizontal="center" vertical="center"/>
    </xf>
    <xf numFmtId="0" fontId="30" fillId="10" borderId="51" xfId="0" applyFont="1" applyFill="1" applyBorder="1" applyAlignment="1">
      <alignment horizontal="center" vertical="center"/>
    </xf>
    <xf numFmtId="0" fontId="30" fillId="10" borderId="46" xfId="0" applyFont="1" applyFill="1" applyBorder="1" applyAlignment="1">
      <alignment horizontal="center" vertical="center"/>
    </xf>
    <xf numFmtId="0" fontId="35" fillId="3" borderId="40" xfId="0" applyFont="1" applyFill="1" applyBorder="1" applyAlignment="1">
      <alignment horizontal="center" vertical="center" textRotation="90"/>
    </xf>
    <xf numFmtId="0" fontId="37" fillId="3" borderId="36" xfId="0" applyFont="1" applyFill="1" applyBorder="1" applyAlignment="1">
      <alignment horizontal="center" vertical="center" textRotation="90"/>
    </xf>
    <xf numFmtId="0" fontId="37" fillId="3" borderId="36" xfId="0" applyFont="1" applyFill="1" applyBorder="1"/>
    <xf numFmtId="0" fontId="0" fillId="3" borderId="36" xfId="0" applyFill="1" applyBorder="1"/>
    <xf numFmtId="0" fontId="0" fillId="3" borderId="49" xfId="0" applyFill="1" applyBorder="1"/>
    <xf numFmtId="0" fontId="52" fillId="3" borderId="40" xfId="0" applyFont="1" applyFill="1" applyBorder="1" applyAlignment="1">
      <alignment horizontal="left" vertical="center"/>
    </xf>
    <xf numFmtId="0" fontId="29" fillId="3" borderId="26" xfId="0" applyFont="1" applyFill="1" applyBorder="1" applyAlignment="1">
      <alignment horizontal="left" vertical="center"/>
    </xf>
    <xf numFmtId="0" fontId="29" fillId="3" borderId="49" xfId="0" applyFont="1" applyFill="1" applyBorder="1" applyAlignment="1">
      <alignment horizontal="left" vertical="center"/>
    </xf>
    <xf numFmtId="0" fontId="29" fillId="3" borderId="0" xfId="0" applyFont="1" applyFill="1" applyAlignment="1">
      <alignment horizontal="left" vertical="center"/>
    </xf>
    <xf numFmtId="0" fontId="52" fillId="3" borderId="40" xfId="0" applyFont="1" applyFill="1" applyBorder="1" applyAlignment="1">
      <alignment horizontal="center" vertical="center"/>
    </xf>
    <xf numFmtId="0" fontId="29" fillId="3" borderId="36" xfId="0" applyFont="1" applyFill="1" applyBorder="1" applyAlignment="1">
      <alignment horizontal="center" vertical="center"/>
    </xf>
    <xf numFmtId="0" fontId="33" fillId="3" borderId="51" xfId="0" applyFont="1" applyFill="1" applyBorder="1" applyAlignment="1">
      <alignment horizontal="center" vertical="center"/>
    </xf>
    <xf numFmtId="0" fontId="33" fillId="3" borderId="46" xfId="0" applyFont="1" applyFill="1" applyBorder="1" applyAlignment="1">
      <alignment horizontal="center" vertical="center"/>
    </xf>
    <xf numFmtId="0" fontId="33" fillId="2" borderId="51" xfId="0" applyFont="1" applyFill="1" applyBorder="1" applyAlignment="1">
      <alignment horizontal="center" vertical="center"/>
    </xf>
    <xf numFmtId="0" fontId="33" fillId="2" borderId="46" xfId="0" applyFont="1" applyFill="1" applyBorder="1" applyAlignment="1">
      <alignment horizontal="center" vertical="center"/>
    </xf>
    <xf numFmtId="0" fontId="30" fillId="11" borderId="53" xfId="0" applyFont="1" applyFill="1" applyBorder="1" applyAlignment="1">
      <alignment horizontal="center"/>
    </xf>
    <xf numFmtId="0" fontId="0" fillId="11" borderId="33" xfId="0" applyFill="1" applyBorder="1" applyAlignment="1">
      <alignment horizontal="center"/>
    </xf>
    <xf numFmtId="0" fontId="0" fillId="11" borderId="39" xfId="0" applyFill="1" applyBorder="1" applyAlignment="1">
      <alignment horizontal="center"/>
    </xf>
    <xf numFmtId="0" fontId="37" fillId="2" borderId="36" xfId="0" applyFont="1" applyFill="1" applyBorder="1"/>
    <xf numFmtId="0" fontId="0" fillId="0" borderId="40" xfId="0" applyBorder="1" applyAlignment="1">
      <alignment horizontal="left" vertical="top" wrapText="1"/>
    </xf>
    <xf numFmtId="0" fontId="0" fillId="0" borderId="26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49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50" xfId="0" applyBorder="1" applyAlignment="1">
      <alignment horizontal="left" vertical="top"/>
    </xf>
    <xf numFmtId="0" fontId="6" fillId="5" borderId="40" xfId="0" applyFont="1" applyFill="1" applyBorder="1" applyAlignment="1">
      <alignment horizontal="left" vertical="center"/>
    </xf>
    <xf numFmtId="0" fontId="6" fillId="5" borderId="49" xfId="0" applyFont="1" applyFill="1" applyBorder="1" applyAlignment="1">
      <alignment horizontal="left" vertical="center"/>
    </xf>
    <xf numFmtId="14" fontId="2" fillId="0" borderId="51" xfId="0" applyNumberFormat="1" applyFont="1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52" xfId="0" applyBorder="1" applyAlignment="1">
      <alignment horizontal="left"/>
    </xf>
    <xf numFmtId="0" fontId="35" fillId="2" borderId="40" xfId="0" applyFont="1" applyFill="1" applyBorder="1" applyAlignment="1">
      <alignment horizontal="left" vertical="center"/>
    </xf>
    <xf numFmtId="0" fontId="35" fillId="2" borderId="26" xfId="0" applyFont="1" applyFill="1" applyBorder="1" applyAlignment="1">
      <alignment horizontal="left" vertical="center"/>
    </xf>
    <xf numFmtId="0" fontId="0" fillId="2" borderId="26" xfId="0" applyFill="1" applyBorder="1" applyAlignment="1">
      <alignment vertical="center"/>
    </xf>
    <xf numFmtId="0" fontId="0" fillId="2" borderId="43" xfId="0" applyFill="1" applyBorder="1" applyAlignment="1">
      <alignment vertical="center"/>
    </xf>
    <xf numFmtId="0" fontId="35" fillId="2" borderId="49" xfId="0" applyFont="1" applyFill="1" applyBorder="1" applyAlignment="1">
      <alignment horizontal="left" vertical="center"/>
    </xf>
    <xf numFmtId="0" fontId="35" fillId="2" borderId="25" xfId="0" applyFont="1" applyFill="1" applyBorder="1" applyAlignment="1">
      <alignment horizontal="left" vertical="center"/>
    </xf>
    <xf numFmtId="0" fontId="0" fillId="2" borderId="25" xfId="0" applyFill="1" applyBorder="1" applyAlignment="1">
      <alignment vertical="center"/>
    </xf>
    <xf numFmtId="0" fontId="0" fillId="2" borderId="50" xfId="0" applyFill="1" applyBorder="1" applyAlignment="1">
      <alignment vertical="center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colors>
    <mruColors>
      <color rgb="FF0099FF"/>
      <color rgb="FFEAEAEA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anitaerlernen.ch/0_Datenbank/1_Auftraege/7.Semester/7.4_Auftrag.pdf" TargetMode="External"/><Relationship Id="rId13" Type="http://schemas.openxmlformats.org/officeDocument/2006/relationships/hyperlink" Target="https://sanitaerlernen.ch/0_Datenbank/1_Auftraege/7.Semester/7.9_Auftrag.pdf" TargetMode="External"/><Relationship Id="rId3" Type="http://schemas.openxmlformats.org/officeDocument/2006/relationships/hyperlink" Target="https://sanitaerlernen.ch/0_Datenbank/1_Auftraege/7.Semester/7.5_Auftrag.pdf" TargetMode="External"/><Relationship Id="rId7" Type="http://schemas.openxmlformats.org/officeDocument/2006/relationships/hyperlink" Target="https://sanitaerlernen.ch/0_Datenbank/1_Auftraege/7.Semester/7.3_Auftrag.pdf" TargetMode="External"/><Relationship Id="rId12" Type="http://schemas.openxmlformats.org/officeDocument/2006/relationships/hyperlink" Target="https://sanitaerlernen.ch/0_Datenbank/1_Auftraege/7.Semester/7.8_Auftrag.pdf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sanitaerlernen.ch/0_Datenbank/1_Auftraege/7.Semester/7.6_Auftrag.pdf" TargetMode="External"/><Relationship Id="rId6" Type="http://schemas.openxmlformats.org/officeDocument/2006/relationships/hyperlink" Target="https://sanitaerlernen.ch/0_Datenbank/1_Auftraege/7.Semester/7.7_Auftrag.pdf" TargetMode="External"/><Relationship Id="rId11" Type="http://schemas.openxmlformats.org/officeDocument/2006/relationships/image" Target="../media/image2.png"/><Relationship Id="rId5" Type="http://schemas.openxmlformats.org/officeDocument/2006/relationships/hyperlink" Target="https://sanitaerlernen.ch/0_Datenbank/1_Auftraege/7.Semester/7.2_Auftrag.pdf" TargetMode="External"/><Relationship Id="rId10" Type="http://schemas.openxmlformats.org/officeDocument/2006/relationships/hyperlink" Target="https://bldsg-my.sharepoint.com/:b:/g/personal/marcel_item_gbssg_ch/EeI8h_hmAbNAnWBmMTg_5ecBx7F7yersGpb4scKv6tDy_g?e=xOfH69" TargetMode="External"/><Relationship Id="rId4" Type="http://schemas.openxmlformats.org/officeDocument/2006/relationships/hyperlink" Target="https://sanitaerlernen.ch/0_Datenbank/1_Auftraege/7.Semester/7.1_Auftrag.pdf" TargetMode="External"/><Relationship Id="rId9" Type="http://schemas.openxmlformats.org/officeDocument/2006/relationships/hyperlink" Target="https://sanitaerlernen.ch/0_Datenbank/1_Auftraege/7.Semester/7.11_Auftrag.pdf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sanitaerlernen.ch/0_Datenbank/6_Lernziele/7.Semester/7.3_Lernziele.pdf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sanitaerlernen.ch/0_Datenbank/6_Lernziele/7.Semester/7.1.1_Lernziele.pdf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sanitaerlernen.ch/0_Datenbank/6_Lernziele/7.Semester/7.6_Lernziele.pdf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sanitaerlernen.ch/0_Datenbank/6_Lernziele/7.Semester/7.1.2_Lernziele.pdf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sanitaerlernen.ch/0_Datenbank/6_Lernziele/7.Semester/7.2_Lernziele.pd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357189</xdr:colOff>
      <xdr:row>39</xdr:row>
      <xdr:rowOff>19050</xdr:rowOff>
    </xdr:from>
    <xdr:ext cx="4243386" cy="333375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60672BFD-779D-4B8A-9548-A3431AEC7D44}"/>
            </a:ext>
          </a:extLst>
        </xdr:cNvPr>
        <xdr:cNvSpPr txBox="1"/>
      </xdr:nvSpPr>
      <xdr:spPr>
        <a:xfrm>
          <a:off x="10672764" y="9401175"/>
          <a:ext cx="4243386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700" b="1">
              <a:latin typeface="Century Gothic" panose="020B0502020202020204" pitchFamily="34" charset="0"/>
            </a:rPr>
            <a:t>Kanton St.Gallen</a:t>
          </a:r>
          <a:r>
            <a:rPr lang="de-CH" sz="700" b="1" baseline="0">
              <a:latin typeface="Century Gothic" panose="020B0502020202020204" pitchFamily="34" charset="0"/>
            </a:rPr>
            <a:t> </a:t>
          </a:r>
          <a:r>
            <a:rPr lang="de-CH" sz="700" b="1">
              <a:latin typeface="Century Gothic" panose="020B0502020202020204" pitchFamily="34" charset="0"/>
            </a:rPr>
            <a:t>Gewerbliches Berufs- und Weiterbildungszentrum</a:t>
          </a:r>
        </a:p>
      </xdr:txBody>
    </xdr:sp>
    <xdr:clientData/>
  </xdr:oneCellAnchor>
  <xdr:oneCellAnchor>
    <xdr:from>
      <xdr:col>7</xdr:col>
      <xdr:colOff>19051</xdr:colOff>
      <xdr:row>22</xdr:row>
      <xdr:rowOff>47626</xdr:rowOff>
    </xdr:from>
    <xdr:ext cx="323850" cy="328612"/>
    <xdr:pic>
      <xdr:nvPicPr>
        <xdr:cNvPr id="17" name="Grafik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CD269D-D533-4179-82D7-0DA601600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3264" y="776289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22</xdr:row>
      <xdr:rowOff>57151</xdr:rowOff>
    </xdr:from>
    <xdr:ext cx="323850" cy="328612"/>
    <xdr:pic>
      <xdr:nvPicPr>
        <xdr:cNvPr id="20" name="Grafik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120AD2-CBA3-4795-AF83-6B8DF6BCF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3052764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4</xdr:row>
      <xdr:rowOff>66676</xdr:rowOff>
    </xdr:from>
    <xdr:ext cx="323850" cy="328612"/>
    <xdr:pic>
      <xdr:nvPicPr>
        <xdr:cNvPr id="28" name="Grafik 2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9297BA3-96DE-4609-8914-D9AD845F1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526" y="795339"/>
          <a:ext cx="323850" cy="328612"/>
        </a:xfrm>
        <a:prstGeom prst="rect">
          <a:avLst/>
        </a:prstGeom>
      </xdr:spPr>
    </xdr:pic>
    <xdr:clientData/>
  </xdr:oneCellAnchor>
  <xdr:oneCellAnchor>
    <xdr:from>
      <xdr:col>6</xdr:col>
      <xdr:colOff>19051</xdr:colOff>
      <xdr:row>4</xdr:row>
      <xdr:rowOff>66676</xdr:rowOff>
    </xdr:from>
    <xdr:ext cx="323850" cy="328612"/>
    <xdr:pic>
      <xdr:nvPicPr>
        <xdr:cNvPr id="31" name="Grafik 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3A8BD45-71C5-4FBD-92B3-E92E3353F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795339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31</xdr:row>
      <xdr:rowOff>66676</xdr:rowOff>
    </xdr:from>
    <xdr:ext cx="323850" cy="323850"/>
    <xdr:pic>
      <xdr:nvPicPr>
        <xdr:cNvPr id="13" name="Grafik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0C7895B-1A2B-4B93-876B-4AB931844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9901" y="5486401"/>
          <a:ext cx="323850" cy="323850"/>
        </a:xfrm>
        <a:prstGeom prst="rect">
          <a:avLst/>
        </a:prstGeom>
      </xdr:spPr>
    </xdr:pic>
    <xdr:clientData/>
  </xdr:oneCellAnchor>
  <xdr:oneCellAnchor>
    <xdr:from>
      <xdr:col>4</xdr:col>
      <xdr:colOff>28576</xdr:colOff>
      <xdr:row>13</xdr:row>
      <xdr:rowOff>57151</xdr:rowOff>
    </xdr:from>
    <xdr:ext cx="323850" cy="323850"/>
    <xdr:pic>
      <xdr:nvPicPr>
        <xdr:cNvPr id="12" name="Grafik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961BA5D-B084-4092-9F2F-4ED417DD2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6" y="3000376"/>
          <a:ext cx="323850" cy="323850"/>
        </a:xfrm>
        <a:prstGeom prst="rect">
          <a:avLst/>
        </a:prstGeom>
      </xdr:spPr>
    </xdr:pic>
    <xdr:clientData/>
  </xdr:oneCellAnchor>
  <xdr:oneCellAnchor>
    <xdr:from>
      <xdr:col>6</xdr:col>
      <xdr:colOff>28576</xdr:colOff>
      <xdr:row>13</xdr:row>
      <xdr:rowOff>57151</xdr:rowOff>
    </xdr:from>
    <xdr:ext cx="323850" cy="323850"/>
    <xdr:pic>
      <xdr:nvPicPr>
        <xdr:cNvPr id="9" name="Grafik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B4EAEBA-D1BC-4D2B-B1EF-DF0CC0318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3351" y="3000376"/>
          <a:ext cx="323850" cy="323850"/>
        </a:xfrm>
        <a:prstGeom prst="rect">
          <a:avLst/>
        </a:prstGeom>
      </xdr:spPr>
    </xdr:pic>
    <xdr:clientData/>
  </xdr:oneCellAnchor>
  <xdr:oneCellAnchor>
    <xdr:from>
      <xdr:col>9</xdr:col>
      <xdr:colOff>19051</xdr:colOff>
      <xdr:row>31</xdr:row>
      <xdr:rowOff>57151</xdr:rowOff>
    </xdr:from>
    <xdr:ext cx="323850" cy="328612"/>
    <xdr:pic>
      <xdr:nvPicPr>
        <xdr:cNvPr id="3" name="Grafik 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0B5526D-9934-4754-B877-9F3B3477C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5476" y="7458076"/>
          <a:ext cx="323850" cy="328612"/>
        </a:xfrm>
        <a:prstGeom prst="rect">
          <a:avLst/>
        </a:prstGeom>
      </xdr:spPr>
    </xdr:pic>
    <xdr:clientData/>
  </xdr:oneCellAnchor>
  <xdr:twoCellAnchor editAs="oneCell">
    <xdr:from>
      <xdr:col>20</xdr:col>
      <xdr:colOff>628650</xdr:colOff>
      <xdr:row>4</xdr:row>
      <xdr:rowOff>57150</xdr:rowOff>
    </xdr:from>
    <xdr:to>
      <xdr:col>20</xdr:col>
      <xdr:colOff>957262</xdr:colOff>
      <xdr:row>5</xdr:row>
      <xdr:rowOff>133350</xdr:rowOff>
    </xdr:to>
    <xdr:pic>
      <xdr:nvPicPr>
        <xdr:cNvPr id="2" name="Grafik 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E3EB21F-9A6E-49C4-9E9F-666D2141F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7375" y="771525"/>
          <a:ext cx="328612" cy="323850"/>
        </a:xfrm>
        <a:prstGeom prst="rect">
          <a:avLst/>
        </a:prstGeom>
      </xdr:spPr>
    </xdr:pic>
    <xdr:clientData/>
  </xdr:twoCellAnchor>
  <xdr:oneCellAnchor>
    <xdr:from>
      <xdr:col>9</xdr:col>
      <xdr:colOff>19051</xdr:colOff>
      <xdr:row>22</xdr:row>
      <xdr:rowOff>47626</xdr:rowOff>
    </xdr:from>
    <xdr:ext cx="323850" cy="328612"/>
    <xdr:pic>
      <xdr:nvPicPr>
        <xdr:cNvPr id="4" name="Grafik 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9B79029-78D4-46A4-B48B-0EB41456A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651" y="5219701"/>
          <a:ext cx="323850" cy="328612"/>
        </a:xfrm>
        <a:prstGeom prst="rect">
          <a:avLst/>
        </a:prstGeom>
      </xdr:spPr>
    </xdr:pic>
    <xdr:clientData/>
  </xdr:oneCellAnchor>
  <xdr:oneCellAnchor>
    <xdr:from>
      <xdr:col>7</xdr:col>
      <xdr:colOff>19051</xdr:colOff>
      <xdr:row>31</xdr:row>
      <xdr:rowOff>47626</xdr:rowOff>
    </xdr:from>
    <xdr:ext cx="323850" cy="328612"/>
    <xdr:pic>
      <xdr:nvPicPr>
        <xdr:cNvPr id="5" name="Grafik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76A0460-38FE-400E-9369-A9799132E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1" y="5219701"/>
          <a:ext cx="323850" cy="3286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14</xdr:row>
      <xdr:rowOff>28575</xdr:rowOff>
    </xdr:from>
    <xdr:to>
      <xdr:col>6</xdr:col>
      <xdr:colOff>728243</xdr:colOff>
      <xdr:row>15</xdr:row>
      <xdr:rowOff>139526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225C65-486E-440E-BB1D-3083982D2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81225"/>
          <a:ext cx="328193" cy="3205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30</xdr:row>
      <xdr:rowOff>28575</xdr:rowOff>
    </xdr:from>
    <xdr:to>
      <xdr:col>6</xdr:col>
      <xdr:colOff>728243</xdr:colOff>
      <xdr:row>31</xdr:row>
      <xdr:rowOff>149051</xdr:rowOff>
    </xdr:to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1C4FDD-378D-4E76-B842-9C8ADC387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5781675"/>
          <a:ext cx="328193" cy="3205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407670</xdr:colOff>
      <xdr:row>14</xdr:row>
      <xdr:rowOff>28575</xdr:rowOff>
    </xdr:from>
    <xdr:to>
      <xdr:col>6</xdr:col>
      <xdr:colOff>735863</xdr:colOff>
      <xdr:row>15</xdr:row>
      <xdr:rowOff>158576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176BA1-9068-4497-8C35-BEF331D65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3130" y="2611755"/>
          <a:ext cx="328193" cy="3128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30</xdr:row>
      <xdr:rowOff>28575</xdr:rowOff>
    </xdr:from>
    <xdr:to>
      <xdr:col>6</xdr:col>
      <xdr:colOff>728243</xdr:colOff>
      <xdr:row>31</xdr:row>
      <xdr:rowOff>149051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8B88B0-6AC3-464C-A884-080518740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771775"/>
          <a:ext cx="328193" cy="3205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30</xdr:row>
      <xdr:rowOff>28575</xdr:rowOff>
    </xdr:from>
    <xdr:to>
      <xdr:col>6</xdr:col>
      <xdr:colOff>728243</xdr:colOff>
      <xdr:row>31</xdr:row>
      <xdr:rowOff>149051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16B4BD-4AEA-4310-941C-D42F9D6AF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5991225"/>
          <a:ext cx="328193" cy="320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topin.suissetec.ch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../../../../../../../:x:/g/personal/marcel_item_gbssg_ch/ERHuKaEP1lJPq2DMiti4gQwBLpTfPNku9anEmcN9zbF1lQ?e=i4UI7P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U42"/>
  <sheetViews>
    <sheetView showWhiteSpace="0" zoomScaleNormal="100" workbookViewId="0">
      <selection activeCell="N18" sqref="N18:O18"/>
    </sheetView>
  </sheetViews>
  <sheetFormatPr baseColWidth="10" defaultColWidth="11.42578125" defaultRowHeight="15" customHeight="1" x14ac:dyDescent="0.3"/>
  <cols>
    <col min="1" max="1" width="3.28515625" style="1" customWidth="1"/>
    <col min="2" max="2" width="8.28515625" style="1" customWidth="1"/>
    <col min="3" max="3" width="9.85546875" style="1" customWidth="1"/>
    <col min="4" max="4" width="10.7109375" style="1" customWidth="1"/>
    <col min="5" max="11" width="13.28515625" style="1" customWidth="1"/>
    <col min="12" max="12" width="3.28515625" style="1" customWidth="1"/>
    <col min="13" max="13" width="13.28515625" style="1" customWidth="1"/>
    <col min="14" max="15" width="4.85546875" style="1" customWidth="1"/>
    <col min="16" max="16" width="3.28515625" style="1" customWidth="1"/>
    <col min="17" max="17" width="10.28515625" style="12" customWidth="1"/>
    <col min="18" max="20" width="8.28515625" style="1" customWidth="1"/>
    <col min="21" max="21" width="15" style="1" customWidth="1"/>
    <col min="22" max="16384" width="11.42578125" style="1"/>
  </cols>
  <sheetData>
    <row r="1" spans="1:21" ht="28.35" customHeight="1" thickBot="1" x14ac:dyDescent="0.35">
      <c r="B1" s="39" t="s">
        <v>26</v>
      </c>
      <c r="C1" s="40"/>
      <c r="D1" s="40"/>
      <c r="E1" s="40"/>
      <c r="F1" s="40"/>
      <c r="G1" s="40"/>
      <c r="H1" s="40"/>
      <c r="I1" s="41" t="s">
        <v>0</v>
      </c>
      <c r="J1" s="42">
        <v>45152</v>
      </c>
      <c r="K1" s="41" t="s">
        <v>1</v>
      </c>
      <c r="L1" s="43" t="s">
        <v>78</v>
      </c>
      <c r="M1" s="43"/>
      <c r="N1" s="43"/>
      <c r="O1" s="44"/>
      <c r="P1" s="40"/>
      <c r="Q1" s="207"/>
      <c r="R1" s="208"/>
      <c r="S1" s="208"/>
      <c r="T1" s="208"/>
      <c r="U1" s="45"/>
    </row>
    <row r="2" spans="1:21" ht="5.0999999999999996" customHeight="1" thickBot="1" x14ac:dyDescent="0.35">
      <c r="C2" s="5"/>
      <c r="D2"/>
      <c r="E2"/>
      <c r="F2"/>
      <c r="G2"/>
      <c r="H2" s="11"/>
      <c r="I2" s="11"/>
      <c r="J2" s="11"/>
      <c r="K2" s="11"/>
    </row>
    <row r="3" spans="1:21" ht="19.5" customHeight="1" thickBot="1" x14ac:dyDescent="0.35">
      <c r="B3" s="178" t="s">
        <v>18</v>
      </c>
      <c r="C3" s="179"/>
      <c r="D3" s="179"/>
      <c r="E3" s="179"/>
      <c r="F3" s="179"/>
      <c r="G3" s="179"/>
      <c r="H3" s="156"/>
      <c r="I3" s="156"/>
      <c r="J3" s="156"/>
      <c r="K3" s="157"/>
      <c r="L3" s="9"/>
      <c r="M3" s="27" t="s">
        <v>12</v>
      </c>
      <c r="N3" s="28"/>
      <c r="O3" s="29"/>
      <c r="P3" s="9"/>
      <c r="Q3" s="22" t="s">
        <v>65</v>
      </c>
      <c r="R3" s="23"/>
      <c r="S3" s="24"/>
      <c r="T3" s="24"/>
      <c r="U3" s="25"/>
    </row>
    <row r="4" spans="1:21" ht="5.0999999999999996" customHeight="1" thickBot="1" x14ac:dyDescent="0.35">
      <c r="C4" s="2"/>
      <c r="D4" s="2"/>
      <c r="E4" s="2"/>
      <c r="F4" s="2"/>
      <c r="G4" s="2"/>
      <c r="H4" s="2"/>
      <c r="I4" s="2"/>
      <c r="J4" s="2"/>
      <c r="K4" s="2"/>
      <c r="Q4" s="15"/>
      <c r="R4" s="8"/>
      <c r="S4" s="8"/>
      <c r="T4" s="7"/>
    </row>
    <row r="5" spans="1:21" ht="20.100000000000001" customHeight="1" x14ac:dyDescent="0.3">
      <c r="B5" s="183" t="s">
        <v>2</v>
      </c>
      <c r="C5" s="184"/>
      <c r="D5" s="184"/>
      <c r="E5" s="168" t="s">
        <v>28</v>
      </c>
      <c r="F5" s="170"/>
      <c r="G5" s="169" t="s">
        <v>35</v>
      </c>
      <c r="H5" s="169"/>
      <c r="I5" s="170"/>
      <c r="M5" s="228" t="s">
        <v>19</v>
      </c>
      <c r="N5" s="229"/>
      <c r="O5" s="230"/>
      <c r="Q5" s="26">
        <f>J1+2</f>
        <v>45154</v>
      </c>
      <c r="R5" s="131" t="s">
        <v>76</v>
      </c>
      <c r="S5" s="224"/>
      <c r="T5" s="224"/>
      <c r="U5" s="225"/>
    </row>
    <row r="6" spans="1:21" ht="20.100000000000001" customHeight="1" thickBot="1" x14ac:dyDescent="0.35">
      <c r="B6" s="185"/>
      <c r="C6" s="186"/>
      <c r="D6" s="186"/>
      <c r="E6" s="244" t="s">
        <v>29</v>
      </c>
      <c r="F6" s="245"/>
      <c r="G6" s="276" t="s">
        <v>34</v>
      </c>
      <c r="H6" s="172"/>
      <c r="I6" s="173"/>
      <c r="M6" s="216" t="s">
        <v>13</v>
      </c>
      <c r="N6" s="217"/>
      <c r="O6" s="218"/>
      <c r="Q6" s="53" t="s">
        <v>70</v>
      </c>
      <c r="R6" s="128" t="s">
        <v>68</v>
      </c>
      <c r="S6" s="203"/>
      <c r="T6" s="203"/>
      <c r="U6" s="204"/>
    </row>
    <row r="7" spans="1:21" ht="20.100000000000001" customHeight="1" x14ac:dyDescent="0.3">
      <c r="B7" s="187" t="s">
        <v>3</v>
      </c>
      <c r="C7" s="188"/>
      <c r="D7" s="188"/>
      <c r="E7" s="205" t="s">
        <v>30</v>
      </c>
      <c r="F7" s="174" t="s">
        <v>33</v>
      </c>
      <c r="G7" s="284" t="s">
        <v>38</v>
      </c>
      <c r="H7" s="277" t="s">
        <v>36</v>
      </c>
      <c r="I7" s="281" t="s">
        <v>37</v>
      </c>
      <c r="L7" s="10"/>
      <c r="M7" s="219"/>
      <c r="N7" s="220"/>
      <c r="O7" s="218"/>
      <c r="Q7" s="26">
        <f>Q5+7</f>
        <v>45161</v>
      </c>
      <c r="R7" s="131" t="s">
        <v>76</v>
      </c>
      <c r="S7" s="224"/>
      <c r="T7" s="224"/>
      <c r="U7" s="225"/>
    </row>
    <row r="8" spans="1:21" ht="20.100000000000001" customHeight="1" thickBot="1" x14ac:dyDescent="0.35">
      <c r="B8" s="189"/>
      <c r="C8" s="190"/>
      <c r="D8" s="190"/>
      <c r="E8" s="273"/>
      <c r="F8" s="275"/>
      <c r="G8" s="285"/>
      <c r="H8" s="278"/>
      <c r="I8" s="282"/>
      <c r="L8" s="10"/>
      <c r="M8" s="219"/>
      <c r="N8" s="220"/>
      <c r="O8" s="218"/>
      <c r="Q8" s="53" t="s">
        <v>70</v>
      </c>
      <c r="R8" s="128" t="s">
        <v>68</v>
      </c>
      <c r="S8" s="203"/>
      <c r="T8" s="203"/>
      <c r="U8" s="204"/>
    </row>
    <row r="9" spans="1:21" ht="20.100000000000001" customHeight="1" x14ac:dyDescent="0.3">
      <c r="B9" s="189"/>
      <c r="C9" s="190"/>
      <c r="D9" s="190"/>
      <c r="E9" s="273"/>
      <c r="F9" s="275"/>
      <c r="G9" s="285"/>
      <c r="H9" s="278"/>
      <c r="I9" s="282"/>
      <c r="L9" s="10"/>
      <c r="M9" s="221"/>
      <c r="N9" s="222"/>
      <c r="O9" s="223"/>
      <c r="Q9" s="26">
        <f>Q7+7</f>
        <v>45168</v>
      </c>
      <c r="R9" s="131" t="s">
        <v>76</v>
      </c>
      <c r="S9" s="224"/>
      <c r="T9" s="224"/>
      <c r="U9" s="225"/>
    </row>
    <row r="10" spans="1:21" ht="20.100000000000001" customHeight="1" thickBot="1" x14ac:dyDescent="0.35">
      <c r="A10" s="6"/>
      <c r="B10" s="189"/>
      <c r="C10" s="190"/>
      <c r="D10" s="190"/>
      <c r="E10" s="205" t="s">
        <v>32</v>
      </c>
      <c r="F10" s="176"/>
      <c r="G10" s="286"/>
      <c r="H10" s="164" t="s">
        <v>40</v>
      </c>
      <c r="I10" s="174" t="s">
        <v>39</v>
      </c>
      <c r="L10" s="10"/>
      <c r="M10" s="54" t="s">
        <v>60</v>
      </c>
      <c r="N10" s="162">
        <v>3</v>
      </c>
      <c r="O10" s="163"/>
      <c r="Q10" s="53" t="s">
        <v>70</v>
      </c>
      <c r="R10" s="128" t="s">
        <v>68</v>
      </c>
      <c r="S10" s="203"/>
      <c r="T10" s="203"/>
      <c r="U10" s="204"/>
    </row>
    <row r="11" spans="1:21" ht="20.100000000000001" customHeight="1" x14ac:dyDescent="0.3">
      <c r="A11" s="6"/>
      <c r="B11" s="189"/>
      <c r="C11" s="190"/>
      <c r="D11" s="190"/>
      <c r="E11" s="273"/>
      <c r="F11" s="176"/>
      <c r="G11" s="286"/>
      <c r="H11" s="279"/>
      <c r="I11" s="174"/>
      <c r="L11" s="10"/>
      <c r="M11" s="54" t="s">
        <v>61</v>
      </c>
      <c r="N11" s="162">
        <v>3</v>
      </c>
      <c r="O11" s="163"/>
      <c r="Q11" s="26">
        <f>Q9+7</f>
        <v>45175</v>
      </c>
      <c r="R11" s="131" t="s">
        <v>74</v>
      </c>
      <c r="S11" s="224"/>
      <c r="T11" s="224"/>
      <c r="U11" s="225"/>
    </row>
    <row r="12" spans="1:21" ht="20.100000000000001" customHeight="1" thickBot="1" x14ac:dyDescent="0.35">
      <c r="B12" s="191"/>
      <c r="C12" s="192"/>
      <c r="D12" s="192"/>
      <c r="E12" s="274"/>
      <c r="F12" s="177"/>
      <c r="G12" s="287"/>
      <c r="H12" s="280"/>
      <c r="I12" s="283"/>
      <c r="L12" s="10"/>
      <c r="M12" s="54" t="s">
        <v>58</v>
      </c>
      <c r="N12" s="162">
        <v>1.5</v>
      </c>
      <c r="O12" s="163"/>
      <c r="Q12" s="53" t="s">
        <v>71</v>
      </c>
      <c r="R12" s="128" t="s">
        <v>68</v>
      </c>
      <c r="S12" s="203"/>
      <c r="T12" s="203"/>
      <c r="U12" s="204"/>
    </row>
    <row r="13" spans="1:21" ht="19.5" customHeight="1" thickBot="1" x14ac:dyDescent="0.35">
      <c r="C13" s="3"/>
      <c r="D13" s="4"/>
      <c r="E13" s="180"/>
      <c r="F13" s="180"/>
      <c r="G13" s="181"/>
      <c r="H13" s="182"/>
      <c r="I13" s="182"/>
      <c r="J13" s="14"/>
      <c r="K13" s="15"/>
      <c r="M13" s="54" t="s">
        <v>62</v>
      </c>
      <c r="N13" s="162">
        <v>2</v>
      </c>
      <c r="O13" s="163"/>
      <c r="Q13" s="26">
        <f>Q11+7</f>
        <v>45182</v>
      </c>
      <c r="R13" s="131" t="s">
        <v>74</v>
      </c>
      <c r="S13" s="224"/>
      <c r="T13" s="224"/>
      <c r="U13" s="225"/>
    </row>
    <row r="14" spans="1:21" ht="20.100000000000001" customHeight="1" thickBot="1" x14ac:dyDescent="0.35">
      <c r="B14" s="183" t="s">
        <v>47</v>
      </c>
      <c r="C14" s="184"/>
      <c r="D14" s="201"/>
      <c r="E14" s="288" t="s">
        <v>58</v>
      </c>
      <c r="F14" s="289"/>
      <c r="G14" s="168" t="s">
        <v>52</v>
      </c>
      <c r="H14" s="169"/>
      <c r="I14" s="170"/>
      <c r="L14" s="9"/>
      <c r="M14" s="54" t="s">
        <v>53</v>
      </c>
      <c r="N14" s="162">
        <v>2</v>
      </c>
      <c r="O14" s="163"/>
      <c r="Q14" s="53" t="s">
        <v>71</v>
      </c>
      <c r="R14" s="128" t="s">
        <v>68</v>
      </c>
      <c r="S14" s="203"/>
      <c r="T14" s="203"/>
      <c r="U14" s="204"/>
    </row>
    <row r="15" spans="1:21" ht="20.100000000000001" customHeight="1" x14ac:dyDescent="0.3">
      <c r="B15" s="185"/>
      <c r="C15" s="186"/>
      <c r="D15" s="202"/>
      <c r="E15" s="193" t="s">
        <v>21</v>
      </c>
      <c r="F15" s="194"/>
      <c r="G15" s="171" t="s">
        <v>56</v>
      </c>
      <c r="H15" s="172"/>
      <c r="I15" s="173"/>
      <c r="M15" s="54" t="s">
        <v>54</v>
      </c>
      <c r="N15" s="162">
        <v>2</v>
      </c>
      <c r="O15" s="163"/>
      <c r="Q15" s="26">
        <f>Q13+7</f>
        <v>45189</v>
      </c>
      <c r="R15" s="131" t="s">
        <v>74</v>
      </c>
      <c r="S15" s="224"/>
      <c r="T15" s="224"/>
      <c r="U15" s="225"/>
    </row>
    <row r="16" spans="1:21" ht="20.100000000000001" customHeight="1" thickBot="1" x14ac:dyDescent="0.35">
      <c r="B16" s="252" t="s">
        <v>66</v>
      </c>
      <c r="C16" s="253"/>
      <c r="D16" s="254"/>
      <c r="E16" s="195" t="s">
        <v>20</v>
      </c>
      <c r="F16" s="198" t="s">
        <v>27</v>
      </c>
      <c r="G16" s="205" t="s">
        <v>20</v>
      </c>
      <c r="H16" s="164" t="s">
        <v>50</v>
      </c>
      <c r="I16" s="174" t="s">
        <v>55</v>
      </c>
      <c r="M16" s="54" t="s">
        <v>48</v>
      </c>
      <c r="N16" s="162">
        <v>4</v>
      </c>
      <c r="O16" s="163"/>
      <c r="Q16" s="53" t="s">
        <v>71</v>
      </c>
      <c r="R16" s="128" t="s">
        <v>68</v>
      </c>
      <c r="S16" s="203"/>
      <c r="T16" s="203"/>
      <c r="U16" s="204"/>
    </row>
    <row r="17" spans="2:21" ht="20.100000000000001" customHeight="1" x14ac:dyDescent="0.3">
      <c r="B17" s="255"/>
      <c r="C17" s="256"/>
      <c r="D17" s="257"/>
      <c r="E17" s="196"/>
      <c r="F17" s="199"/>
      <c r="G17" s="206"/>
      <c r="H17" s="165"/>
      <c r="I17" s="175"/>
      <c r="M17" s="54" t="s">
        <v>167</v>
      </c>
      <c r="N17" s="162">
        <v>1.5</v>
      </c>
      <c r="O17" s="163"/>
      <c r="Q17" s="26">
        <f>Q15+7</f>
        <v>45196</v>
      </c>
      <c r="R17" s="131" t="s">
        <v>74</v>
      </c>
      <c r="S17" s="224"/>
      <c r="T17" s="224"/>
      <c r="U17" s="225"/>
    </row>
    <row r="18" spans="2:21" ht="20.100000000000001" customHeight="1" thickBot="1" x14ac:dyDescent="0.35">
      <c r="B18" s="255"/>
      <c r="C18" s="256"/>
      <c r="D18" s="257"/>
      <c r="E18" s="196"/>
      <c r="F18" s="199"/>
      <c r="G18" s="206"/>
      <c r="H18" s="165"/>
      <c r="I18" s="175"/>
      <c r="L18"/>
      <c r="M18" s="54" t="s">
        <v>63</v>
      </c>
      <c r="N18" s="162">
        <v>1</v>
      </c>
      <c r="O18" s="163"/>
      <c r="Q18" s="53" t="s">
        <v>71</v>
      </c>
      <c r="R18" s="128" t="s">
        <v>68</v>
      </c>
      <c r="S18" s="203"/>
      <c r="T18" s="203"/>
      <c r="U18" s="204"/>
    </row>
    <row r="19" spans="2:21" ht="20.100000000000001" customHeight="1" thickBot="1" x14ac:dyDescent="0.35">
      <c r="B19" s="255"/>
      <c r="C19" s="256"/>
      <c r="D19" s="257"/>
      <c r="E19" s="196"/>
      <c r="F19" s="199"/>
      <c r="G19" s="205" t="s">
        <v>51</v>
      </c>
      <c r="H19" s="166"/>
      <c r="I19" s="176"/>
      <c r="M19" s="55" t="s">
        <v>25</v>
      </c>
      <c r="N19" s="242">
        <f>SUM(N10:N18)</f>
        <v>20</v>
      </c>
      <c r="O19" s="243"/>
      <c r="Q19" s="26">
        <f>Q17+28</f>
        <v>45224</v>
      </c>
      <c r="R19" s="226" t="s">
        <v>75</v>
      </c>
      <c r="S19" s="226"/>
      <c r="T19" s="226"/>
      <c r="U19" s="227"/>
    </row>
    <row r="20" spans="2:21" ht="20.100000000000001" customHeight="1" thickTop="1" thickBot="1" x14ac:dyDescent="0.35">
      <c r="B20" s="255"/>
      <c r="C20" s="256"/>
      <c r="D20" s="257"/>
      <c r="E20" s="196"/>
      <c r="F20" s="199"/>
      <c r="G20" s="205"/>
      <c r="H20" s="166"/>
      <c r="I20" s="176"/>
      <c r="M20" s="30"/>
      <c r="N20" s="31"/>
      <c r="O20" s="32"/>
      <c r="Q20" s="53" t="s">
        <v>72</v>
      </c>
      <c r="R20" s="128" t="s">
        <v>68</v>
      </c>
      <c r="S20" s="203"/>
      <c r="T20" s="203"/>
      <c r="U20" s="204"/>
    </row>
    <row r="21" spans="2:21" ht="20.100000000000001" customHeight="1" thickBot="1" x14ac:dyDescent="0.4">
      <c r="B21" s="258"/>
      <c r="C21" s="259"/>
      <c r="D21" s="260"/>
      <c r="E21" s="197"/>
      <c r="F21" s="200"/>
      <c r="G21" s="241"/>
      <c r="H21" s="167"/>
      <c r="I21" s="177"/>
      <c r="M21" s="19"/>
      <c r="N21" s="19"/>
      <c r="O21" s="20"/>
      <c r="Q21" s="26">
        <f>Q19+7</f>
        <v>45231</v>
      </c>
      <c r="R21" s="226" t="s">
        <v>75</v>
      </c>
      <c r="S21" s="226"/>
      <c r="T21" s="226"/>
      <c r="U21" s="227"/>
    </row>
    <row r="22" spans="2:21" ht="19.5" customHeight="1" thickBot="1" x14ac:dyDescent="0.35">
      <c r="K22" s="52"/>
      <c r="M22"/>
      <c r="N22"/>
      <c r="O22" s="21" t="s">
        <v>17</v>
      </c>
      <c r="Q22" s="53" t="s">
        <v>72</v>
      </c>
      <c r="R22" s="128" t="s">
        <v>68</v>
      </c>
      <c r="S22" s="129"/>
      <c r="T22" s="129"/>
      <c r="U22" s="130"/>
    </row>
    <row r="23" spans="2:21" ht="20.100000000000001" customHeight="1" x14ac:dyDescent="0.3">
      <c r="B23" s="183" t="s">
        <v>47</v>
      </c>
      <c r="C23" s="184"/>
      <c r="D23" s="184"/>
      <c r="E23" s="168" t="s">
        <v>53</v>
      </c>
      <c r="F23" s="169"/>
      <c r="G23" s="261"/>
      <c r="H23" s="136" t="s">
        <v>54</v>
      </c>
      <c r="I23" s="137"/>
      <c r="J23" s="136" t="s">
        <v>167</v>
      </c>
      <c r="K23" s="137"/>
      <c r="M23" s="238" t="s">
        <v>16</v>
      </c>
      <c r="N23" s="239"/>
      <c r="O23" s="240"/>
      <c r="Q23" s="26">
        <f>Q21+7</f>
        <v>45238</v>
      </c>
      <c r="R23" s="226" t="s">
        <v>170</v>
      </c>
      <c r="S23" s="226"/>
      <c r="T23" s="226"/>
      <c r="U23" s="227"/>
    </row>
    <row r="24" spans="2:21" ht="20.100000000000001" customHeight="1" thickBot="1" x14ac:dyDescent="0.35">
      <c r="B24" s="255"/>
      <c r="C24" s="256"/>
      <c r="D24" s="256"/>
      <c r="E24" s="262" t="s">
        <v>21</v>
      </c>
      <c r="F24" s="263"/>
      <c r="G24" s="264"/>
      <c r="H24" s="294" t="s">
        <v>21</v>
      </c>
      <c r="I24" s="295"/>
      <c r="J24" s="294" t="s">
        <v>168</v>
      </c>
      <c r="K24" s="295"/>
      <c r="M24" s="209" t="s">
        <v>14</v>
      </c>
      <c r="N24" s="231"/>
      <c r="O24" s="232"/>
      <c r="Q24" s="53" t="s">
        <v>72</v>
      </c>
      <c r="R24" s="128" t="s">
        <v>68</v>
      </c>
      <c r="S24" s="129"/>
      <c r="T24" s="129"/>
      <c r="U24" s="130"/>
    </row>
    <row r="25" spans="2:21" s="9" customFormat="1" ht="20.100000000000001" customHeight="1" x14ac:dyDescent="0.3">
      <c r="B25" s="252" t="s">
        <v>66</v>
      </c>
      <c r="C25" s="253"/>
      <c r="D25" s="254"/>
      <c r="E25" s="265" t="s">
        <v>45</v>
      </c>
      <c r="F25" s="269" t="s">
        <v>44</v>
      </c>
      <c r="G25" s="174" t="s">
        <v>57</v>
      </c>
      <c r="H25" s="158" t="s">
        <v>31</v>
      </c>
      <c r="I25" s="174" t="s">
        <v>43</v>
      </c>
      <c r="J25" s="205" t="s">
        <v>30</v>
      </c>
      <c r="K25" s="174" t="s">
        <v>169</v>
      </c>
      <c r="M25" s="233"/>
      <c r="N25" s="234"/>
      <c r="O25" s="232"/>
      <c r="Q25" s="26">
        <f>Q23+7</f>
        <v>45245</v>
      </c>
      <c r="R25" s="226" t="s">
        <v>170</v>
      </c>
      <c r="S25" s="226"/>
      <c r="T25" s="226"/>
      <c r="U25" s="227"/>
    </row>
    <row r="26" spans="2:21" s="9" customFormat="1" ht="20.100000000000001" customHeight="1" thickBot="1" x14ac:dyDescent="0.3">
      <c r="B26" s="255"/>
      <c r="C26" s="256"/>
      <c r="D26" s="257"/>
      <c r="E26" s="266"/>
      <c r="F26" s="270"/>
      <c r="G26" s="176"/>
      <c r="H26" s="159"/>
      <c r="I26" s="275"/>
      <c r="J26" s="273"/>
      <c r="K26" s="275"/>
      <c r="M26" s="235"/>
      <c r="N26" s="236"/>
      <c r="O26" s="237"/>
      <c r="Q26" s="53" t="s">
        <v>73</v>
      </c>
      <c r="R26" s="128" t="s">
        <v>69</v>
      </c>
      <c r="S26" s="138"/>
      <c r="T26" s="138"/>
      <c r="U26" s="139"/>
    </row>
    <row r="27" spans="2:21" s="9" customFormat="1" ht="20.100000000000001" customHeight="1" thickBot="1" x14ac:dyDescent="0.3">
      <c r="B27" s="255"/>
      <c r="C27" s="256"/>
      <c r="D27" s="257"/>
      <c r="E27" s="266"/>
      <c r="F27" s="270"/>
      <c r="G27" s="176"/>
      <c r="H27" s="159"/>
      <c r="I27" s="275"/>
      <c r="J27" s="273"/>
      <c r="K27" s="275"/>
      <c r="Q27" s="26">
        <f>Q25+7</f>
        <v>45252</v>
      </c>
      <c r="R27" s="131" t="s">
        <v>77</v>
      </c>
      <c r="S27" s="132"/>
      <c r="T27" s="132"/>
      <c r="U27" s="133"/>
    </row>
    <row r="28" spans="2:21" s="9" customFormat="1" ht="20.100000000000001" customHeight="1" thickBot="1" x14ac:dyDescent="0.3">
      <c r="B28" s="255"/>
      <c r="C28" s="256"/>
      <c r="D28" s="257"/>
      <c r="E28" s="267"/>
      <c r="F28" s="271"/>
      <c r="G28" s="176"/>
      <c r="H28" s="160"/>
      <c r="I28" s="176"/>
      <c r="J28" s="205" t="s">
        <v>49</v>
      </c>
      <c r="K28" s="176"/>
      <c r="M28" s="56" t="s">
        <v>15</v>
      </c>
      <c r="N28" s="57"/>
      <c r="O28" s="58"/>
      <c r="Q28" s="53" t="s">
        <v>73</v>
      </c>
      <c r="R28" s="128" t="s">
        <v>69</v>
      </c>
      <c r="S28" s="138"/>
      <c r="T28" s="138"/>
      <c r="U28" s="139"/>
    </row>
    <row r="29" spans="2:21" s="9" customFormat="1" ht="20.100000000000001" customHeight="1" x14ac:dyDescent="0.25">
      <c r="B29" s="255"/>
      <c r="C29" s="256"/>
      <c r="D29" s="257"/>
      <c r="E29" s="267"/>
      <c r="F29" s="271"/>
      <c r="G29" s="176"/>
      <c r="H29" s="160"/>
      <c r="I29" s="176"/>
      <c r="J29" s="273"/>
      <c r="K29" s="176"/>
      <c r="M29" s="209" t="s">
        <v>67</v>
      </c>
      <c r="N29" s="210"/>
      <c r="O29" s="211"/>
      <c r="Q29" s="26">
        <f>Q27+7</f>
        <v>45259</v>
      </c>
      <c r="R29" s="131" t="s">
        <v>77</v>
      </c>
      <c r="S29" s="132"/>
      <c r="T29" s="132"/>
      <c r="U29" s="133"/>
    </row>
    <row r="30" spans="2:21" s="9" customFormat="1" ht="20.100000000000001" customHeight="1" thickBot="1" x14ac:dyDescent="0.3">
      <c r="B30" s="258"/>
      <c r="C30" s="259"/>
      <c r="D30" s="260"/>
      <c r="E30" s="268"/>
      <c r="F30" s="272"/>
      <c r="G30" s="177"/>
      <c r="H30" s="161"/>
      <c r="I30" s="177"/>
      <c r="J30" s="274"/>
      <c r="K30" s="177"/>
      <c r="M30" s="212"/>
      <c r="N30" s="210"/>
      <c r="O30" s="211"/>
      <c r="Q30" s="53" t="s">
        <v>73</v>
      </c>
      <c r="R30" s="128" t="s">
        <v>69</v>
      </c>
      <c r="S30" s="138"/>
      <c r="T30" s="138"/>
      <c r="U30" s="139"/>
    </row>
    <row r="31" spans="2:21" s="9" customFormat="1" ht="19.5" customHeight="1" thickBot="1" x14ac:dyDescent="0.3">
      <c r="M31" s="213"/>
      <c r="N31" s="214"/>
      <c r="O31" s="215"/>
      <c r="Q31" s="26">
        <f>Q29+7</f>
        <v>45266</v>
      </c>
      <c r="R31" s="131" t="s">
        <v>77</v>
      </c>
      <c r="S31" s="132"/>
      <c r="T31" s="132"/>
      <c r="U31" s="133"/>
    </row>
    <row r="32" spans="2:21" s="9" customFormat="1" ht="20.100000000000001" customHeight="1" thickBot="1" x14ac:dyDescent="0.3">
      <c r="B32" s="183" t="s">
        <v>24</v>
      </c>
      <c r="C32" s="184"/>
      <c r="D32" s="184"/>
      <c r="E32" s="168" t="s">
        <v>48</v>
      </c>
      <c r="F32" s="251"/>
      <c r="G32" s="251"/>
      <c r="H32" s="246" t="s">
        <v>216</v>
      </c>
      <c r="I32" s="247"/>
      <c r="J32" s="169" t="s">
        <v>63</v>
      </c>
      <c r="K32" s="296"/>
      <c r="L32"/>
      <c r="Q32" s="53" t="s">
        <v>73</v>
      </c>
      <c r="R32" s="128" t="s">
        <v>69</v>
      </c>
      <c r="S32" s="138"/>
      <c r="T32" s="138"/>
      <c r="U32" s="139"/>
    </row>
    <row r="33" spans="2:21" ht="20.100000000000001" customHeight="1" x14ac:dyDescent="0.3">
      <c r="B33" s="185"/>
      <c r="C33" s="186"/>
      <c r="D33" s="186"/>
      <c r="E33" s="171" t="s">
        <v>22</v>
      </c>
      <c r="F33" s="250"/>
      <c r="G33" s="250"/>
      <c r="H33" s="248" t="s">
        <v>220</v>
      </c>
      <c r="I33" s="249"/>
      <c r="J33" s="297" t="s">
        <v>64</v>
      </c>
      <c r="K33" s="298"/>
      <c r="L33" s="17"/>
      <c r="M33" s="33" t="s">
        <v>4</v>
      </c>
      <c r="N33" s="34"/>
      <c r="O33" s="35"/>
      <c r="Q33" s="26">
        <f>Q31+7</f>
        <v>45273</v>
      </c>
      <c r="R33" s="131" t="s">
        <v>77</v>
      </c>
      <c r="S33" s="132"/>
      <c r="T33" s="132"/>
      <c r="U33" s="133"/>
    </row>
    <row r="34" spans="2:21" ht="20.100000000000001" customHeight="1" thickBot="1" x14ac:dyDescent="0.35">
      <c r="B34" s="252" t="s">
        <v>23</v>
      </c>
      <c r="C34" s="253"/>
      <c r="D34" s="253"/>
      <c r="E34" s="205" t="s">
        <v>41</v>
      </c>
      <c r="F34" s="164" t="s">
        <v>49</v>
      </c>
      <c r="G34" s="305" t="s">
        <v>44</v>
      </c>
      <c r="H34" s="291" t="s">
        <v>218</v>
      </c>
      <c r="I34" s="140" t="s">
        <v>219</v>
      </c>
      <c r="J34" s="299" t="s">
        <v>59</v>
      </c>
      <c r="K34" s="300"/>
      <c r="L34" s="18"/>
      <c r="M34" s="36" t="s">
        <v>5</v>
      </c>
      <c r="N34" s="154">
        <v>45231</v>
      </c>
      <c r="O34" s="155"/>
      <c r="Q34" s="53" t="s">
        <v>73</v>
      </c>
      <c r="R34" s="128" t="s">
        <v>69</v>
      </c>
      <c r="S34" s="138"/>
      <c r="T34" s="138"/>
      <c r="U34" s="139"/>
    </row>
    <row r="35" spans="2:21" ht="20.100000000000001" customHeight="1" x14ac:dyDescent="0.3">
      <c r="B35" s="255"/>
      <c r="C35" s="256"/>
      <c r="D35" s="256"/>
      <c r="E35" s="290"/>
      <c r="F35" s="166"/>
      <c r="G35" s="306"/>
      <c r="H35" s="292"/>
      <c r="I35" s="141"/>
      <c r="J35" s="301"/>
      <c r="K35" s="302"/>
      <c r="L35" s="18"/>
      <c r="M35" s="36" t="s">
        <v>6</v>
      </c>
      <c r="N35" s="154">
        <v>45380</v>
      </c>
      <c r="O35" s="155"/>
      <c r="Q35" s="26">
        <f>Q33+7</f>
        <v>45280</v>
      </c>
      <c r="R35" s="151" t="s">
        <v>171</v>
      </c>
      <c r="S35" s="152"/>
      <c r="T35" s="152"/>
      <c r="U35" s="153"/>
    </row>
    <row r="36" spans="2:21" ht="20.100000000000001" customHeight="1" thickBot="1" x14ac:dyDescent="0.35">
      <c r="B36" s="255"/>
      <c r="C36" s="256"/>
      <c r="D36" s="256"/>
      <c r="E36" s="290"/>
      <c r="F36" s="166"/>
      <c r="G36" s="306"/>
      <c r="H36" s="292"/>
      <c r="I36" s="141"/>
      <c r="J36" s="301"/>
      <c r="K36" s="302"/>
      <c r="L36" s="18"/>
      <c r="M36" s="36" t="s">
        <v>7</v>
      </c>
      <c r="N36" s="154">
        <v>45383</v>
      </c>
      <c r="O36" s="155"/>
      <c r="Q36" s="53" t="s">
        <v>217</v>
      </c>
      <c r="R36" s="128" t="s">
        <v>69</v>
      </c>
      <c r="S36" s="138"/>
      <c r="T36" s="138"/>
      <c r="U36" s="139"/>
    </row>
    <row r="37" spans="2:21" ht="20.100000000000001" customHeight="1" x14ac:dyDescent="0.3">
      <c r="B37" s="255"/>
      <c r="C37" s="256"/>
      <c r="D37" s="256"/>
      <c r="E37" s="205" t="s">
        <v>42</v>
      </c>
      <c r="F37" s="164" t="s">
        <v>30</v>
      </c>
      <c r="G37" s="305" t="s">
        <v>46</v>
      </c>
      <c r="H37" s="292"/>
      <c r="I37" s="141"/>
      <c r="J37" s="301"/>
      <c r="K37" s="302"/>
      <c r="L37" s="18"/>
      <c r="M37" s="37" t="s">
        <v>8</v>
      </c>
      <c r="N37" s="134">
        <v>45421</v>
      </c>
      <c r="O37" s="135"/>
      <c r="Q37" s="26">
        <f>Q35+21</f>
        <v>45301</v>
      </c>
      <c r="R37" s="148" t="s">
        <v>239</v>
      </c>
      <c r="S37" s="149"/>
      <c r="T37" s="149"/>
      <c r="U37" s="150"/>
    </row>
    <row r="38" spans="2:21" ht="20.100000000000001" customHeight="1" thickBot="1" x14ac:dyDescent="0.35">
      <c r="B38" s="255"/>
      <c r="C38" s="256"/>
      <c r="D38" s="256"/>
      <c r="E38" s="273"/>
      <c r="F38" s="279"/>
      <c r="G38" s="306"/>
      <c r="H38" s="292"/>
      <c r="I38" s="141"/>
      <c r="J38" s="301"/>
      <c r="K38" s="302"/>
      <c r="L38" s="18"/>
      <c r="M38" s="38" t="s">
        <v>9</v>
      </c>
      <c r="N38" s="143">
        <v>45432</v>
      </c>
      <c r="O38" s="144"/>
      <c r="Q38" s="53" t="s">
        <v>255</v>
      </c>
      <c r="R38" s="128" t="s">
        <v>69</v>
      </c>
      <c r="S38" s="138"/>
      <c r="T38" s="138"/>
      <c r="U38" s="139"/>
    </row>
    <row r="39" spans="2:21" ht="20.100000000000001" customHeight="1" thickBot="1" x14ac:dyDescent="0.35">
      <c r="B39" s="258"/>
      <c r="C39" s="259"/>
      <c r="D39" s="259"/>
      <c r="E39" s="274"/>
      <c r="F39" s="280"/>
      <c r="G39" s="307"/>
      <c r="H39" s="293"/>
      <c r="I39" s="142"/>
      <c r="J39" s="303"/>
      <c r="K39" s="304"/>
      <c r="L39"/>
      <c r="M39" s="13"/>
      <c r="N39" s="13"/>
      <c r="O39" s="13"/>
      <c r="Q39" s="107">
        <f>Q37+7</f>
        <v>45308</v>
      </c>
      <c r="R39" s="145" t="s">
        <v>240</v>
      </c>
      <c r="S39" s="146"/>
      <c r="T39" s="146"/>
      <c r="U39" s="147"/>
    </row>
    <row r="40" spans="2:21" ht="5.0999999999999996" customHeight="1" thickBot="1" x14ac:dyDescent="0.35"/>
    <row r="41" spans="2:21" s="16" customFormat="1" ht="12.6" customHeight="1" thickBot="1" x14ac:dyDescent="0.3">
      <c r="B41" s="46" t="s">
        <v>10</v>
      </c>
      <c r="C41" s="47"/>
      <c r="D41" s="47"/>
      <c r="E41" s="47"/>
      <c r="F41" s="47"/>
      <c r="G41" s="48"/>
      <c r="H41" s="47"/>
      <c r="I41" s="47"/>
      <c r="J41" s="49"/>
      <c r="K41" s="47" t="s">
        <v>11</v>
      </c>
      <c r="L41" s="48"/>
      <c r="M41" s="47"/>
      <c r="N41" s="47"/>
      <c r="O41" s="50"/>
      <c r="P41" s="47"/>
      <c r="Q41" s="49"/>
      <c r="R41" s="50"/>
      <c r="S41" s="50"/>
      <c r="T41" s="47"/>
      <c r="U41" s="51"/>
    </row>
    <row r="42" spans="2:21" s="9" customFormat="1" ht="20.100000000000001" customHeight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 s="13"/>
      <c r="R42"/>
      <c r="S42"/>
      <c r="T42"/>
    </row>
  </sheetData>
  <mergeCells count="120">
    <mergeCell ref="B34:D39"/>
    <mergeCell ref="B32:D33"/>
    <mergeCell ref="F37:F39"/>
    <mergeCell ref="E34:E36"/>
    <mergeCell ref="H34:H39"/>
    <mergeCell ref="H24:I24"/>
    <mergeCell ref="H23:I23"/>
    <mergeCell ref="J32:K32"/>
    <mergeCell ref="J33:K33"/>
    <mergeCell ref="J34:K39"/>
    <mergeCell ref="I25:I30"/>
    <mergeCell ref="B23:D24"/>
    <mergeCell ref="E37:E39"/>
    <mergeCell ref="F34:F36"/>
    <mergeCell ref="G34:G36"/>
    <mergeCell ref="K25:K30"/>
    <mergeCell ref="J25:J27"/>
    <mergeCell ref="J28:J30"/>
    <mergeCell ref="G37:G39"/>
    <mergeCell ref="J24:K24"/>
    <mergeCell ref="E5:F5"/>
    <mergeCell ref="E6:F6"/>
    <mergeCell ref="H32:I32"/>
    <mergeCell ref="H33:I33"/>
    <mergeCell ref="E33:G33"/>
    <mergeCell ref="E32:G32"/>
    <mergeCell ref="B25:D30"/>
    <mergeCell ref="G25:G30"/>
    <mergeCell ref="E23:G23"/>
    <mergeCell ref="E24:G24"/>
    <mergeCell ref="G5:I5"/>
    <mergeCell ref="E25:E30"/>
    <mergeCell ref="F25:F30"/>
    <mergeCell ref="B16:D21"/>
    <mergeCell ref="E7:E9"/>
    <mergeCell ref="E10:E12"/>
    <mergeCell ref="F7:F12"/>
    <mergeCell ref="G6:I6"/>
    <mergeCell ref="H7:H9"/>
    <mergeCell ref="H10:H12"/>
    <mergeCell ref="I7:I9"/>
    <mergeCell ref="I10:I12"/>
    <mergeCell ref="G7:G12"/>
    <mergeCell ref="E14:F14"/>
    <mergeCell ref="G19:G21"/>
    <mergeCell ref="N16:O16"/>
    <mergeCell ref="N18:O18"/>
    <mergeCell ref="N19:O19"/>
    <mergeCell ref="N13:O13"/>
    <mergeCell ref="R15:U15"/>
    <mergeCell ref="R21:U21"/>
    <mergeCell ref="R23:U23"/>
    <mergeCell ref="R22:U22"/>
    <mergeCell ref="R18:U18"/>
    <mergeCell ref="R19:U19"/>
    <mergeCell ref="R20:U20"/>
    <mergeCell ref="Q1:T1"/>
    <mergeCell ref="M29:O31"/>
    <mergeCell ref="M6:O9"/>
    <mergeCell ref="R16:U16"/>
    <mergeCell ref="R17:U17"/>
    <mergeCell ref="R11:U11"/>
    <mergeCell ref="R12:U12"/>
    <mergeCell ref="R13:U13"/>
    <mergeCell ref="R14:U14"/>
    <mergeCell ref="R7:U7"/>
    <mergeCell ref="R8:U8"/>
    <mergeCell ref="R9:U9"/>
    <mergeCell ref="R10:U10"/>
    <mergeCell ref="R25:U25"/>
    <mergeCell ref="M5:O5"/>
    <mergeCell ref="R31:U31"/>
    <mergeCell ref="M24:O26"/>
    <mergeCell ref="N11:O11"/>
    <mergeCell ref="R30:U30"/>
    <mergeCell ref="N14:O14"/>
    <mergeCell ref="M23:O23"/>
    <mergeCell ref="N10:O10"/>
    <mergeCell ref="N12:O12"/>
    <mergeCell ref="R5:U5"/>
    <mergeCell ref="J3:K3"/>
    <mergeCell ref="H3:I3"/>
    <mergeCell ref="R29:U29"/>
    <mergeCell ref="H25:H30"/>
    <mergeCell ref="N17:O17"/>
    <mergeCell ref="H16:H21"/>
    <mergeCell ref="G14:I14"/>
    <mergeCell ref="G15:I15"/>
    <mergeCell ref="I16:I21"/>
    <mergeCell ref="B3:G3"/>
    <mergeCell ref="E13:G13"/>
    <mergeCell ref="H13:I13"/>
    <mergeCell ref="B5:D6"/>
    <mergeCell ref="B7:D12"/>
    <mergeCell ref="R26:U26"/>
    <mergeCell ref="R27:U27"/>
    <mergeCell ref="R28:U28"/>
    <mergeCell ref="E15:F15"/>
    <mergeCell ref="E16:E21"/>
    <mergeCell ref="F16:F21"/>
    <mergeCell ref="B14:D15"/>
    <mergeCell ref="N15:O15"/>
    <mergeCell ref="R6:U6"/>
    <mergeCell ref="G16:G18"/>
    <mergeCell ref="R24:U24"/>
    <mergeCell ref="R33:U33"/>
    <mergeCell ref="N37:O37"/>
    <mergeCell ref="J23:K23"/>
    <mergeCell ref="R36:U36"/>
    <mergeCell ref="R34:U34"/>
    <mergeCell ref="I34:I39"/>
    <mergeCell ref="N38:O38"/>
    <mergeCell ref="R39:U39"/>
    <mergeCell ref="R38:U38"/>
    <mergeCell ref="R32:U32"/>
    <mergeCell ref="R37:U37"/>
    <mergeCell ref="R35:U35"/>
    <mergeCell ref="N36:O36"/>
    <mergeCell ref="N34:O34"/>
    <mergeCell ref="N35:O35"/>
  </mergeCells>
  <phoneticPr fontId="21" type="noConversion"/>
  <pageMargins left="0.23622047244094491" right="0.23622047244094491" top="0.31496062992125984" bottom="0.74803149606299213" header="0.31496062992125984" footer="0.31496062992125984"/>
  <pageSetup paperSize="8" orientation="landscape" r:id="rId1"/>
  <headerFooter>
    <oddHeader xml:space="preserve">&amp;L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2D6C-B1C3-4FEE-8E4A-392D4F0150B0}">
  <dimension ref="B1:K48"/>
  <sheetViews>
    <sheetView view="pageLayout" zoomScaleNormal="100" workbookViewId="0">
      <selection activeCell="G8" sqref="G8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1" x14ac:dyDescent="0.25">
      <c r="B1" s="308" t="s">
        <v>90</v>
      </c>
      <c r="C1" s="309"/>
      <c r="D1" s="309"/>
      <c r="E1" s="312">
        <f>Kompetenzraster!Q5</f>
        <v>45154</v>
      </c>
      <c r="F1" s="313"/>
      <c r="G1" s="316">
        <v>1</v>
      </c>
    </row>
    <row r="2" spans="2:11" x14ac:dyDescent="0.25">
      <c r="B2" s="310"/>
      <c r="C2" s="311"/>
      <c r="D2" s="311"/>
      <c r="E2" s="314"/>
      <c r="F2" s="315"/>
      <c r="G2" s="317"/>
    </row>
    <row r="3" spans="2:11" ht="15.75" customHeight="1" x14ac:dyDescent="0.25">
      <c r="B3" s="318" t="s">
        <v>91</v>
      </c>
      <c r="C3" s="319"/>
      <c r="D3" s="319"/>
      <c r="E3" s="319"/>
      <c r="F3" s="322">
        <v>7.3</v>
      </c>
      <c r="G3" s="324" t="s">
        <v>92</v>
      </c>
    </row>
    <row r="4" spans="2:11" ht="14.25" customHeight="1" x14ac:dyDescent="0.25">
      <c r="B4" s="320"/>
      <c r="C4" s="321"/>
      <c r="D4" s="321"/>
      <c r="E4" s="321"/>
      <c r="F4" s="323"/>
      <c r="G4" s="325"/>
    </row>
    <row r="5" spans="2:11" ht="15.75" customHeight="1" x14ac:dyDescent="0.25">
      <c r="B5" s="326" t="s">
        <v>93</v>
      </c>
      <c r="C5" s="66"/>
      <c r="D5" s="67"/>
      <c r="E5" s="67"/>
      <c r="F5" s="68"/>
      <c r="G5" s="69"/>
    </row>
    <row r="6" spans="2:11" x14ac:dyDescent="0.25">
      <c r="B6" s="327"/>
      <c r="C6" s="70" t="s">
        <v>94</v>
      </c>
      <c r="F6" s="71"/>
      <c r="G6" s="72"/>
    </row>
    <row r="7" spans="2:11" ht="15.75" x14ac:dyDescent="0.3">
      <c r="B7" s="327"/>
      <c r="C7" s="73" t="s">
        <v>95</v>
      </c>
      <c r="F7" s="72"/>
      <c r="G7" s="72"/>
    </row>
    <row r="8" spans="2:11" ht="15.75" x14ac:dyDescent="0.3">
      <c r="B8" s="327"/>
      <c r="C8" s="73" t="s">
        <v>96</v>
      </c>
      <c r="F8" s="72"/>
      <c r="G8" s="74"/>
    </row>
    <row r="9" spans="2:11" ht="15.75" x14ac:dyDescent="0.3">
      <c r="B9" s="327"/>
      <c r="C9" s="73" t="s">
        <v>97</v>
      </c>
      <c r="F9" s="72"/>
      <c r="G9" s="72"/>
    </row>
    <row r="10" spans="2:11" x14ac:dyDescent="0.25">
      <c r="B10" s="327"/>
      <c r="C10" s="84"/>
      <c r="F10" s="72"/>
      <c r="G10" s="72"/>
    </row>
    <row r="11" spans="2:11" x14ac:dyDescent="0.25">
      <c r="B11" s="327"/>
      <c r="C11" s="70" t="s">
        <v>98</v>
      </c>
      <c r="F11" s="72"/>
      <c r="G11" s="75"/>
    </row>
    <row r="12" spans="2:11" ht="15.75" x14ac:dyDescent="0.3">
      <c r="B12" s="327"/>
      <c r="C12" s="73" t="s">
        <v>99</v>
      </c>
      <c r="F12" s="72"/>
      <c r="G12" s="75"/>
    </row>
    <row r="13" spans="2:11" ht="15.75" x14ac:dyDescent="0.3">
      <c r="B13" s="327"/>
      <c r="C13" s="73"/>
      <c r="F13" s="72"/>
      <c r="G13" s="75"/>
    </row>
    <row r="14" spans="2:11" ht="16.5" x14ac:dyDescent="0.25">
      <c r="B14" s="327"/>
      <c r="C14" s="70" t="s">
        <v>100</v>
      </c>
      <c r="F14" s="72"/>
      <c r="G14" s="72"/>
      <c r="K14" s="77"/>
    </row>
    <row r="15" spans="2:11" ht="17.25" x14ac:dyDescent="0.3">
      <c r="B15" s="327"/>
      <c r="C15" s="73" t="s">
        <v>101</v>
      </c>
      <c r="F15" s="72"/>
      <c r="G15" s="72"/>
      <c r="K15" s="77"/>
    </row>
    <row r="16" spans="2:11" ht="16.5" x14ac:dyDescent="0.25">
      <c r="B16" s="327"/>
      <c r="C16" s="85"/>
      <c r="D16" s="78"/>
      <c r="E16" s="78"/>
      <c r="F16" s="79"/>
      <c r="G16" s="72"/>
      <c r="K16" s="77"/>
    </row>
    <row r="17" spans="2:11" ht="15.75" customHeight="1" x14ac:dyDescent="0.25">
      <c r="B17" s="328"/>
      <c r="C17" s="331" t="s">
        <v>102</v>
      </c>
      <c r="D17" s="332"/>
      <c r="E17" s="332"/>
      <c r="F17" s="332"/>
      <c r="G17" s="333"/>
      <c r="K17" s="77"/>
    </row>
    <row r="18" spans="2:11" ht="15" customHeight="1" x14ac:dyDescent="0.3">
      <c r="B18" s="329"/>
      <c r="C18" s="334" t="s">
        <v>103</v>
      </c>
      <c r="D18" s="335"/>
      <c r="E18" s="335"/>
      <c r="F18" s="335"/>
      <c r="G18" s="336"/>
    </row>
    <row r="19" spans="2:11" ht="15" customHeight="1" x14ac:dyDescent="0.3">
      <c r="B19" s="329"/>
      <c r="C19" s="337" t="s">
        <v>104</v>
      </c>
      <c r="D19" s="338"/>
      <c r="E19" s="338"/>
      <c r="F19" s="338"/>
      <c r="G19" s="339"/>
    </row>
    <row r="20" spans="2:11" ht="15.75" customHeight="1" x14ac:dyDescent="0.3">
      <c r="B20" s="329"/>
      <c r="C20" s="337"/>
      <c r="D20" s="338"/>
      <c r="E20" s="338"/>
      <c r="F20" s="338"/>
      <c r="G20" s="339"/>
    </row>
    <row r="21" spans="2:11" ht="15" customHeight="1" x14ac:dyDescent="0.3">
      <c r="B21" s="330"/>
      <c r="C21" s="340"/>
      <c r="D21" s="341"/>
      <c r="E21" s="341"/>
      <c r="F21" s="341"/>
      <c r="G21" s="342"/>
    </row>
    <row r="22" spans="2:11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11" ht="15" customHeight="1" x14ac:dyDescent="0.25">
      <c r="B23" s="352"/>
      <c r="C23" s="353"/>
      <c r="D23" s="353"/>
      <c r="E23" s="353"/>
      <c r="F23" s="353"/>
      <c r="G23" s="354"/>
    </row>
    <row r="24" spans="2:11" ht="16.5" customHeight="1" x14ac:dyDescent="0.25">
      <c r="B24" s="355" t="s">
        <v>106</v>
      </c>
      <c r="C24" s="356"/>
      <c r="D24" s="356"/>
      <c r="E24" s="356"/>
      <c r="F24" s="358">
        <v>7.1</v>
      </c>
      <c r="G24" s="360" t="s">
        <v>92</v>
      </c>
      <c r="J24" s="77"/>
    </row>
    <row r="25" spans="2:11" ht="15.75" customHeight="1" x14ac:dyDescent="0.25">
      <c r="B25" s="357"/>
      <c r="C25" s="210"/>
      <c r="D25" s="210"/>
      <c r="E25" s="210"/>
      <c r="F25" s="359"/>
      <c r="G25" s="361"/>
    </row>
    <row r="26" spans="2:11" x14ac:dyDescent="0.25">
      <c r="B26" s="362" t="s">
        <v>107</v>
      </c>
      <c r="C26" s="66"/>
      <c r="D26" s="67"/>
      <c r="E26" s="67"/>
      <c r="F26" s="68"/>
      <c r="G26" s="69"/>
    </row>
    <row r="27" spans="2:11" ht="17.25" x14ac:dyDescent="0.3">
      <c r="B27" s="363"/>
      <c r="C27" s="70" t="s">
        <v>94</v>
      </c>
      <c r="D27" s="76"/>
      <c r="F27" s="72"/>
      <c r="G27" s="72"/>
      <c r="I27" s="77"/>
    </row>
    <row r="28" spans="2:11" ht="17.25" x14ac:dyDescent="0.3">
      <c r="B28" s="363"/>
      <c r="C28" s="73" t="s">
        <v>108</v>
      </c>
      <c r="E28" s="76"/>
      <c r="F28" s="74"/>
      <c r="G28" s="72"/>
      <c r="I28" s="77"/>
    </row>
    <row r="29" spans="2:11" ht="15.75" customHeight="1" x14ac:dyDescent="0.3">
      <c r="B29" s="363"/>
      <c r="C29" s="73" t="s">
        <v>109</v>
      </c>
      <c r="F29" s="72"/>
      <c r="G29" s="72"/>
    </row>
    <row r="30" spans="2:11" ht="15.75" customHeight="1" x14ac:dyDescent="0.3">
      <c r="B30" s="363"/>
      <c r="C30" s="73" t="s">
        <v>110</v>
      </c>
      <c r="F30" s="72"/>
      <c r="G30" s="72"/>
    </row>
    <row r="31" spans="2:11" ht="15.75" customHeight="1" x14ac:dyDescent="0.3">
      <c r="B31" s="363"/>
      <c r="C31" s="80"/>
      <c r="D31" s="78"/>
      <c r="E31" s="78"/>
      <c r="F31" s="79"/>
      <c r="G31" s="79"/>
    </row>
    <row r="32" spans="2:11" x14ac:dyDescent="0.25">
      <c r="B32" s="364"/>
      <c r="C32" s="367" t="s">
        <v>102</v>
      </c>
      <c r="D32" s="368"/>
      <c r="E32" s="368"/>
      <c r="F32" s="368"/>
      <c r="G32" s="369"/>
    </row>
    <row r="33" spans="2:7" ht="15.75" x14ac:dyDescent="0.3">
      <c r="B33" s="363"/>
      <c r="C33" s="81" t="s">
        <v>111</v>
      </c>
      <c r="D33" s="82"/>
      <c r="E33" s="82"/>
      <c r="F33" s="82"/>
      <c r="G33" s="83"/>
    </row>
    <row r="34" spans="2:7" ht="15.75" x14ac:dyDescent="0.3">
      <c r="B34" s="365"/>
      <c r="C34" s="73" t="s">
        <v>112</v>
      </c>
      <c r="G34" s="72"/>
    </row>
    <row r="35" spans="2:7" ht="15.75" x14ac:dyDescent="0.3">
      <c r="B35" s="365"/>
      <c r="C35" s="73"/>
      <c r="G35" s="72"/>
    </row>
    <row r="36" spans="2:7" ht="15.75" x14ac:dyDescent="0.3">
      <c r="B36" s="365"/>
      <c r="C36" s="73"/>
      <c r="G36" s="72"/>
    </row>
    <row r="37" spans="2:7" ht="15.75" customHeight="1" x14ac:dyDescent="0.3">
      <c r="B37" s="366"/>
      <c r="C37" s="80"/>
      <c r="D37" s="78"/>
      <c r="E37" s="78"/>
      <c r="F37" s="78"/>
      <c r="G37" s="79"/>
    </row>
    <row r="38" spans="2:7" ht="15.75" customHeight="1" x14ac:dyDescent="0.25">
      <c r="B38" s="343" t="s">
        <v>113</v>
      </c>
      <c r="C38" s="344"/>
      <c r="D38" s="344"/>
      <c r="E38" s="346" t="s">
        <v>114</v>
      </c>
      <c r="F38" s="344"/>
      <c r="G38" s="347"/>
    </row>
    <row r="39" spans="2:7" ht="15.75" customHeight="1" x14ac:dyDescent="0.25">
      <c r="B39" s="345"/>
      <c r="C39" s="250"/>
      <c r="D39" s="250"/>
      <c r="E39" s="345"/>
      <c r="F39" s="250"/>
      <c r="G39" s="348"/>
    </row>
    <row r="40" spans="2:7" ht="15.75" customHeight="1" x14ac:dyDescent="0.25">
      <c r="B40" s="84"/>
      <c r="D40" s="72"/>
      <c r="E40" s="84"/>
      <c r="G40" s="7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38:D39"/>
    <mergeCell ref="E38:G39"/>
    <mergeCell ref="B22:G23"/>
    <mergeCell ref="B24:E25"/>
    <mergeCell ref="F24:F25"/>
    <mergeCell ref="G24:G25"/>
    <mergeCell ref="B26:B37"/>
    <mergeCell ref="C32:G32"/>
    <mergeCell ref="B5:B21"/>
    <mergeCell ref="C17:G17"/>
    <mergeCell ref="C18:G18"/>
    <mergeCell ref="C19:G19"/>
    <mergeCell ref="C20:G20"/>
    <mergeCell ref="C21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9B72-5FDE-4ED4-8B21-C53A7BA1181A}">
  <dimension ref="B1:K48"/>
  <sheetViews>
    <sheetView view="pageLayout" zoomScaleNormal="100" workbookViewId="0">
      <selection activeCell="C5" sqref="C5:F16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1" x14ac:dyDescent="0.25">
      <c r="B1" s="308" t="s">
        <v>90</v>
      </c>
      <c r="C1" s="309"/>
      <c r="D1" s="309"/>
      <c r="E1" s="312">
        <f>Kompetenzraster!Q7</f>
        <v>45161</v>
      </c>
      <c r="F1" s="313"/>
      <c r="G1" s="316">
        <v>2</v>
      </c>
    </row>
    <row r="2" spans="2:11" x14ac:dyDescent="0.25">
      <c r="B2" s="310"/>
      <c r="C2" s="311"/>
      <c r="D2" s="311"/>
      <c r="E2" s="314"/>
      <c r="F2" s="315"/>
      <c r="G2" s="317"/>
    </row>
    <row r="3" spans="2:11" ht="15.75" customHeight="1" x14ac:dyDescent="0.25">
      <c r="B3" s="318" t="s">
        <v>91</v>
      </c>
      <c r="C3" s="319"/>
      <c r="D3" s="319"/>
      <c r="E3" s="319"/>
      <c r="F3" s="322">
        <v>7.3</v>
      </c>
      <c r="G3" s="324" t="s">
        <v>92</v>
      </c>
    </row>
    <row r="4" spans="2:11" ht="14.25" customHeight="1" x14ac:dyDescent="0.25">
      <c r="B4" s="320"/>
      <c r="C4" s="321"/>
      <c r="D4" s="321"/>
      <c r="E4" s="321"/>
      <c r="F4" s="323"/>
      <c r="G4" s="325"/>
    </row>
    <row r="5" spans="2:11" ht="15.75" customHeight="1" x14ac:dyDescent="0.25">
      <c r="B5" s="326" t="s">
        <v>93</v>
      </c>
      <c r="C5" s="66"/>
      <c r="D5" s="67"/>
      <c r="E5" s="67"/>
      <c r="F5" s="68"/>
      <c r="G5" s="69"/>
    </row>
    <row r="6" spans="2:11" x14ac:dyDescent="0.25">
      <c r="B6" s="327"/>
      <c r="C6" s="70" t="s">
        <v>100</v>
      </c>
      <c r="F6" s="71"/>
      <c r="G6" s="72"/>
    </row>
    <row r="7" spans="2:11" ht="15.75" x14ac:dyDescent="0.3">
      <c r="B7" s="327"/>
      <c r="C7" s="73" t="s">
        <v>115</v>
      </c>
      <c r="F7" s="72"/>
      <c r="G7" s="72"/>
    </row>
    <row r="8" spans="2:11" ht="15.75" x14ac:dyDescent="0.3">
      <c r="B8" s="327"/>
      <c r="C8" s="73"/>
      <c r="F8" s="72"/>
      <c r="G8" s="74"/>
    </row>
    <row r="9" spans="2:11" x14ac:dyDescent="0.25">
      <c r="B9" s="327"/>
      <c r="C9" s="70" t="s">
        <v>116</v>
      </c>
      <c r="F9" s="72"/>
      <c r="G9" s="72"/>
    </row>
    <row r="10" spans="2:11" ht="15.75" x14ac:dyDescent="0.3">
      <c r="B10" s="327"/>
      <c r="C10" s="73" t="s">
        <v>117</v>
      </c>
      <c r="F10" s="72"/>
      <c r="G10" s="72"/>
    </row>
    <row r="11" spans="2:11" ht="15.75" x14ac:dyDescent="0.3">
      <c r="B11" s="327"/>
      <c r="C11" s="73" t="s">
        <v>118</v>
      </c>
      <c r="F11" s="72"/>
      <c r="G11" s="75"/>
    </row>
    <row r="12" spans="2:11" ht="15.75" x14ac:dyDescent="0.3">
      <c r="B12" s="327"/>
      <c r="C12" s="73" t="s">
        <v>119</v>
      </c>
      <c r="F12" s="72"/>
      <c r="G12" s="75"/>
    </row>
    <row r="13" spans="2:11" ht="15.75" x14ac:dyDescent="0.3">
      <c r="B13" s="327"/>
      <c r="C13" s="73"/>
      <c r="F13" s="72"/>
      <c r="G13" s="75"/>
    </row>
    <row r="14" spans="2:11" ht="16.5" x14ac:dyDescent="0.25">
      <c r="B14" s="327"/>
      <c r="C14" s="84"/>
      <c r="F14" s="72"/>
      <c r="G14" s="72"/>
      <c r="K14" s="77"/>
    </row>
    <row r="15" spans="2:11" ht="16.5" x14ac:dyDescent="0.25">
      <c r="B15" s="327"/>
      <c r="C15" s="84"/>
      <c r="F15" s="72"/>
      <c r="G15" s="72"/>
      <c r="K15" s="77"/>
    </row>
    <row r="16" spans="2:11" ht="16.5" x14ac:dyDescent="0.25">
      <c r="B16" s="327"/>
      <c r="C16" s="85"/>
      <c r="D16" s="78"/>
      <c r="E16" s="78"/>
      <c r="F16" s="79"/>
      <c r="G16" s="72"/>
      <c r="K16" s="77"/>
    </row>
    <row r="17" spans="2:11" ht="15.75" customHeight="1" x14ac:dyDescent="0.25">
      <c r="B17" s="328"/>
      <c r="C17" s="331" t="s">
        <v>102</v>
      </c>
      <c r="D17" s="332"/>
      <c r="E17" s="332"/>
      <c r="F17" s="332"/>
      <c r="G17" s="333"/>
      <c r="K17" s="77"/>
    </row>
    <row r="18" spans="2:11" ht="15" customHeight="1" x14ac:dyDescent="0.3">
      <c r="B18" s="329"/>
      <c r="C18" s="334" t="s">
        <v>103</v>
      </c>
      <c r="D18" s="335"/>
      <c r="E18" s="335"/>
      <c r="F18" s="335"/>
      <c r="G18" s="336"/>
    </row>
    <row r="19" spans="2:11" ht="15" customHeight="1" x14ac:dyDescent="0.3">
      <c r="B19" s="329"/>
      <c r="C19" s="337" t="s">
        <v>104</v>
      </c>
      <c r="D19" s="338"/>
      <c r="E19" s="338"/>
      <c r="F19" s="338"/>
      <c r="G19" s="339"/>
    </row>
    <row r="20" spans="2:11" ht="15.75" customHeight="1" x14ac:dyDescent="0.3">
      <c r="B20" s="329"/>
      <c r="C20" s="337"/>
      <c r="D20" s="338"/>
      <c r="E20" s="338"/>
      <c r="F20" s="338"/>
      <c r="G20" s="339"/>
    </row>
    <row r="21" spans="2:11" ht="15" customHeight="1" x14ac:dyDescent="0.3">
      <c r="B21" s="330"/>
      <c r="C21" s="340"/>
      <c r="D21" s="341"/>
      <c r="E21" s="341"/>
      <c r="F21" s="341"/>
      <c r="G21" s="342"/>
    </row>
    <row r="22" spans="2:11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11" ht="15" customHeight="1" x14ac:dyDescent="0.25">
      <c r="B23" s="352"/>
      <c r="C23" s="353"/>
      <c r="D23" s="353"/>
      <c r="E23" s="353"/>
      <c r="F23" s="353"/>
      <c r="G23" s="354"/>
    </row>
    <row r="24" spans="2:11" ht="16.5" customHeight="1" x14ac:dyDescent="0.25">
      <c r="B24" s="355" t="s">
        <v>106</v>
      </c>
      <c r="C24" s="356"/>
      <c r="D24" s="356"/>
      <c r="E24" s="356"/>
      <c r="F24" s="358">
        <v>7.1</v>
      </c>
      <c r="G24" s="360" t="s">
        <v>92</v>
      </c>
      <c r="J24" s="77"/>
    </row>
    <row r="25" spans="2:11" ht="15.75" customHeight="1" x14ac:dyDescent="0.25">
      <c r="B25" s="357"/>
      <c r="C25" s="210"/>
      <c r="D25" s="210"/>
      <c r="E25" s="210"/>
      <c r="F25" s="359"/>
      <c r="G25" s="361"/>
    </row>
    <row r="26" spans="2:11" x14ac:dyDescent="0.25">
      <c r="B26" s="362" t="s">
        <v>107</v>
      </c>
      <c r="C26" s="66"/>
      <c r="D26" s="67"/>
      <c r="E26" s="67"/>
      <c r="F26" s="68"/>
      <c r="G26" s="69"/>
    </row>
    <row r="27" spans="2:11" ht="17.25" x14ac:dyDescent="0.3">
      <c r="B27" s="363"/>
      <c r="C27" s="70" t="s">
        <v>94</v>
      </c>
      <c r="D27" s="76"/>
      <c r="F27" s="72"/>
      <c r="G27" s="72"/>
      <c r="I27" s="77"/>
    </row>
    <row r="28" spans="2:11" ht="17.25" x14ac:dyDescent="0.3">
      <c r="B28" s="363"/>
      <c r="C28" s="73" t="s">
        <v>120</v>
      </c>
      <c r="E28" s="76"/>
      <c r="F28" s="74"/>
      <c r="G28" s="72"/>
      <c r="I28" s="77"/>
    </row>
    <row r="29" spans="2:11" ht="15.75" customHeight="1" x14ac:dyDescent="0.25">
      <c r="B29" s="363"/>
      <c r="C29" s="70" t="s">
        <v>98</v>
      </c>
      <c r="F29" s="72"/>
      <c r="G29" s="72"/>
    </row>
    <row r="30" spans="2:11" ht="15.75" customHeight="1" x14ac:dyDescent="0.3">
      <c r="B30" s="363"/>
      <c r="C30" s="73" t="s">
        <v>121</v>
      </c>
      <c r="F30" s="72"/>
      <c r="G30" s="72"/>
    </row>
    <row r="31" spans="2:11" ht="15.75" customHeight="1" x14ac:dyDescent="0.3">
      <c r="B31" s="363"/>
      <c r="C31" s="80"/>
      <c r="D31" s="78"/>
      <c r="E31" s="78"/>
      <c r="F31" s="79"/>
      <c r="G31" s="79"/>
    </row>
    <row r="32" spans="2:11" x14ac:dyDescent="0.25">
      <c r="B32" s="364"/>
      <c r="C32" s="367" t="s">
        <v>102</v>
      </c>
      <c r="D32" s="368"/>
      <c r="E32" s="368"/>
      <c r="F32" s="368"/>
      <c r="G32" s="369"/>
    </row>
    <row r="33" spans="2:7" ht="15.75" x14ac:dyDescent="0.3">
      <c r="B33" s="363"/>
      <c r="C33" s="81" t="s">
        <v>111</v>
      </c>
      <c r="D33" s="82"/>
      <c r="E33" s="82"/>
      <c r="F33" s="82"/>
      <c r="G33" s="83"/>
    </row>
    <row r="34" spans="2:7" ht="15.75" x14ac:dyDescent="0.3">
      <c r="B34" s="365"/>
      <c r="C34" s="73" t="s">
        <v>112</v>
      </c>
      <c r="G34" s="72"/>
    </row>
    <row r="35" spans="2:7" ht="15.75" x14ac:dyDescent="0.3">
      <c r="B35" s="365"/>
      <c r="C35" s="73"/>
      <c r="G35" s="72"/>
    </row>
    <row r="36" spans="2:7" ht="15.75" x14ac:dyDescent="0.3">
      <c r="B36" s="365"/>
      <c r="C36" s="73"/>
      <c r="G36" s="72"/>
    </row>
    <row r="37" spans="2:7" ht="15.75" customHeight="1" x14ac:dyDescent="0.3">
      <c r="B37" s="366"/>
      <c r="C37" s="80"/>
      <c r="D37" s="78"/>
      <c r="E37" s="78"/>
      <c r="F37" s="78"/>
      <c r="G37" s="79"/>
    </row>
    <row r="38" spans="2:7" ht="15.75" customHeight="1" x14ac:dyDescent="0.25">
      <c r="B38" s="343" t="s">
        <v>113</v>
      </c>
      <c r="C38" s="344"/>
      <c r="D38" s="344"/>
      <c r="E38" s="346" t="s">
        <v>114</v>
      </c>
      <c r="F38" s="344"/>
      <c r="G38" s="347"/>
    </row>
    <row r="39" spans="2:7" ht="15.75" customHeight="1" x14ac:dyDescent="0.25">
      <c r="B39" s="345"/>
      <c r="C39" s="250"/>
      <c r="D39" s="250"/>
      <c r="E39" s="345"/>
      <c r="F39" s="250"/>
      <c r="G39" s="348"/>
    </row>
    <row r="40" spans="2:7" ht="15.75" customHeight="1" x14ac:dyDescent="0.25">
      <c r="B40" s="84"/>
      <c r="D40" s="72"/>
      <c r="E40" s="84"/>
      <c r="G40" s="7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38:D39"/>
    <mergeCell ref="E38:G39"/>
    <mergeCell ref="B22:G23"/>
    <mergeCell ref="B24:E25"/>
    <mergeCell ref="F24:F25"/>
    <mergeCell ref="G24:G25"/>
    <mergeCell ref="B26:B37"/>
    <mergeCell ref="C32:G32"/>
    <mergeCell ref="B5:B21"/>
    <mergeCell ref="C17:G17"/>
    <mergeCell ref="C18:G18"/>
    <mergeCell ref="C19:G19"/>
    <mergeCell ref="C20:G20"/>
    <mergeCell ref="C21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80F5-0DA4-410D-B21C-C265DD1E06E5}">
  <dimension ref="B1:K48"/>
  <sheetViews>
    <sheetView view="pageLayout" topLeftCell="A2" zoomScaleNormal="100" workbookViewId="0">
      <selection activeCell="E16" sqref="E16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1" x14ac:dyDescent="0.25">
      <c r="B1" s="308" t="s">
        <v>90</v>
      </c>
      <c r="C1" s="309"/>
      <c r="D1" s="309"/>
      <c r="E1" s="312">
        <f>Kompetenzraster!Q9</f>
        <v>45168</v>
      </c>
      <c r="F1" s="313"/>
      <c r="G1" s="316">
        <v>3</v>
      </c>
    </row>
    <row r="2" spans="2:11" x14ac:dyDescent="0.25">
      <c r="B2" s="310"/>
      <c r="C2" s="311"/>
      <c r="D2" s="311"/>
      <c r="E2" s="314"/>
      <c r="F2" s="315"/>
      <c r="G2" s="317"/>
    </row>
    <row r="3" spans="2:11" ht="15.75" customHeight="1" x14ac:dyDescent="0.25">
      <c r="B3" s="318" t="s">
        <v>91</v>
      </c>
      <c r="C3" s="319"/>
      <c r="D3" s="319"/>
      <c r="E3" s="319"/>
      <c r="F3" s="322">
        <v>7.3</v>
      </c>
      <c r="G3" s="324" t="s">
        <v>92</v>
      </c>
    </row>
    <row r="4" spans="2:11" ht="14.25" customHeight="1" x14ac:dyDescent="0.25">
      <c r="B4" s="320"/>
      <c r="C4" s="321"/>
      <c r="D4" s="321"/>
      <c r="E4" s="321"/>
      <c r="F4" s="323"/>
      <c r="G4" s="370"/>
    </row>
    <row r="5" spans="2:11" ht="15.75" customHeight="1" x14ac:dyDescent="0.25">
      <c r="B5" s="326" t="s">
        <v>93</v>
      </c>
      <c r="C5" s="66"/>
      <c r="D5" s="67"/>
      <c r="E5" s="67"/>
      <c r="F5" s="68"/>
      <c r="G5" s="69"/>
    </row>
    <row r="6" spans="2:11" x14ac:dyDescent="0.25">
      <c r="B6" s="327"/>
      <c r="C6" s="70" t="s">
        <v>116</v>
      </c>
      <c r="F6" s="71"/>
      <c r="G6" s="72"/>
    </row>
    <row r="7" spans="2:11" ht="15.75" x14ac:dyDescent="0.3">
      <c r="B7" s="327"/>
      <c r="C7" s="73" t="s">
        <v>126</v>
      </c>
      <c r="E7" s="76" t="s">
        <v>131</v>
      </c>
      <c r="F7" s="72"/>
      <c r="G7" s="72"/>
    </row>
    <row r="8" spans="2:11" ht="15.75" x14ac:dyDescent="0.3">
      <c r="B8" s="327"/>
      <c r="C8" s="73" t="s">
        <v>122</v>
      </c>
      <c r="F8" s="72"/>
      <c r="G8" s="74"/>
    </row>
    <row r="9" spans="2:11" ht="15.75" x14ac:dyDescent="0.3">
      <c r="B9" s="327"/>
      <c r="C9" s="73" t="s">
        <v>123</v>
      </c>
      <c r="F9" s="72"/>
      <c r="G9" s="72"/>
    </row>
    <row r="10" spans="2:11" x14ac:dyDescent="0.25">
      <c r="B10" s="327"/>
      <c r="C10" s="84"/>
      <c r="F10" s="72"/>
      <c r="G10" s="72"/>
    </row>
    <row r="11" spans="2:11" x14ac:dyDescent="0.25">
      <c r="B11" s="327"/>
      <c r="C11" s="70" t="s">
        <v>127</v>
      </c>
      <c r="F11" s="72"/>
      <c r="G11" s="75"/>
    </row>
    <row r="12" spans="2:11" ht="15.75" x14ac:dyDescent="0.3">
      <c r="B12" s="327"/>
      <c r="C12" s="73" t="s">
        <v>128</v>
      </c>
      <c r="F12" s="72"/>
      <c r="G12" s="72"/>
    </row>
    <row r="13" spans="2:11" ht="15.75" x14ac:dyDescent="0.3">
      <c r="B13" s="327"/>
      <c r="C13" s="73" t="s">
        <v>129</v>
      </c>
      <c r="F13" s="72"/>
      <c r="G13" s="72"/>
    </row>
    <row r="14" spans="2:11" ht="16.5" x14ac:dyDescent="0.25">
      <c r="B14" s="327"/>
      <c r="C14" s="84"/>
      <c r="F14" s="72"/>
      <c r="G14" s="75" t="s">
        <v>124</v>
      </c>
      <c r="K14" s="77"/>
    </row>
    <row r="15" spans="2:11" ht="16.5" x14ac:dyDescent="0.25">
      <c r="B15" s="327"/>
      <c r="C15" s="88" t="s">
        <v>130</v>
      </c>
      <c r="F15" s="72"/>
      <c r="G15" s="72"/>
      <c r="K15" s="77"/>
    </row>
    <row r="16" spans="2:11" ht="16.5" x14ac:dyDescent="0.25">
      <c r="B16" s="327"/>
      <c r="C16" s="85"/>
      <c r="D16" s="78"/>
      <c r="E16" s="78"/>
      <c r="F16" s="79"/>
      <c r="G16" s="79"/>
      <c r="K16" s="77"/>
    </row>
    <row r="17" spans="2:11" ht="15.75" customHeight="1" x14ac:dyDescent="0.25">
      <c r="B17" s="328"/>
      <c r="C17" s="371" t="s">
        <v>102</v>
      </c>
      <c r="D17" s="372"/>
      <c r="E17" s="372"/>
      <c r="F17" s="372"/>
      <c r="G17" s="373"/>
      <c r="K17" s="77"/>
    </row>
    <row r="18" spans="2:11" ht="15" customHeight="1" x14ac:dyDescent="0.3">
      <c r="B18" s="329"/>
      <c r="C18" s="334" t="s">
        <v>103</v>
      </c>
      <c r="D18" s="335"/>
      <c r="E18" s="335"/>
      <c r="F18" s="335"/>
      <c r="G18" s="336"/>
    </row>
    <row r="19" spans="2:11" ht="15" customHeight="1" x14ac:dyDescent="0.3">
      <c r="B19" s="329"/>
      <c r="C19" s="337" t="s">
        <v>104</v>
      </c>
      <c r="D19" s="338"/>
      <c r="E19" s="338"/>
      <c r="F19" s="338"/>
      <c r="G19" s="339"/>
    </row>
    <row r="20" spans="2:11" ht="15.75" customHeight="1" x14ac:dyDescent="0.3">
      <c r="B20" s="329"/>
      <c r="C20" s="337"/>
      <c r="D20" s="338"/>
      <c r="E20" s="338"/>
      <c r="F20" s="338"/>
      <c r="G20" s="339"/>
    </row>
    <row r="21" spans="2:11" ht="15" customHeight="1" x14ac:dyDescent="0.3">
      <c r="B21" s="330"/>
      <c r="C21" s="340"/>
      <c r="D21" s="341"/>
      <c r="E21" s="341"/>
      <c r="F21" s="341"/>
      <c r="G21" s="342"/>
    </row>
    <row r="22" spans="2:11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11" ht="15" customHeight="1" x14ac:dyDescent="0.25">
      <c r="B23" s="352"/>
      <c r="C23" s="353"/>
      <c r="D23" s="353"/>
      <c r="E23" s="353"/>
      <c r="F23" s="353"/>
      <c r="G23" s="354"/>
    </row>
    <row r="24" spans="2:11" ht="16.5" customHeight="1" x14ac:dyDescent="0.25">
      <c r="B24" s="355" t="s">
        <v>106</v>
      </c>
      <c r="C24" s="356"/>
      <c r="D24" s="356"/>
      <c r="E24" s="356"/>
      <c r="F24" s="358">
        <v>7.1</v>
      </c>
      <c r="G24" s="360" t="s">
        <v>92</v>
      </c>
      <c r="J24" s="77"/>
    </row>
    <row r="25" spans="2:11" ht="15.75" customHeight="1" x14ac:dyDescent="0.25">
      <c r="B25" s="357"/>
      <c r="C25" s="210"/>
      <c r="D25" s="210"/>
      <c r="E25" s="210"/>
      <c r="F25" s="359"/>
      <c r="G25" s="361"/>
    </row>
    <row r="26" spans="2:11" x14ac:dyDescent="0.25">
      <c r="B26" s="362" t="s">
        <v>107</v>
      </c>
      <c r="C26" s="66"/>
      <c r="D26" s="67"/>
      <c r="E26" s="67"/>
      <c r="F26" s="68"/>
      <c r="G26" s="69"/>
    </row>
    <row r="27" spans="2:11" ht="16.5" x14ac:dyDescent="0.25">
      <c r="B27" s="363"/>
      <c r="C27" s="70" t="s">
        <v>98</v>
      </c>
      <c r="F27" s="72"/>
      <c r="G27" s="72"/>
      <c r="I27" s="77"/>
    </row>
    <row r="28" spans="2:11" ht="17.25" x14ac:dyDescent="0.3">
      <c r="B28" s="363"/>
      <c r="C28" s="73" t="s">
        <v>125</v>
      </c>
      <c r="F28" s="74"/>
      <c r="G28" s="72"/>
      <c r="I28" s="77"/>
    </row>
    <row r="29" spans="2:11" ht="15.75" customHeight="1" x14ac:dyDescent="0.3">
      <c r="B29" s="363"/>
      <c r="C29" s="73" t="s">
        <v>132</v>
      </c>
      <c r="F29" s="72"/>
      <c r="G29" s="86"/>
    </row>
    <row r="30" spans="2:11" ht="15.75" customHeight="1" x14ac:dyDescent="0.3">
      <c r="B30" s="363"/>
      <c r="C30" s="87"/>
      <c r="F30" s="72"/>
      <c r="G30" s="72"/>
    </row>
    <row r="31" spans="2:11" ht="15.75" customHeight="1" x14ac:dyDescent="0.3">
      <c r="B31" s="363"/>
      <c r="C31" s="80"/>
      <c r="D31" s="78"/>
      <c r="E31" s="78"/>
      <c r="F31" s="79"/>
      <c r="G31" s="79"/>
    </row>
    <row r="32" spans="2:11" x14ac:dyDescent="0.25">
      <c r="B32" s="364"/>
      <c r="C32" s="367" t="s">
        <v>102</v>
      </c>
      <c r="D32" s="368"/>
      <c r="E32" s="368"/>
      <c r="F32" s="368"/>
      <c r="G32" s="369"/>
    </row>
    <row r="33" spans="2:7" ht="15.75" x14ac:dyDescent="0.3">
      <c r="B33" s="363"/>
      <c r="C33" s="81" t="s">
        <v>111</v>
      </c>
      <c r="D33" s="82"/>
      <c r="E33" s="82"/>
      <c r="F33" s="82"/>
      <c r="G33" s="83"/>
    </row>
    <row r="34" spans="2:7" ht="15.75" x14ac:dyDescent="0.3">
      <c r="B34" s="365"/>
      <c r="C34" s="73" t="s">
        <v>112</v>
      </c>
      <c r="G34" s="72"/>
    </row>
    <row r="35" spans="2:7" ht="15.75" x14ac:dyDescent="0.3">
      <c r="B35" s="365"/>
      <c r="C35" s="73"/>
      <c r="G35" s="72"/>
    </row>
    <row r="36" spans="2:7" ht="15.75" x14ac:dyDescent="0.3">
      <c r="B36" s="365"/>
      <c r="C36" s="73"/>
      <c r="G36" s="72"/>
    </row>
    <row r="37" spans="2:7" ht="15.75" customHeight="1" x14ac:dyDescent="0.3">
      <c r="B37" s="366"/>
      <c r="C37" s="80"/>
      <c r="D37" s="78"/>
      <c r="E37" s="78"/>
      <c r="F37" s="78"/>
      <c r="G37" s="79"/>
    </row>
    <row r="38" spans="2:7" ht="15.75" customHeight="1" x14ac:dyDescent="0.25">
      <c r="B38" s="343" t="s">
        <v>113</v>
      </c>
      <c r="C38" s="344"/>
      <c r="D38" s="344"/>
      <c r="E38" s="346" t="s">
        <v>114</v>
      </c>
      <c r="F38" s="344"/>
      <c r="G38" s="347"/>
    </row>
    <row r="39" spans="2:7" ht="15.75" customHeight="1" x14ac:dyDescent="0.25">
      <c r="B39" s="345"/>
      <c r="C39" s="250"/>
      <c r="D39" s="250"/>
      <c r="E39" s="345"/>
      <c r="F39" s="250"/>
      <c r="G39" s="348"/>
    </row>
    <row r="40" spans="2:7" ht="15.75" customHeight="1" x14ac:dyDescent="0.25">
      <c r="B40" s="84"/>
      <c r="D40" s="72"/>
      <c r="E40" s="84"/>
      <c r="G40" s="7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38:D39"/>
    <mergeCell ref="E38:G39"/>
    <mergeCell ref="B22:G23"/>
    <mergeCell ref="B24:E25"/>
    <mergeCell ref="F24:F25"/>
    <mergeCell ref="G24:G25"/>
    <mergeCell ref="B26:B37"/>
    <mergeCell ref="C32:G32"/>
    <mergeCell ref="B5:B21"/>
    <mergeCell ref="C17:G17"/>
    <mergeCell ref="C18:G18"/>
    <mergeCell ref="C19:G19"/>
    <mergeCell ref="C20:G20"/>
    <mergeCell ref="C21:G21"/>
    <mergeCell ref="B1:D2"/>
    <mergeCell ref="E1:F2"/>
    <mergeCell ref="G1:G2"/>
    <mergeCell ref="B3:E4"/>
    <mergeCell ref="F3:F4"/>
    <mergeCell ref="G3:G4"/>
  </mergeCells>
  <hyperlinks>
    <hyperlink ref="C15" r:id="rId1" xr:uid="{3F9CAB1C-52D9-41EB-8E8B-7B4056F73879}"/>
  </hyperlinks>
  <pageMargins left="0.25" right="0.25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1F16-8442-4C98-81F8-A54A0240A4E1}">
  <dimension ref="B1:K48"/>
  <sheetViews>
    <sheetView tabSelected="1" view="pageLayout" zoomScaleNormal="100" workbookViewId="0">
      <selection activeCell="D10" sqref="D10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1" x14ac:dyDescent="0.25">
      <c r="B1" s="308" t="s">
        <v>90</v>
      </c>
      <c r="C1" s="309"/>
      <c r="D1" s="309"/>
      <c r="E1" s="312">
        <f>Kompetenzraster!Q11</f>
        <v>45175</v>
      </c>
      <c r="F1" s="313"/>
      <c r="G1" s="316">
        <v>4</v>
      </c>
    </row>
    <row r="2" spans="2:11" x14ac:dyDescent="0.25">
      <c r="B2" s="310"/>
      <c r="C2" s="311"/>
      <c r="D2" s="311"/>
      <c r="E2" s="314"/>
      <c r="F2" s="315"/>
      <c r="G2" s="317"/>
    </row>
    <row r="3" spans="2:11" ht="15.75" customHeight="1" x14ac:dyDescent="0.25">
      <c r="B3" s="382" t="s">
        <v>134</v>
      </c>
      <c r="C3" s="383"/>
      <c r="D3" s="383"/>
      <c r="E3" s="383"/>
      <c r="F3" s="386">
        <v>7.6</v>
      </c>
      <c r="G3" s="388" t="s">
        <v>92</v>
      </c>
    </row>
    <row r="4" spans="2:11" ht="14.25" customHeight="1" x14ac:dyDescent="0.25">
      <c r="B4" s="384"/>
      <c r="C4" s="385"/>
      <c r="D4" s="385"/>
      <c r="E4" s="385"/>
      <c r="F4" s="387"/>
      <c r="G4" s="389"/>
    </row>
    <row r="5" spans="2:11" ht="15.75" customHeight="1" x14ac:dyDescent="0.25">
      <c r="B5" s="374" t="s">
        <v>93</v>
      </c>
      <c r="C5" s="93" t="s">
        <v>136</v>
      </c>
      <c r="D5" s="94"/>
      <c r="E5" s="94"/>
      <c r="F5" s="95" t="s">
        <v>135</v>
      </c>
      <c r="G5" s="69"/>
    </row>
    <row r="6" spans="2:11" x14ac:dyDescent="0.25">
      <c r="B6" s="375"/>
      <c r="C6" s="89"/>
      <c r="D6" s="90"/>
      <c r="F6" s="71"/>
      <c r="G6" s="72"/>
    </row>
    <row r="7" spans="2:11" ht="15.75" x14ac:dyDescent="0.3">
      <c r="B7" s="375"/>
      <c r="C7" s="96" t="s">
        <v>138</v>
      </c>
      <c r="D7" s="97"/>
      <c r="E7" s="98"/>
      <c r="F7" s="72"/>
      <c r="G7" s="72"/>
    </row>
    <row r="8" spans="2:11" ht="15.75" x14ac:dyDescent="0.3">
      <c r="B8" s="375"/>
      <c r="C8" s="99" t="s">
        <v>139</v>
      </c>
      <c r="D8" s="97"/>
      <c r="E8" s="97"/>
      <c r="F8" s="72"/>
      <c r="G8" s="74"/>
    </row>
    <row r="9" spans="2:11" x14ac:dyDescent="0.25">
      <c r="B9" s="375"/>
      <c r="C9" s="96" t="s">
        <v>94</v>
      </c>
      <c r="D9" s="97"/>
      <c r="E9" s="97"/>
      <c r="F9" s="72"/>
      <c r="G9" s="72"/>
    </row>
    <row r="10" spans="2:11" ht="15.75" x14ac:dyDescent="0.3">
      <c r="B10" s="375"/>
      <c r="C10" s="99" t="s">
        <v>140</v>
      </c>
      <c r="D10" s="97"/>
      <c r="E10" s="97"/>
      <c r="F10" s="72"/>
      <c r="G10" s="72"/>
    </row>
    <row r="11" spans="2:11" ht="15.75" x14ac:dyDescent="0.3">
      <c r="B11" s="375"/>
      <c r="C11" s="99" t="s">
        <v>141</v>
      </c>
      <c r="D11" s="97"/>
      <c r="E11" s="97"/>
      <c r="F11" s="72"/>
      <c r="G11" s="75"/>
    </row>
    <row r="12" spans="2:11" ht="15.75" x14ac:dyDescent="0.3">
      <c r="B12" s="375"/>
      <c r="C12" s="99" t="s">
        <v>260</v>
      </c>
      <c r="D12" s="97"/>
      <c r="E12" s="97"/>
      <c r="F12" s="72"/>
      <c r="G12" s="72"/>
    </row>
    <row r="13" spans="2:11" ht="15.75" x14ac:dyDescent="0.3">
      <c r="B13" s="375"/>
      <c r="C13" s="99" t="s">
        <v>142</v>
      </c>
      <c r="D13" s="97"/>
      <c r="E13" s="97"/>
      <c r="F13" s="72"/>
      <c r="G13" s="72"/>
    </row>
    <row r="14" spans="2:11" ht="17.25" x14ac:dyDescent="0.3">
      <c r="B14" s="375"/>
      <c r="C14" s="99" t="s">
        <v>143</v>
      </c>
      <c r="D14" s="90"/>
      <c r="F14" s="72"/>
      <c r="G14" s="75"/>
      <c r="K14" s="77"/>
    </row>
    <row r="15" spans="2:11" ht="16.5" x14ac:dyDescent="0.25">
      <c r="B15" s="375"/>
      <c r="C15" s="379" t="s">
        <v>137</v>
      </c>
      <c r="D15" s="380"/>
      <c r="E15" s="380"/>
      <c r="F15" s="381"/>
      <c r="G15" s="72"/>
      <c r="K15" s="77"/>
    </row>
    <row r="16" spans="2:11" ht="16.5" x14ac:dyDescent="0.25">
      <c r="B16" s="375"/>
      <c r="C16" s="85"/>
      <c r="D16" s="78"/>
      <c r="E16" s="78"/>
      <c r="F16" s="79"/>
      <c r="G16" s="79"/>
      <c r="K16" s="77"/>
    </row>
    <row r="17" spans="2:11" ht="15.75" customHeight="1" x14ac:dyDescent="0.25">
      <c r="B17" s="376"/>
      <c r="C17" s="371" t="s">
        <v>102</v>
      </c>
      <c r="D17" s="372"/>
      <c r="E17" s="372"/>
      <c r="F17" s="372"/>
      <c r="G17" s="373"/>
      <c r="K17" s="77"/>
    </row>
    <row r="18" spans="2:11" ht="15" customHeight="1" x14ac:dyDescent="0.3">
      <c r="B18" s="377"/>
      <c r="C18" s="334" t="s">
        <v>154</v>
      </c>
      <c r="D18" s="335"/>
      <c r="E18" s="335"/>
      <c r="F18" s="335"/>
      <c r="G18" s="336"/>
    </row>
    <row r="19" spans="2:11" ht="15" customHeight="1" x14ac:dyDescent="0.3">
      <c r="B19" s="377"/>
      <c r="C19" s="337" t="s">
        <v>155</v>
      </c>
      <c r="D19" s="338"/>
      <c r="E19" s="338"/>
      <c r="F19" s="338"/>
      <c r="G19" s="339"/>
    </row>
    <row r="20" spans="2:11" ht="15.75" customHeight="1" x14ac:dyDescent="0.3">
      <c r="B20" s="377"/>
      <c r="C20" s="337" t="s">
        <v>156</v>
      </c>
      <c r="D20" s="338"/>
      <c r="E20" s="338"/>
      <c r="F20" s="338"/>
      <c r="G20" s="339"/>
    </row>
    <row r="21" spans="2:11" ht="15" customHeight="1" x14ac:dyDescent="0.3">
      <c r="B21" s="378"/>
      <c r="C21" s="340" t="s">
        <v>157</v>
      </c>
      <c r="D21" s="341"/>
      <c r="E21" s="341"/>
      <c r="F21" s="341"/>
      <c r="G21" s="342"/>
    </row>
    <row r="22" spans="2:11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11" ht="15" customHeight="1" x14ac:dyDescent="0.25">
      <c r="B23" s="352"/>
      <c r="C23" s="353"/>
      <c r="D23" s="353"/>
      <c r="E23" s="353"/>
      <c r="F23" s="353"/>
      <c r="G23" s="354"/>
    </row>
    <row r="24" spans="2:11" ht="16.5" customHeight="1" x14ac:dyDescent="0.25">
      <c r="B24" s="355" t="s">
        <v>106</v>
      </c>
      <c r="C24" s="356"/>
      <c r="D24" s="356"/>
      <c r="E24" s="356"/>
      <c r="F24" s="358">
        <v>7.1</v>
      </c>
      <c r="G24" s="360" t="s">
        <v>92</v>
      </c>
      <c r="J24" s="77"/>
    </row>
    <row r="25" spans="2:11" ht="15.75" customHeight="1" x14ac:dyDescent="0.25">
      <c r="B25" s="357"/>
      <c r="C25" s="210"/>
      <c r="D25" s="210"/>
      <c r="E25" s="210"/>
      <c r="F25" s="359"/>
      <c r="G25" s="361"/>
    </row>
    <row r="26" spans="2:11" x14ac:dyDescent="0.25">
      <c r="B26" s="362" t="s">
        <v>107</v>
      </c>
      <c r="C26" s="66"/>
      <c r="D26" s="67"/>
      <c r="E26" s="67"/>
      <c r="F26" s="68"/>
      <c r="G26" s="100"/>
    </row>
    <row r="27" spans="2:11" ht="16.5" x14ac:dyDescent="0.25">
      <c r="B27" s="363"/>
      <c r="C27" s="70" t="s">
        <v>100</v>
      </c>
      <c r="F27" s="72"/>
      <c r="G27" s="92"/>
      <c r="I27" s="77"/>
    </row>
    <row r="28" spans="2:11" ht="17.25" x14ac:dyDescent="0.3">
      <c r="B28" s="363"/>
      <c r="C28" s="73" t="s">
        <v>133</v>
      </c>
      <c r="F28" s="74"/>
      <c r="G28" s="92"/>
      <c r="I28" s="77"/>
    </row>
    <row r="29" spans="2:11" ht="15.75" customHeight="1" x14ac:dyDescent="0.3">
      <c r="B29" s="363"/>
      <c r="C29" s="87"/>
      <c r="F29" s="72"/>
      <c r="G29" s="92"/>
    </row>
    <row r="30" spans="2:11" ht="15.75" customHeight="1" x14ac:dyDescent="0.3">
      <c r="B30" s="363"/>
      <c r="C30" s="87"/>
      <c r="F30" s="72"/>
      <c r="G30" s="86" t="s">
        <v>124</v>
      </c>
    </row>
    <row r="31" spans="2:11" ht="15.75" customHeight="1" x14ac:dyDescent="0.3">
      <c r="B31" s="363"/>
      <c r="C31" s="87"/>
      <c r="F31" s="72"/>
      <c r="G31" s="92"/>
    </row>
    <row r="32" spans="2:11" ht="15.75" customHeight="1" x14ac:dyDescent="0.3">
      <c r="B32" s="363"/>
      <c r="C32" s="80"/>
      <c r="D32" s="78"/>
      <c r="E32" s="78"/>
      <c r="F32" s="79"/>
      <c r="G32" s="65"/>
    </row>
    <row r="33" spans="2:7" x14ac:dyDescent="0.25">
      <c r="B33" s="364"/>
      <c r="C33" s="367" t="s">
        <v>102</v>
      </c>
      <c r="D33" s="368"/>
      <c r="E33" s="368"/>
      <c r="F33" s="368"/>
      <c r="G33" s="369"/>
    </row>
    <row r="34" spans="2:7" ht="15.75" x14ac:dyDescent="0.3">
      <c r="B34" s="363"/>
      <c r="C34" s="81" t="s">
        <v>111</v>
      </c>
      <c r="D34" s="82"/>
      <c r="E34" s="82"/>
      <c r="F34" s="82"/>
      <c r="G34" s="83"/>
    </row>
    <row r="35" spans="2:7" ht="15.75" x14ac:dyDescent="0.3">
      <c r="B35" s="365"/>
      <c r="C35" s="73" t="s">
        <v>112</v>
      </c>
      <c r="G35" s="72"/>
    </row>
    <row r="36" spans="2:7" ht="15.75" x14ac:dyDescent="0.3">
      <c r="B36" s="365"/>
      <c r="C36" s="73"/>
      <c r="G36" s="72"/>
    </row>
    <row r="37" spans="2:7" ht="15.75" x14ac:dyDescent="0.3">
      <c r="B37" s="365"/>
      <c r="C37" s="73"/>
      <c r="G37" s="72"/>
    </row>
    <row r="38" spans="2:7" ht="15.75" customHeight="1" x14ac:dyDescent="0.3">
      <c r="B38" s="366"/>
      <c r="C38" s="80"/>
      <c r="D38" s="78"/>
      <c r="E38" s="78"/>
      <c r="F38" s="78"/>
      <c r="G38" s="79"/>
    </row>
    <row r="39" spans="2:7" ht="15.75" customHeight="1" x14ac:dyDescent="0.25">
      <c r="B39" s="343" t="s">
        <v>113</v>
      </c>
      <c r="C39" s="344"/>
      <c r="D39" s="344"/>
      <c r="E39" s="346" t="s">
        <v>114</v>
      </c>
      <c r="F39" s="344"/>
      <c r="G39" s="347"/>
    </row>
    <row r="40" spans="2:7" ht="15.75" customHeight="1" x14ac:dyDescent="0.25">
      <c r="B40" s="345"/>
      <c r="C40" s="250"/>
      <c r="D40" s="250"/>
      <c r="E40" s="345"/>
      <c r="F40" s="250"/>
      <c r="G40" s="348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1">
    <mergeCell ref="B1:D2"/>
    <mergeCell ref="E1:F2"/>
    <mergeCell ref="G1:G2"/>
    <mergeCell ref="B3:E4"/>
    <mergeCell ref="F3:F4"/>
    <mergeCell ref="G3:G4"/>
    <mergeCell ref="B5:B21"/>
    <mergeCell ref="C17:G17"/>
    <mergeCell ref="C18:G18"/>
    <mergeCell ref="C19:G19"/>
    <mergeCell ref="C20:G20"/>
    <mergeCell ref="C21:G21"/>
    <mergeCell ref="C15:F15"/>
    <mergeCell ref="B39:D40"/>
    <mergeCell ref="E39:G40"/>
    <mergeCell ref="B22:G23"/>
    <mergeCell ref="B24:E25"/>
    <mergeCell ref="F24:F25"/>
    <mergeCell ref="G24:G25"/>
    <mergeCell ref="B26:B38"/>
    <mergeCell ref="C33:G33"/>
  </mergeCells>
  <pageMargins left="0.25" right="0.25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A821-D0A0-4948-B541-D2FF921413BA}">
  <dimension ref="B1:K48"/>
  <sheetViews>
    <sheetView view="pageLayout" zoomScaleNormal="100" workbookViewId="0">
      <selection activeCell="B3" sqref="B3:E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1" x14ac:dyDescent="0.25">
      <c r="B1" s="308" t="s">
        <v>90</v>
      </c>
      <c r="C1" s="309"/>
      <c r="D1" s="309"/>
      <c r="E1" s="312">
        <f>Kompetenzraster!Q13</f>
        <v>45182</v>
      </c>
      <c r="F1" s="313"/>
      <c r="G1" s="316">
        <v>5</v>
      </c>
    </row>
    <row r="2" spans="2:11" x14ac:dyDescent="0.25">
      <c r="B2" s="310"/>
      <c r="C2" s="311"/>
      <c r="D2" s="311"/>
      <c r="E2" s="314"/>
      <c r="F2" s="315"/>
      <c r="G2" s="317"/>
    </row>
    <row r="3" spans="2:11" ht="15.75" customHeight="1" x14ac:dyDescent="0.25">
      <c r="B3" s="382" t="s">
        <v>134</v>
      </c>
      <c r="C3" s="383"/>
      <c r="D3" s="383"/>
      <c r="E3" s="383"/>
      <c r="F3" s="386">
        <v>7.6</v>
      </c>
      <c r="G3" s="388" t="s">
        <v>92</v>
      </c>
    </row>
    <row r="4" spans="2:11" ht="14.25" customHeight="1" x14ac:dyDescent="0.25">
      <c r="B4" s="384"/>
      <c r="C4" s="385"/>
      <c r="D4" s="385"/>
      <c r="E4" s="385"/>
      <c r="F4" s="387"/>
      <c r="G4" s="389"/>
    </row>
    <row r="5" spans="2:11" ht="15.75" customHeight="1" x14ac:dyDescent="0.25">
      <c r="B5" s="390" t="s">
        <v>93</v>
      </c>
      <c r="C5" s="101"/>
      <c r="D5" s="102"/>
      <c r="E5" s="102"/>
      <c r="F5" s="103"/>
      <c r="G5" s="69"/>
    </row>
    <row r="6" spans="2:11" x14ac:dyDescent="0.25">
      <c r="B6" s="375"/>
      <c r="C6" s="96" t="s">
        <v>98</v>
      </c>
      <c r="D6" s="90"/>
      <c r="F6" s="71"/>
      <c r="G6" s="72"/>
    </row>
    <row r="7" spans="2:11" ht="15.75" x14ac:dyDescent="0.3">
      <c r="B7" s="375"/>
      <c r="C7" s="99" t="s">
        <v>150</v>
      </c>
      <c r="D7" s="97"/>
      <c r="E7" s="98"/>
      <c r="F7" s="72"/>
      <c r="G7" s="72"/>
    </row>
    <row r="8" spans="2:11" ht="15.75" x14ac:dyDescent="0.3">
      <c r="B8" s="375"/>
      <c r="C8" s="99" t="s">
        <v>146</v>
      </c>
      <c r="D8" s="97"/>
      <c r="E8" s="97"/>
      <c r="F8" s="72"/>
      <c r="G8" s="74"/>
    </row>
    <row r="9" spans="2:11" ht="15.75" x14ac:dyDescent="0.3">
      <c r="B9" s="375"/>
      <c r="C9" s="99" t="s">
        <v>147</v>
      </c>
      <c r="D9" s="97"/>
      <c r="E9" s="97"/>
      <c r="F9" s="72"/>
      <c r="G9" s="72"/>
    </row>
    <row r="10" spans="2:11" ht="15.75" x14ac:dyDescent="0.3">
      <c r="B10" s="375"/>
      <c r="C10" s="99" t="s">
        <v>148</v>
      </c>
      <c r="D10" s="97"/>
      <c r="E10" s="97"/>
      <c r="F10" s="72"/>
      <c r="G10" s="72"/>
    </row>
    <row r="11" spans="2:11" ht="15.75" x14ac:dyDescent="0.3">
      <c r="B11" s="375"/>
      <c r="C11" s="99"/>
      <c r="D11" s="97"/>
      <c r="E11" s="97"/>
      <c r="F11" s="72"/>
      <c r="G11" s="75"/>
    </row>
    <row r="12" spans="2:11" ht="15.75" x14ac:dyDescent="0.3">
      <c r="B12" s="375"/>
      <c r="C12" s="99"/>
      <c r="D12" s="97"/>
      <c r="E12" s="97"/>
      <c r="F12" s="72"/>
      <c r="G12" s="72"/>
    </row>
    <row r="13" spans="2:11" ht="15.75" x14ac:dyDescent="0.3">
      <c r="B13" s="375"/>
      <c r="C13" s="99"/>
      <c r="D13" s="97"/>
      <c r="E13" s="97"/>
      <c r="F13" s="72"/>
      <c r="G13" s="72"/>
    </row>
    <row r="14" spans="2:11" ht="16.5" x14ac:dyDescent="0.25">
      <c r="B14" s="375"/>
      <c r="C14" s="91"/>
      <c r="D14" s="90"/>
      <c r="F14" s="72"/>
      <c r="G14" s="75"/>
      <c r="K14" s="77"/>
    </row>
    <row r="15" spans="2:11" ht="16.5" x14ac:dyDescent="0.25">
      <c r="B15" s="375"/>
      <c r="C15" s="91"/>
      <c r="D15" s="90"/>
      <c r="F15" s="72"/>
      <c r="G15" s="72"/>
      <c r="K15" s="77"/>
    </row>
    <row r="16" spans="2:11" ht="16.5" x14ac:dyDescent="0.25">
      <c r="B16" s="375"/>
      <c r="C16" s="85"/>
      <c r="D16" s="78"/>
      <c r="E16" s="78"/>
      <c r="F16" s="79"/>
      <c r="G16" s="65"/>
      <c r="K16" s="77"/>
    </row>
    <row r="17" spans="2:11" ht="15.75" customHeight="1" x14ac:dyDescent="0.25">
      <c r="B17" s="376"/>
      <c r="C17" s="371" t="s">
        <v>102</v>
      </c>
      <c r="D17" s="372"/>
      <c r="E17" s="372"/>
      <c r="F17" s="372"/>
      <c r="G17" s="373"/>
      <c r="K17" s="77"/>
    </row>
    <row r="18" spans="2:11" ht="15" customHeight="1" x14ac:dyDescent="0.3">
      <c r="B18" s="377"/>
      <c r="C18" s="334" t="s">
        <v>154</v>
      </c>
      <c r="D18" s="335"/>
      <c r="E18" s="335"/>
      <c r="F18" s="335"/>
      <c r="G18" s="336"/>
    </row>
    <row r="19" spans="2:11" ht="15" customHeight="1" x14ac:dyDescent="0.3">
      <c r="B19" s="377"/>
      <c r="C19" s="337" t="s">
        <v>155</v>
      </c>
      <c r="D19" s="338"/>
      <c r="E19" s="338"/>
      <c r="F19" s="338"/>
      <c r="G19" s="339"/>
    </row>
    <row r="20" spans="2:11" ht="15.75" customHeight="1" x14ac:dyDescent="0.3">
      <c r="B20" s="377"/>
      <c r="C20" s="337" t="s">
        <v>156</v>
      </c>
      <c r="D20" s="338"/>
      <c r="E20" s="338"/>
      <c r="F20" s="338"/>
      <c r="G20" s="339"/>
    </row>
    <row r="21" spans="2:11" ht="15" customHeight="1" x14ac:dyDescent="0.3">
      <c r="B21" s="378"/>
      <c r="C21" s="340" t="s">
        <v>157</v>
      </c>
      <c r="D21" s="341"/>
      <c r="E21" s="341"/>
      <c r="F21" s="341"/>
      <c r="G21" s="342"/>
    </row>
    <row r="22" spans="2:11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11" ht="15" customHeight="1" x14ac:dyDescent="0.25">
      <c r="B23" s="352"/>
      <c r="C23" s="353"/>
      <c r="D23" s="353"/>
      <c r="E23" s="353"/>
      <c r="F23" s="353"/>
      <c r="G23" s="354"/>
    </row>
    <row r="24" spans="2:11" ht="16.5" customHeight="1" x14ac:dyDescent="0.25">
      <c r="B24" s="355" t="s">
        <v>106</v>
      </c>
      <c r="C24" s="356"/>
      <c r="D24" s="356"/>
      <c r="E24" s="356"/>
      <c r="F24" s="358">
        <v>7.1</v>
      </c>
      <c r="G24" s="360" t="s">
        <v>92</v>
      </c>
      <c r="J24" s="77"/>
    </row>
    <row r="25" spans="2:11" ht="15.75" customHeight="1" x14ac:dyDescent="0.25">
      <c r="B25" s="357"/>
      <c r="C25" s="210"/>
      <c r="D25" s="210"/>
      <c r="E25" s="210"/>
      <c r="F25" s="359"/>
      <c r="G25" s="361"/>
    </row>
    <row r="26" spans="2:11" x14ac:dyDescent="0.25">
      <c r="B26" s="362" t="s">
        <v>107</v>
      </c>
      <c r="C26" s="66"/>
      <c r="D26" s="67"/>
      <c r="E26" s="67"/>
      <c r="F26" s="68"/>
      <c r="G26" s="100"/>
    </row>
    <row r="27" spans="2:11" ht="16.5" x14ac:dyDescent="0.25">
      <c r="B27" s="363"/>
      <c r="C27" s="70" t="s">
        <v>100</v>
      </c>
      <c r="F27" s="72"/>
      <c r="G27" s="92"/>
      <c r="I27" s="77"/>
    </row>
    <row r="28" spans="2:11" ht="17.25" x14ac:dyDescent="0.3">
      <c r="B28" s="363"/>
      <c r="C28" s="73" t="s">
        <v>145</v>
      </c>
      <c r="F28" s="74"/>
      <c r="G28" s="92"/>
      <c r="I28" s="77"/>
    </row>
    <row r="29" spans="2:11" ht="15.75" customHeight="1" x14ac:dyDescent="0.3">
      <c r="B29" s="363"/>
      <c r="C29" s="87"/>
      <c r="F29" s="72"/>
      <c r="G29" s="92"/>
    </row>
    <row r="30" spans="2:11" ht="15.75" customHeight="1" x14ac:dyDescent="0.3">
      <c r="B30" s="363"/>
      <c r="C30" s="87"/>
      <c r="F30" s="72"/>
      <c r="G30" s="86"/>
    </row>
    <row r="31" spans="2:11" ht="15.75" customHeight="1" x14ac:dyDescent="0.3">
      <c r="B31" s="363"/>
      <c r="C31" s="87"/>
      <c r="F31" s="72"/>
      <c r="G31" s="92"/>
    </row>
    <row r="32" spans="2:11" ht="15.75" customHeight="1" x14ac:dyDescent="0.25">
      <c r="B32" s="363"/>
      <c r="C32" s="93" t="s">
        <v>144</v>
      </c>
      <c r="D32" s="94"/>
      <c r="E32" s="94"/>
      <c r="F32" s="95" t="s">
        <v>149</v>
      </c>
      <c r="G32" s="65"/>
    </row>
    <row r="33" spans="2:7" x14ac:dyDescent="0.25">
      <c r="B33" s="364"/>
      <c r="C33" s="367" t="s">
        <v>102</v>
      </c>
      <c r="D33" s="368"/>
      <c r="E33" s="368"/>
      <c r="F33" s="368"/>
      <c r="G33" s="369"/>
    </row>
    <row r="34" spans="2:7" ht="15.75" x14ac:dyDescent="0.3">
      <c r="B34" s="363"/>
      <c r="C34" s="81" t="s">
        <v>111</v>
      </c>
      <c r="D34" s="82"/>
      <c r="E34" s="82"/>
      <c r="F34" s="82"/>
      <c r="G34" s="83"/>
    </row>
    <row r="35" spans="2:7" ht="15.75" x14ac:dyDescent="0.3">
      <c r="B35" s="365"/>
      <c r="C35" s="73" t="s">
        <v>112</v>
      </c>
      <c r="G35" s="72"/>
    </row>
    <row r="36" spans="2:7" ht="15.75" x14ac:dyDescent="0.3">
      <c r="B36" s="365"/>
      <c r="C36" s="73"/>
      <c r="G36" s="72"/>
    </row>
    <row r="37" spans="2:7" ht="15.75" x14ac:dyDescent="0.3">
      <c r="B37" s="365"/>
      <c r="C37" s="73"/>
      <c r="G37" s="72"/>
    </row>
    <row r="38" spans="2:7" ht="15.75" customHeight="1" x14ac:dyDescent="0.3">
      <c r="B38" s="366"/>
      <c r="C38" s="80"/>
      <c r="D38" s="78"/>
      <c r="E38" s="78"/>
      <c r="F38" s="78"/>
      <c r="G38" s="79"/>
    </row>
    <row r="39" spans="2:7" ht="15.75" customHeight="1" x14ac:dyDescent="0.25">
      <c r="B39" s="343" t="s">
        <v>113</v>
      </c>
      <c r="C39" s="344"/>
      <c r="D39" s="344"/>
      <c r="E39" s="346" t="s">
        <v>114</v>
      </c>
      <c r="F39" s="344"/>
      <c r="G39" s="347"/>
    </row>
    <row r="40" spans="2:7" ht="15.75" customHeight="1" x14ac:dyDescent="0.25">
      <c r="B40" s="345"/>
      <c r="C40" s="250"/>
      <c r="D40" s="250"/>
      <c r="E40" s="345"/>
      <c r="F40" s="250"/>
      <c r="G40" s="348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1:D2"/>
    <mergeCell ref="E1:F2"/>
    <mergeCell ref="G1:G2"/>
    <mergeCell ref="B3:E4"/>
    <mergeCell ref="F3:F4"/>
    <mergeCell ref="G3:G4"/>
    <mergeCell ref="B5:B21"/>
    <mergeCell ref="C17:G17"/>
    <mergeCell ref="C18:G18"/>
    <mergeCell ref="C19:G19"/>
    <mergeCell ref="C20:G20"/>
    <mergeCell ref="C21:G21"/>
    <mergeCell ref="B39:D40"/>
    <mergeCell ref="E39:G40"/>
    <mergeCell ref="B22:G23"/>
    <mergeCell ref="B24:E25"/>
    <mergeCell ref="F24:F25"/>
    <mergeCell ref="G24:G25"/>
    <mergeCell ref="B26:B38"/>
    <mergeCell ref="C33:G33"/>
  </mergeCells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A0A6-9068-4B6B-90AD-64932B658679}">
  <dimension ref="B1:G48"/>
  <sheetViews>
    <sheetView view="pageLayout" zoomScaleNormal="100" workbookViewId="0">
      <selection activeCell="F13" sqref="F13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08" t="s">
        <v>90</v>
      </c>
      <c r="C1" s="309"/>
      <c r="D1" s="309"/>
      <c r="E1" s="312">
        <f>Kompetenzraster!Q15</f>
        <v>45189</v>
      </c>
      <c r="F1" s="313"/>
      <c r="G1" s="316">
        <v>6</v>
      </c>
    </row>
    <row r="2" spans="2:7" x14ac:dyDescent="0.25">
      <c r="B2" s="310"/>
      <c r="C2" s="311"/>
      <c r="D2" s="311"/>
      <c r="E2" s="314"/>
      <c r="F2" s="315"/>
      <c r="G2" s="317"/>
    </row>
    <row r="3" spans="2:7" ht="15.75" customHeight="1" x14ac:dyDescent="0.25">
      <c r="B3" s="382" t="s">
        <v>134</v>
      </c>
      <c r="C3" s="383"/>
      <c r="D3" s="383"/>
      <c r="E3" s="383"/>
      <c r="F3" s="386">
        <v>7.6</v>
      </c>
      <c r="G3" s="388" t="s">
        <v>92</v>
      </c>
    </row>
    <row r="4" spans="2:7" ht="14.25" customHeight="1" x14ac:dyDescent="0.25">
      <c r="B4" s="384"/>
      <c r="C4" s="385"/>
      <c r="D4" s="385"/>
      <c r="E4" s="385"/>
      <c r="F4" s="387"/>
      <c r="G4" s="389"/>
    </row>
    <row r="5" spans="2:7" ht="15.75" customHeight="1" x14ac:dyDescent="0.25">
      <c r="B5" s="390" t="s">
        <v>93</v>
      </c>
      <c r="C5" s="101"/>
      <c r="D5" s="102"/>
      <c r="E5" s="102"/>
      <c r="F5" s="103"/>
      <c r="G5" s="69"/>
    </row>
    <row r="6" spans="2:7" x14ac:dyDescent="0.25">
      <c r="B6" s="375"/>
      <c r="C6" s="96" t="s">
        <v>98</v>
      </c>
      <c r="D6" s="90"/>
      <c r="F6" s="71"/>
      <c r="G6" s="72"/>
    </row>
    <row r="7" spans="2:7" ht="15.75" x14ac:dyDescent="0.3">
      <c r="B7" s="375"/>
      <c r="C7" s="73" t="s">
        <v>258</v>
      </c>
      <c r="D7" s="97"/>
      <c r="E7" s="98"/>
      <c r="F7" s="72"/>
      <c r="G7" s="72"/>
    </row>
    <row r="8" spans="2:7" ht="15.75" x14ac:dyDescent="0.3">
      <c r="B8" s="375"/>
      <c r="C8" s="84"/>
      <c r="D8" s="97"/>
      <c r="E8" s="97"/>
      <c r="F8" s="72"/>
      <c r="G8" s="74"/>
    </row>
    <row r="9" spans="2:7" x14ac:dyDescent="0.25">
      <c r="B9" s="375"/>
      <c r="C9" s="96" t="s">
        <v>100</v>
      </c>
      <c r="D9" s="97"/>
      <c r="E9" s="97"/>
      <c r="F9" s="72"/>
      <c r="G9" s="72"/>
    </row>
    <row r="10" spans="2:7" ht="15.75" x14ac:dyDescent="0.3">
      <c r="B10" s="375"/>
      <c r="C10" s="99" t="s">
        <v>152</v>
      </c>
      <c r="D10" s="97"/>
      <c r="E10" s="97"/>
      <c r="F10" s="72"/>
      <c r="G10" s="72"/>
    </row>
    <row r="11" spans="2:7" ht="15.75" x14ac:dyDescent="0.3">
      <c r="B11" s="375"/>
      <c r="C11" s="99" t="s">
        <v>153</v>
      </c>
      <c r="D11" s="97"/>
      <c r="E11" s="97"/>
      <c r="F11" s="72"/>
      <c r="G11" s="75"/>
    </row>
    <row r="12" spans="2:7" ht="15.75" x14ac:dyDescent="0.3">
      <c r="B12" s="375"/>
      <c r="C12" s="99"/>
      <c r="D12" s="97"/>
      <c r="E12" s="97"/>
      <c r="F12" s="72"/>
      <c r="G12" s="72"/>
    </row>
    <row r="13" spans="2:7" x14ac:dyDescent="0.25">
      <c r="B13" s="375"/>
      <c r="C13" s="84"/>
      <c r="D13" s="90"/>
      <c r="F13" s="72"/>
      <c r="G13" s="72"/>
    </row>
    <row r="14" spans="2:7" ht="15.75" x14ac:dyDescent="0.3">
      <c r="B14" s="375"/>
      <c r="C14" s="99"/>
      <c r="F14" s="72"/>
      <c r="G14" s="75"/>
    </row>
    <row r="15" spans="2:7" x14ac:dyDescent="0.25">
      <c r="B15" s="375"/>
      <c r="C15" s="84"/>
      <c r="D15" s="90"/>
      <c r="F15" s="72"/>
      <c r="G15" s="72"/>
    </row>
    <row r="16" spans="2:7" x14ac:dyDescent="0.25">
      <c r="B16" s="375"/>
      <c r="C16" s="85"/>
      <c r="D16" s="78"/>
      <c r="E16" s="78"/>
      <c r="F16" s="79"/>
      <c r="G16" s="79"/>
    </row>
    <row r="17" spans="2:7" ht="15.75" customHeight="1" x14ac:dyDescent="0.25">
      <c r="B17" s="376"/>
      <c r="C17" s="391" t="s">
        <v>102</v>
      </c>
      <c r="D17" s="392"/>
      <c r="E17" s="392"/>
      <c r="F17" s="392"/>
      <c r="G17" s="393"/>
    </row>
    <row r="18" spans="2:7" ht="15" customHeight="1" x14ac:dyDescent="0.3">
      <c r="B18" s="377"/>
      <c r="C18" s="334" t="s">
        <v>154</v>
      </c>
      <c r="D18" s="335"/>
      <c r="E18" s="335"/>
      <c r="F18" s="335"/>
      <c r="G18" s="336"/>
    </row>
    <row r="19" spans="2:7" ht="15" customHeight="1" x14ac:dyDescent="0.3">
      <c r="B19" s="377"/>
      <c r="C19" s="337" t="s">
        <v>155</v>
      </c>
      <c r="D19" s="338"/>
      <c r="E19" s="338"/>
      <c r="F19" s="338"/>
      <c r="G19" s="339"/>
    </row>
    <row r="20" spans="2:7" ht="15.75" customHeight="1" x14ac:dyDescent="0.3">
      <c r="B20" s="377"/>
      <c r="C20" s="337" t="s">
        <v>156</v>
      </c>
      <c r="D20" s="338"/>
      <c r="E20" s="338"/>
      <c r="F20" s="338"/>
      <c r="G20" s="339"/>
    </row>
    <row r="21" spans="2:7" ht="15" customHeight="1" x14ac:dyDescent="0.3">
      <c r="B21" s="378"/>
      <c r="C21" s="340" t="s">
        <v>157</v>
      </c>
      <c r="D21" s="341"/>
      <c r="E21" s="341"/>
      <c r="F21" s="341"/>
      <c r="G21" s="342"/>
    </row>
    <row r="22" spans="2:7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7" ht="15" customHeight="1" x14ac:dyDescent="0.25">
      <c r="B23" s="352"/>
      <c r="C23" s="353"/>
      <c r="D23" s="353"/>
      <c r="E23" s="353"/>
      <c r="F23" s="353"/>
      <c r="G23" s="354"/>
    </row>
    <row r="24" spans="2:7" ht="16.5" customHeight="1" x14ac:dyDescent="0.25">
      <c r="B24" s="355" t="s">
        <v>106</v>
      </c>
      <c r="C24" s="356"/>
      <c r="D24" s="356"/>
      <c r="E24" s="356"/>
      <c r="F24" s="358">
        <v>7.1</v>
      </c>
      <c r="G24" s="360" t="s">
        <v>92</v>
      </c>
    </row>
    <row r="25" spans="2:7" ht="15.75" customHeight="1" x14ac:dyDescent="0.25">
      <c r="B25" s="357"/>
      <c r="C25" s="210"/>
      <c r="D25" s="210"/>
      <c r="E25" s="210"/>
      <c r="F25" s="359"/>
      <c r="G25" s="361"/>
    </row>
    <row r="26" spans="2:7" x14ac:dyDescent="0.25">
      <c r="B26" s="362" t="s">
        <v>107</v>
      </c>
      <c r="C26" s="66"/>
      <c r="D26" s="67"/>
      <c r="E26" s="67"/>
      <c r="F26" s="68"/>
      <c r="G26" s="69"/>
    </row>
    <row r="27" spans="2:7" x14ac:dyDescent="0.25">
      <c r="B27" s="363"/>
      <c r="C27" s="70" t="s">
        <v>100</v>
      </c>
      <c r="F27" s="72"/>
      <c r="G27" s="72"/>
    </row>
    <row r="28" spans="2:7" ht="15.75" x14ac:dyDescent="0.3">
      <c r="B28" s="363"/>
      <c r="C28" s="73" t="s">
        <v>151</v>
      </c>
      <c r="F28" s="74"/>
      <c r="G28" s="72"/>
    </row>
    <row r="29" spans="2:7" ht="15.75" customHeight="1" x14ac:dyDescent="0.3">
      <c r="B29" s="363"/>
      <c r="C29" s="87"/>
      <c r="F29" s="72"/>
      <c r="G29" s="72"/>
    </row>
    <row r="30" spans="2:7" ht="15.75" customHeight="1" x14ac:dyDescent="0.3">
      <c r="B30" s="363"/>
      <c r="C30" s="87"/>
      <c r="F30" s="72"/>
      <c r="G30" s="75"/>
    </row>
    <row r="31" spans="2:7" ht="15.75" customHeight="1" x14ac:dyDescent="0.3">
      <c r="B31" s="363"/>
      <c r="C31" s="87"/>
      <c r="F31" s="72"/>
      <c r="G31" s="72"/>
    </row>
    <row r="32" spans="2:7" ht="15.75" customHeight="1" x14ac:dyDescent="0.25">
      <c r="B32" s="363"/>
      <c r="C32" s="104"/>
      <c r="D32" s="105"/>
      <c r="E32" s="105"/>
      <c r="F32" s="106"/>
      <c r="G32" s="79"/>
    </row>
    <row r="33" spans="2:7" x14ac:dyDescent="0.25">
      <c r="B33" s="364"/>
      <c r="C33" s="391" t="s">
        <v>102</v>
      </c>
      <c r="D33" s="392"/>
      <c r="E33" s="392"/>
      <c r="F33" s="392"/>
      <c r="G33" s="369"/>
    </row>
    <row r="34" spans="2:7" ht="15.75" x14ac:dyDescent="0.3">
      <c r="B34" s="363"/>
      <c r="C34" s="81" t="s">
        <v>111</v>
      </c>
      <c r="D34" s="82"/>
      <c r="E34" s="82"/>
      <c r="F34" s="82"/>
      <c r="G34" s="83"/>
    </row>
    <row r="35" spans="2:7" ht="15.75" x14ac:dyDescent="0.3">
      <c r="B35" s="365"/>
      <c r="C35" s="73" t="s">
        <v>112</v>
      </c>
      <c r="G35" s="72"/>
    </row>
    <row r="36" spans="2:7" ht="15.75" x14ac:dyDescent="0.3">
      <c r="B36" s="365"/>
      <c r="C36" s="73"/>
      <c r="G36" s="72"/>
    </row>
    <row r="37" spans="2:7" ht="15.75" x14ac:dyDescent="0.3">
      <c r="B37" s="365"/>
      <c r="C37" s="73"/>
      <c r="G37" s="72"/>
    </row>
    <row r="38" spans="2:7" ht="15.75" customHeight="1" x14ac:dyDescent="0.3">
      <c r="B38" s="366"/>
      <c r="C38" s="80"/>
      <c r="D38" s="78"/>
      <c r="E38" s="78"/>
      <c r="F38" s="78"/>
      <c r="G38" s="79"/>
    </row>
    <row r="39" spans="2:7" ht="15.75" customHeight="1" x14ac:dyDescent="0.25">
      <c r="B39" s="343" t="s">
        <v>113</v>
      </c>
      <c r="C39" s="344"/>
      <c r="D39" s="344"/>
      <c r="E39" s="346" t="s">
        <v>114</v>
      </c>
      <c r="F39" s="344"/>
      <c r="G39" s="347"/>
    </row>
    <row r="40" spans="2:7" ht="15.75" customHeight="1" x14ac:dyDescent="0.25">
      <c r="B40" s="345"/>
      <c r="C40" s="250"/>
      <c r="D40" s="250"/>
      <c r="E40" s="345"/>
      <c r="F40" s="250"/>
      <c r="G40" s="348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1:D2"/>
    <mergeCell ref="E1:F2"/>
    <mergeCell ref="G1:G2"/>
    <mergeCell ref="B3:E4"/>
    <mergeCell ref="F3:F4"/>
    <mergeCell ref="G3:G4"/>
    <mergeCell ref="B5:B21"/>
    <mergeCell ref="C17:G17"/>
    <mergeCell ref="C18:G18"/>
    <mergeCell ref="C20:G20"/>
    <mergeCell ref="C21:G21"/>
    <mergeCell ref="C19:G19"/>
    <mergeCell ref="B39:D40"/>
    <mergeCell ref="E39:G40"/>
    <mergeCell ref="B22:G23"/>
    <mergeCell ref="B24:E25"/>
    <mergeCell ref="F24:F25"/>
    <mergeCell ref="G24:G25"/>
    <mergeCell ref="B26:B38"/>
    <mergeCell ref="C33:G33"/>
  </mergeCells>
  <pageMargins left="0.25" right="0.25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D89C-19AF-47AC-A162-1660EE96AEEF}">
  <dimension ref="B1:G48"/>
  <sheetViews>
    <sheetView view="pageLayout" zoomScaleNormal="100" workbookViewId="0">
      <selection activeCell="C5" sqref="C5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08" t="s">
        <v>90</v>
      </c>
      <c r="C1" s="309"/>
      <c r="D1" s="309"/>
      <c r="E1" s="312">
        <f>Kompetenzraster!Q17</f>
        <v>45196</v>
      </c>
      <c r="F1" s="313"/>
      <c r="G1" s="316">
        <v>7</v>
      </c>
    </row>
    <row r="2" spans="2:7" x14ac:dyDescent="0.25">
      <c r="B2" s="310"/>
      <c r="C2" s="311"/>
      <c r="D2" s="311"/>
      <c r="E2" s="314"/>
      <c r="F2" s="315"/>
      <c r="G2" s="317"/>
    </row>
    <row r="3" spans="2:7" ht="15.75" customHeight="1" x14ac:dyDescent="0.25">
      <c r="B3" s="382" t="s">
        <v>134</v>
      </c>
      <c r="C3" s="383"/>
      <c r="D3" s="383"/>
      <c r="E3" s="383"/>
      <c r="F3" s="386">
        <v>7.6</v>
      </c>
      <c r="G3" s="388" t="s">
        <v>92</v>
      </c>
    </row>
    <row r="4" spans="2:7" ht="14.25" customHeight="1" x14ac:dyDescent="0.25">
      <c r="B4" s="384"/>
      <c r="C4" s="385"/>
      <c r="D4" s="385"/>
      <c r="E4" s="385"/>
      <c r="F4" s="387"/>
      <c r="G4" s="389"/>
    </row>
    <row r="5" spans="2:7" ht="15.75" customHeight="1" x14ac:dyDescent="0.25">
      <c r="B5" s="390" t="s">
        <v>93</v>
      </c>
      <c r="C5" s="101"/>
      <c r="D5" s="102"/>
      <c r="E5" s="102"/>
      <c r="F5" s="103"/>
      <c r="G5" s="69"/>
    </row>
    <row r="6" spans="2:7" x14ac:dyDescent="0.25">
      <c r="B6" s="375"/>
      <c r="C6" s="96" t="s">
        <v>116</v>
      </c>
      <c r="D6" s="90"/>
      <c r="F6" s="71"/>
      <c r="G6" s="72"/>
    </row>
    <row r="7" spans="2:7" ht="15.75" x14ac:dyDescent="0.3">
      <c r="B7" s="375"/>
      <c r="C7" s="73" t="s">
        <v>158</v>
      </c>
      <c r="D7" s="97"/>
      <c r="E7" s="98"/>
      <c r="F7" s="72"/>
      <c r="G7" s="72"/>
    </row>
    <row r="8" spans="2:7" ht="15.75" x14ac:dyDescent="0.3">
      <c r="B8" s="375"/>
      <c r="C8" s="84"/>
      <c r="D8" s="97"/>
      <c r="E8" s="97"/>
      <c r="F8" s="72"/>
      <c r="G8" s="74"/>
    </row>
    <row r="9" spans="2:7" x14ac:dyDescent="0.25">
      <c r="B9" s="375"/>
      <c r="C9" s="96"/>
      <c r="D9" s="97"/>
      <c r="E9" s="97"/>
      <c r="F9" s="72"/>
      <c r="G9" s="72"/>
    </row>
    <row r="10" spans="2:7" ht="15.75" x14ac:dyDescent="0.3">
      <c r="B10" s="375"/>
      <c r="C10" s="99"/>
      <c r="D10" s="97"/>
      <c r="E10" s="97"/>
      <c r="F10" s="72"/>
      <c r="G10" s="72"/>
    </row>
    <row r="11" spans="2:7" ht="15.75" x14ac:dyDescent="0.3">
      <c r="B11" s="375"/>
      <c r="C11" s="99"/>
      <c r="D11" s="97"/>
      <c r="E11" s="97"/>
      <c r="F11" s="72"/>
      <c r="G11" s="75"/>
    </row>
    <row r="12" spans="2:7" ht="15.75" x14ac:dyDescent="0.3">
      <c r="B12" s="375"/>
      <c r="C12" s="99"/>
      <c r="D12" s="97"/>
      <c r="E12" s="97"/>
      <c r="F12" s="72"/>
      <c r="G12" s="72"/>
    </row>
    <row r="13" spans="2:7" x14ac:dyDescent="0.25">
      <c r="B13" s="375"/>
      <c r="C13" s="96"/>
      <c r="D13" s="97"/>
      <c r="E13" s="97"/>
      <c r="F13" s="72"/>
      <c r="G13" s="72"/>
    </row>
    <row r="14" spans="2:7" ht="15.75" x14ac:dyDescent="0.3">
      <c r="B14" s="375"/>
      <c r="C14" s="99"/>
      <c r="D14" s="90"/>
      <c r="F14" s="72"/>
      <c r="G14" s="75" t="s">
        <v>124</v>
      </c>
    </row>
    <row r="15" spans="2:7" x14ac:dyDescent="0.25">
      <c r="B15" s="375"/>
      <c r="C15" s="91"/>
      <c r="D15" s="90"/>
      <c r="F15" s="72"/>
      <c r="G15" s="72"/>
    </row>
    <row r="16" spans="2:7" x14ac:dyDescent="0.25">
      <c r="B16" s="375"/>
      <c r="C16" s="85"/>
      <c r="D16" s="78"/>
      <c r="E16" s="78"/>
      <c r="F16" s="79"/>
      <c r="G16" s="79"/>
    </row>
    <row r="17" spans="2:7" ht="15.75" customHeight="1" x14ac:dyDescent="0.25">
      <c r="B17" s="376"/>
      <c r="C17" s="391" t="s">
        <v>102</v>
      </c>
      <c r="D17" s="392"/>
      <c r="E17" s="392"/>
      <c r="F17" s="392"/>
      <c r="G17" s="393"/>
    </row>
    <row r="18" spans="2:7" ht="15" customHeight="1" x14ac:dyDescent="0.3">
      <c r="B18" s="377"/>
      <c r="C18" s="334" t="s">
        <v>154</v>
      </c>
      <c r="D18" s="335"/>
      <c r="E18" s="335"/>
      <c r="F18" s="335"/>
      <c r="G18" s="336"/>
    </row>
    <row r="19" spans="2:7" ht="15" customHeight="1" x14ac:dyDescent="0.3">
      <c r="B19" s="377"/>
      <c r="C19" s="337" t="s">
        <v>155</v>
      </c>
      <c r="D19" s="338"/>
      <c r="E19" s="338"/>
      <c r="F19" s="338"/>
      <c r="G19" s="339"/>
    </row>
    <row r="20" spans="2:7" ht="15.75" customHeight="1" x14ac:dyDescent="0.3">
      <c r="B20" s="377"/>
      <c r="C20" s="337" t="s">
        <v>156</v>
      </c>
      <c r="D20" s="338"/>
      <c r="E20" s="338"/>
      <c r="F20" s="338"/>
      <c r="G20" s="339"/>
    </row>
    <row r="21" spans="2:7" ht="15" customHeight="1" x14ac:dyDescent="0.3">
      <c r="B21" s="378"/>
      <c r="C21" s="340" t="s">
        <v>157</v>
      </c>
      <c r="D21" s="341"/>
      <c r="E21" s="341"/>
      <c r="F21" s="341"/>
      <c r="G21" s="342"/>
    </row>
    <row r="22" spans="2:7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7" ht="15" customHeight="1" x14ac:dyDescent="0.25">
      <c r="B23" s="352"/>
      <c r="C23" s="353"/>
      <c r="D23" s="353"/>
      <c r="E23" s="353"/>
      <c r="F23" s="353"/>
      <c r="G23" s="354"/>
    </row>
    <row r="24" spans="2:7" ht="16.5" customHeight="1" x14ac:dyDescent="0.25">
      <c r="B24" s="355" t="s">
        <v>106</v>
      </c>
      <c r="C24" s="356"/>
      <c r="D24" s="356"/>
      <c r="E24" s="356"/>
      <c r="F24" s="358">
        <v>7.1</v>
      </c>
      <c r="G24" s="360" t="s">
        <v>92</v>
      </c>
    </row>
    <row r="25" spans="2:7" ht="15.75" customHeight="1" x14ac:dyDescent="0.25">
      <c r="B25" s="357"/>
      <c r="C25" s="210"/>
      <c r="D25" s="210"/>
      <c r="E25" s="210"/>
      <c r="F25" s="359"/>
      <c r="G25" s="361"/>
    </row>
    <row r="26" spans="2:7" x14ac:dyDescent="0.25">
      <c r="B26" s="362" t="s">
        <v>107</v>
      </c>
      <c r="C26" s="66"/>
      <c r="D26" s="67"/>
      <c r="E26" s="67"/>
      <c r="F26" s="68"/>
      <c r="G26" s="69"/>
    </row>
    <row r="27" spans="2:7" x14ac:dyDescent="0.25">
      <c r="B27" s="363"/>
      <c r="C27" s="70" t="s">
        <v>116</v>
      </c>
      <c r="F27" s="72"/>
      <c r="G27" s="72"/>
    </row>
    <row r="28" spans="2:7" ht="15.75" x14ac:dyDescent="0.3">
      <c r="B28" s="363"/>
      <c r="C28" s="73" t="s">
        <v>159</v>
      </c>
      <c r="F28" s="74"/>
      <c r="G28" s="72"/>
    </row>
    <row r="29" spans="2:7" ht="15.75" customHeight="1" x14ac:dyDescent="0.3">
      <c r="B29" s="363"/>
      <c r="C29" s="87"/>
      <c r="F29" s="72"/>
      <c r="G29" s="72"/>
    </row>
    <row r="30" spans="2:7" ht="15.75" customHeight="1" x14ac:dyDescent="0.3">
      <c r="B30" s="363"/>
      <c r="C30" s="87"/>
      <c r="F30" s="72"/>
      <c r="G30" s="75"/>
    </row>
    <row r="31" spans="2:7" ht="15.75" customHeight="1" x14ac:dyDescent="0.3">
      <c r="B31" s="363"/>
      <c r="C31" s="87"/>
      <c r="F31" s="72"/>
      <c r="G31" s="72"/>
    </row>
    <row r="32" spans="2:7" ht="15.75" customHeight="1" x14ac:dyDescent="0.25">
      <c r="B32" s="363"/>
      <c r="C32" s="104"/>
      <c r="D32" s="105"/>
      <c r="E32" s="105"/>
      <c r="F32" s="106"/>
      <c r="G32" s="79"/>
    </row>
    <row r="33" spans="2:7" x14ac:dyDescent="0.25">
      <c r="B33" s="364"/>
      <c r="C33" s="391" t="s">
        <v>102</v>
      </c>
      <c r="D33" s="392"/>
      <c r="E33" s="392"/>
      <c r="F33" s="392"/>
      <c r="G33" s="369"/>
    </row>
    <row r="34" spans="2:7" ht="15.75" x14ac:dyDescent="0.3">
      <c r="B34" s="363"/>
      <c r="C34" s="81" t="s">
        <v>111</v>
      </c>
      <c r="D34" s="82"/>
      <c r="E34" s="82"/>
      <c r="F34" s="82"/>
      <c r="G34" s="83"/>
    </row>
    <row r="35" spans="2:7" ht="15.75" x14ac:dyDescent="0.3">
      <c r="B35" s="365"/>
      <c r="C35" s="73" t="s">
        <v>112</v>
      </c>
      <c r="G35" s="72"/>
    </row>
    <row r="36" spans="2:7" ht="15.75" x14ac:dyDescent="0.3">
      <c r="B36" s="365"/>
      <c r="C36" s="73"/>
      <c r="G36" s="72"/>
    </row>
    <row r="37" spans="2:7" ht="15.75" x14ac:dyDescent="0.3">
      <c r="B37" s="365"/>
      <c r="C37" s="73"/>
      <c r="G37" s="72"/>
    </row>
    <row r="38" spans="2:7" ht="15.75" customHeight="1" x14ac:dyDescent="0.3">
      <c r="B38" s="366"/>
      <c r="C38" s="80"/>
      <c r="D38" s="78"/>
      <c r="E38" s="78"/>
      <c r="F38" s="78"/>
      <c r="G38" s="79"/>
    </row>
    <row r="39" spans="2:7" ht="15.75" customHeight="1" x14ac:dyDescent="0.25">
      <c r="B39" s="343" t="s">
        <v>113</v>
      </c>
      <c r="C39" s="344"/>
      <c r="D39" s="344"/>
      <c r="E39" s="346" t="s">
        <v>114</v>
      </c>
      <c r="F39" s="344"/>
      <c r="G39" s="347"/>
    </row>
    <row r="40" spans="2:7" ht="15.75" customHeight="1" x14ac:dyDescent="0.25">
      <c r="B40" s="345"/>
      <c r="C40" s="250"/>
      <c r="D40" s="250"/>
      <c r="E40" s="345"/>
      <c r="F40" s="250"/>
      <c r="G40" s="348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39:D40"/>
    <mergeCell ref="E39:G40"/>
    <mergeCell ref="B22:G23"/>
    <mergeCell ref="B24:E25"/>
    <mergeCell ref="F24:F25"/>
    <mergeCell ref="G24:G25"/>
    <mergeCell ref="B26:B38"/>
    <mergeCell ref="C33:G33"/>
    <mergeCell ref="B5:B21"/>
    <mergeCell ref="C17:G17"/>
    <mergeCell ref="C18:G18"/>
    <mergeCell ref="C19:G19"/>
    <mergeCell ref="C20:G20"/>
    <mergeCell ref="C21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0148-5DED-450A-92C8-8A6B3D631AD3}">
  <dimension ref="B1:G48"/>
  <sheetViews>
    <sheetView view="pageLayout" zoomScaleNormal="100" workbookViewId="0">
      <selection activeCell="D14" sqref="D1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08" t="s">
        <v>90</v>
      </c>
      <c r="C1" s="309"/>
      <c r="D1" s="309"/>
      <c r="E1" s="312">
        <f>Kompetenzraster!Q19</f>
        <v>45224</v>
      </c>
      <c r="F1" s="313"/>
      <c r="G1" s="316">
        <v>8</v>
      </c>
    </row>
    <row r="2" spans="2:7" x14ac:dyDescent="0.25">
      <c r="B2" s="310"/>
      <c r="C2" s="311"/>
      <c r="D2" s="311"/>
      <c r="E2" s="314"/>
      <c r="F2" s="315"/>
      <c r="G2" s="317"/>
    </row>
    <row r="3" spans="2:7" ht="15.75" customHeight="1" x14ac:dyDescent="0.25">
      <c r="B3" s="318" t="s">
        <v>75</v>
      </c>
      <c r="C3" s="319"/>
      <c r="D3" s="319"/>
      <c r="E3" s="319"/>
      <c r="F3" s="322">
        <v>7.5</v>
      </c>
      <c r="G3" s="324" t="s">
        <v>92</v>
      </c>
    </row>
    <row r="4" spans="2:7" ht="14.25" customHeight="1" x14ac:dyDescent="0.25">
      <c r="B4" s="320"/>
      <c r="C4" s="321"/>
      <c r="D4" s="321"/>
      <c r="E4" s="321"/>
      <c r="F4" s="323"/>
      <c r="G4" s="325"/>
    </row>
    <row r="5" spans="2:7" ht="15.75" customHeight="1" x14ac:dyDescent="0.25">
      <c r="B5" s="326" t="s">
        <v>93</v>
      </c>
      <c r="C5" s="93" t="s">
        <v>259</v>
      </c>
      <c r="D5" s="94"/>
      <c r="E5" s="94"/>
      <c r="F5" s="95" t="s">
        <v>149</v>
      </c>
      <c r="G5" s="69"/>
    </row>
    <row r="6" spans="2:7" x14ac:dyDescent="0.25">
      <c r="B6" s="327"/>
      <c r="C6" s="96" t="s">
        <v>94</v>
      </c>
      <c r="D6" s="90"/>
      <c r="F6" s="71"/>
      <c r="G6" s="72"/>
    </row>
    <row r="7" spans="2:7" ht="15.75" x14ac:dyDescent="0.3">
      <c r="B7" s="327"/>
      <c r="C7" s="73" t="s">
        <v>163</v>
      </c>
      <c r="D7" s="97"/>
      <c r="E7" s="98"/>
      <c r="F7" s="72"/>
      <c r="G7" s="72"/>
    </row>
    <row r="8" spans="2:7" ht="15.75" x14ac:dyDescent="0.3">
      <c r="B8" s="327"/>
      <c r="C8" s="73" t="s">
        <v>165</v>
      </c>
      <c r="D8" s="97"/>
      <c r="E8" s="97"/>
      <c r="F8" s="72"/>
      <c r="G8" s="74"/>
    </row>
    <row r="9" spans="2:7" ht="15.75" x14ac:dyDescent="0.3">
      <c r="B9" s="327"/>
      <c r="C9" s="73" t="s">
        <v>164</v>
      </c>
      <c r="D9" s="97"/>
      <c r="E9" s="97"/>
      <c r="F9" s="72"/>
      <c r="G9" s="72"/>
    </row>
    <row r="10" spans="2:7" ht="15.75" x14ac:dyDescent="0.3">
      <c r="B10" s="327"/>
      <c r="C10" s="99" t="s">
        <v>183</v>
      </c>
      <c r="D10" s="97"/>
      <c r="E10" s="97"/>
      <c r="F10" s="72"/>
      <c r="G10" s="72"/>
    </row>
    <row r="11" spans="2:7" ht="15.75" x14ac:dyDescent="0.3">
      <c r="B11" s="327"/>
      <c r="C11" s="99"/>
      <c r="D11" s="97"/>
      <c r="E11" s="97"/>
      <c r="F11" s="72"/>
      <c r="G11" s="75"/>
    </row>
    <row r="12" spans="2:7" ht="15.75" x14ac:dyDescent="0.3">
      <c r="B12" s="327"/>
      <c r="C12" s="73" t="s">
        <v>184</v>
      </c>
      <c r="D12" s="97"/>
      <c r="E12" s="97"/>
      <c r="F12" s="72"/>
      <c r="G12" s="72"/>
    </row>
    <row r="13" spans="2:7" x14ac:dyDescent="0.25">
      <c r="B13" s="327"/>
      <c r="C13" s="84"/>
      <c r="D13" s="97"/>
      <c r="E13" s="97"/>
      <c r="F13" s="72"/>
      <c r="G13" s="72"/>
    </row>
    <row r="14" spans="2:7" x14ac:dyDescent="0.25">
      <c r="B14" s="327"/>
      <c r="C14" s="96"/>
      <c r="D14" s="90"/>
      <c r="F14" s="72"/>
      <c r="G14" s="75"/>
    </row>
    <row r="15" spans="2:7" ht="15.75" x14ac:dyDescent="0.3">
      <c r="B15" s="327"/>
      <c r="C15" s="73"/>
      <c r="D15" s="90"/>
      <c r="F15" s="72"/>
      <c r="G15" s="72"/>
    </row>
    <row r="16" spans="2:7" x14ac:dyDescent="0.25">
      <c r="B16" s="327"/>
      <c r="C16" s="85"/>
      <c r="D16" s="78"/>
      <c r="E16" s="78"/>
      <c r="F16" s="79"/>
      <c r="G16" s="65"/>
    </row>
    <row r="17" spans="2:7" ht="15.75" customHeight="1" x14ac:dyDescent="0.25">
      <c r="B17" s="328"/>
      <c r="C17" s="391" t="s">
        <v>102</v>
      </c>
      <c r="D17" s="392"/>
      <c r="E17" s="392"/>
      <c r="F17" s="392"/>
      <c r="G17" s="393"/>
    </row>
    <row r="18" spans="2:7" ht="15" customHeight="1" x14ac:dyDescent="0.3">
      <c r="B18" s="329"/>
      <c r="C18" s="334" t="s">
        <v>160</v>
      </c>
      <c r="D18" s="335"/>
      <c r="E18" s="335"/>
      <c r="F18" s="335"/>
      <c r="G18" s="336"/>
    </row>
    <row r="19" spans="2:7" ht="15" customHeight="1" x14ac:dyDescent="0.3">
      <c r="B19" s="329"/>
      <c r="C19" s="337" t="s">
        <v>161</v>
      </c>
      <c r="D19" s="338"/>
      <c r="E19" s="338"/>
      <c r="F19" s="338"/>
      <c r="G19" s="339"/>
    </row>
    <row r="20" spans="2:7" ht="15.75" customHeight="1" x14ac:dyDescent="0.3">
      <c r="B20" s="329"/>
      <c r="C20" s="337" t="s">
        <v>162</v>
      </c>
      <c r="D20" s="338"/>
      <c r="E20" s="338"/>
      <c r="F20" s="338"/>
      <c r="G20" s="339"/>
    </row>
    <row r="21" spans="2:7" ht="15" customHeight="1" x14ac:dyDescent="0.3">
      <c r="B21" s="330"/>
      <c r="C21" s="340"/>
      <c r="D21" s="341"/>
      <c r="E21" s="341"/>
      <c r="F21" s="341"/>
      <c r="G21" s="342"/>
    </row>
    <row r="22" spans="2:7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7" ht="15" customHeight="1" x14ac:dyDescent="0.25">
      <c r="B23" s="352"/>
      <c r="C23" s="353"/>
      <c r="D23" s="353"/>
      <c r="E23" s="353"/>
      <c r="F23" s="353"/>
      <c r="G23" s="354"/>
    </row>
    <row r="24" spans="2:7" ht="16.5" customHeight="1" x14ac:dyDescent="0.25">
      <c r="B24" s="355" t="s">
        <v>106</v>
      </c>
      <c r="C24" s="356"/>
      <c r="D24" s="356"/>
      <c r="E24" s="356"/>
      <c r="F24" s="358">
        <v>7.1</v>
      </c>
      <c r="G24" s="360" t="s">
        <v>92</v>
      </c>
    </row>
    <row r="25" spans="2:7" ht="15.75" customHeight="1" x14ac:dyDescent="0.25">
      <c r="B25" s="357"/>
      <c r="C25" s="210"/>
      <c r="D25" s="210"/>
      <c r="E25" s="210"/>
      <c r="F25" s="359"/>
      <c r="G25" s="361"/>
    </row>
    <row r="26" spans="2:7" x14ac:dyDescent="0.25">
      <c r="B26" s="362" t="s">
        <v>107</v>
      </c>
      <c r="C26" s="66"/>
      <c r="D26" s="67"/>
      <c r="E26" s="67"/>
      <c r="F26" s="68"/>
      <c r="G26" s="69"/>
    </row>
    <row r="27" spans="2:7" x14ac:dyDescent="0.25">
      <c r="B27" s="363"/>
      <c r="C27" s="70" t="s">
        <v>116</v>
      </c>
      <c r="F27" s="72"/>
      <c r="G27" s="72"/>
    </row>
    <row r="28" spans="2:7" ht="15.75" x14ac:dyDescent="0.3">
      <c r="B28" s="363"/>
      <c r="C28" s="73" t="s">
        <v>166</v>
      </c>
      <c r="F28" s="74"/>
      <c r="G28" s="72"/>
    </row>
    <row r="29" spans="2:7" ht="15.75" customHeight="1" x14ac:dyDescent="0.3">
      <c r="B29" s="363"/>
      <c r="C29" s="87"/>
      <c r="F29" s="72"/>
      <c r="G29" s="72"/>
    </row>
    <row r="30" spans="2:7" ht="15.75" customHeight="1" x14ac:dyDescent="0.3">
      <c r="B30" s="363"/>
      <c r="C30" s="87"/>
      <c r="F30" s="72"/>
      <c r="G30" s="75"/>
    </row>
    <row r="31" spans="2:7" ht="15.75" customHeight="1" x14ac:dyDescent="0.3">
      <c r="B31" s="363"/>
      <c r="C31" s="87"/>
      <c r="F31" s="72"/>
      <c r="G31" s="72"/>
    </row>
    <row r="32" spans="2:7" ht="15.75" customHeight="1" x14ac:dyDescent="0.25">
      <c r="B32" s="363"/>
      <c r="C32" s="104"/>
      <c r="D32" s="105"/>
      <c r="E32" s="105"/>
      <c r="F32" s="106"/>
      <c r="G32" s="79"/>
    </row>
    <row r="33" spans="2:7" x14ac:dyDescent="0.25">
      <c r="B33" s="364"/>
      <c r="C33" s="391" t="s">
        <v>102</v>
      </c>
      <c r="D33" s="392"/>
      <c r="E33" s="392"/>
      <c r="F33" s="392"/>
      <c r="G33" s="369"/>
    </row>
    <row r="34" spans="2:7" ht="15.75" x14ac:dyDescent="0.3">
      <c r="B34" s="363"/>
      <c r="C34" s="81" t="s">
        <v>111</v>
      </c>
      <c r="D34" s="82"/>
      <c r="E34" s="82"/>
      <c r="F34" s="82"/>
      <c r="G34" s="83"/>
    </row>
    <row r="35" spans="2:7" ht="15.75" x14ac:dyDescent="0.3">
      <c r="B35" s="365"/>
      <c r="C35" s="73" t="s">
        <v>112</v>
      </c>
      <c r="G35" s="72"/>
    </row>
    <row r="36" spans="2:7" ht="15.75" x14ac:dyDescent="0.3">
      <c r="B36" s="365"/>
      <c r="C36" s="73"/>
      <c r="G36" s="72"/>
    </row>
    <row r="37" spans="2:7" ht="15.75" x14ac:dyDescent="0.3">
      <c r="B37" s="365"/>
      <c r="C37" s="73"/>
      <c r="G37" s="72"/>
    </row>
    <row r="38" spans="2:7" ht="15.75" customHeight="1" x14ac:dyDescent="0.3">
      <c r="B38" s="366"/>
      <c r="C38" s="80"/>
      <c r="D38" s="78"/>
      <c r="E38" s="78"/>
      <c r="F38" s="78"/>
      <c r="G38" s="79"/>
    </row>
    <row r="39" spans="2:7" ht="15.75" customHeight="1" x14ac:dyDescent="0.25">
      <c r="B39" s="343" t="s">
        <v>113</v>
      </c>
      <c r="C39" s="344"/>
      <c r="D39" s="344"/>
      <c r="E39" s="346" t="s">
        <v>114</v>
      </c>
      <c r="F39" s="344"/>
      <c r="G39" s="347"/>
    </row>
    <row r="40" spans="2:7" ht="15.75" customHeight="1" x14ac:dyDescent="0.25">
      <c r="B40" s="345"/>
      <c r="C40" s="250"/>
      <c r="D40" s="250"/>
      <c r="E40" s="345"/>
      <c r="F40" s="250"/>
      <c r="G40" s="348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39:D40"/>
    <mergeCell ref="E39:G40"/>
    <mergeCell ref="C20:G20"/>
    <mergeCell ref="B22:G23"/>
    <mergeCell ref="B24:E25"/>
    <mergeCell ref="F24:F25"/>
    <mergeCell ref="G24:G25"/>
    <mergeCell ref="B26:B38"/>
    <mergeCell ref="C33:G33"/>
    <mergeCell ref="B5:B21"/>
    <mergeCell ref="C17:G17"/>
    <mergeCell ref="C18:G18"/>
    <mergeCell ref="C19:G19"/>
    <mergeCell ref="C21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7474-94BC-4667-B67E-9A22773F2447}">
  <dimension ref="B1:G48"/>
  <sheetViews>
    <sheetView view="pageLayout" zoomScaleNormal="100" workbookViewId="0">
      <selection activeCell="G32" sqref="G26:G3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08" t="s">
        <v>90</v>
      </c>
      <c r="C1" s="309"/>
      <c r="D1" s="309"/>
      <c r="E1" s="312">
        <f>Kompetenzraster!Q21</f>
        <v>45231</v>
      </c>
      <c r="F1" s="313"/>
      <c r="G1" s="316">
        <v>9</v>
      </c>
    </row>
    <row r="2" spans="2:7" x14ac:dyDescent="0.25">
      <c r="B2" s="310"/>
      <c r="C2" s="311"/>
      <c r="D2" s="311"/>
      <c r="E2" s="314"/>
      <c r="F2" s="315"/>
      <c r="G2" s="317"/>
    </row>
    <row r="3" spans="2:7" ht="15.75" customHeight="1" x14ac:dyDescent="0.25">
      <c r="B3" s="318" t="s">
        <v>75</v>
      </c>
      <c r="C3" s="319"/>
      <c r="D3" s="319"/>
      <c r="E3" s="319"/>
      <c r="F3" s="322">
        <v>7.5</v>
      </c>
      <c r="G3" s="324" t="s">
        <v>92</v>
      </c>
    </row>
    <row r="4" spans="2:7" ht="14.25" customHeight="1" x14ac:dyDescent="0.25">
      <c r="B4" s="320"/>
      <c r="C4" s="321"/>
      <c r="D4" s="321"/>
      <c r="E4" s="321"/>
      <c r="F4" s="323"/>
      <c r="G4" s="325"/>
    </row>
    <row r="5" spans="2:7" ht="15.75" customHeight="1" x14ac:dyDescent="0.25">
      <c r="B5" s="326" t="s">
        <v>93</v>
      </c>
      <c r="C5" s="101"/>
      <c r="D5" s="102"/>
      <c r="E5" s="102"/>
      <c r="F5" s="103"/>
      <c r="G5" s="69"/>
    </row>
    <row r="6" spans="2:7" x14ac:dyDescent="0.25">
      <c r="B6" s="327"/>
      <c r="C6" s="96" t="s">
        <v>98</v>
      </c>
      <c r="D6" s="90"/>
      <c r="F6" s="71"/>
      <c r="G6" s="72"/>
    </row>
    <row r="7" spans="2:7" ht="15.75" x14ac:dyDescent="0.3">
      <c r="B7" s="327"/>
      <c r="C7" s="73" t="s">
        <v>172</v>
      </c>
      <c r="D7" s="97"/>
      <c r="E7" s="98"/>
      <c r="F7" s="72"/>
      <c r="G7" s="72"/>
    </row>
    <row r="8" spans="2:7" ht="15.75" x14ac:dyDescent="0.3">
      <c r="B8" s="327"/>
      <c r="C8" s="73" t="s">
        <v>173</v>
      </c>
      <c r="D8" s="97"/>
      <c r="E8" s="97"/>
      <c r="F8" s="72"/>
      <c r="G8" s="74"/>
    </row>
    <row r="9" spans="2:7" x14ac:dyDescent="0.25">
      <c r="B9" s="327"/>
      <c r="C9" s="84"/>
      <c r="D9" s="97"/>
      <c r="E9" s="97"/>
      <c r="F9" s="72"/>
      <c r="G9" s="72"/>
    </row>
    <row r="10" spans="2:7" x14ac:dyDescent="0.25">
      <c r="B10" s="327"/>
      <c r="C10" s="96" t="s">
        <v>100</v>
      </c>
      <c r="D10" s="97"/>
      <c r="E10" s="97"/>
      <c r="F10" s="72"/>
      <c r="G10" s="72"/>
    </row>
    <row r="11" spans="2:7" ht="15.75" x14ac:dyDescent="0.3">
      <c r="B11" s="327"/>
      <c r="C11" s="73" t="s">
        <v>174</v>
      </c>
      <c r="D11" s="97"/>
      <c r="E11" s="97"/>
      <c r="F11" s="72"/>
      <c r="G11" s="75"/>
    </row>
    <row r="12" spans="2:7" ht="15.75" x14ac:dyDescent="0.3">
      <c r="B12" s="327"/>
      <c r="C12" s="73" t="s">
        <v>175</v>
      </c>
      <c r="D12" s="97"/>
      <c r="E12" s="97"/>
      <c r="F12" s="72"/>
      <c r="G12" s="72"/>
    </row>
    <row r="13" spans="2:7" x14ac:dyDescent="0.25">
      <c r="B13" s="327"/>
      <c r="C13" s="84"/>
      <c r="F13" s="72"/>
      <c r="G13" s="72"/>
    </row>
    <row r="14" spans="2:7" ht="15.75" x14ac:dyDescent="0.3">
      <c r="B14" s="327"/>
      <c r="C14" s="99"/>
      <c r="D14" s="90"/>
      <c r="F14" s="72"/>
      <c r="G14" s="75"/>
    </row>
    <row r="15" spans="2:7" x14ac:dyDescent="0.25">
      <c r="B15" s="327"/>
      <c r="C15" s="91"/>
      <c r="D15" s="90"/>
      <c r="F15" s="72"/>
      <c r="G15" s="72"/>
    </row>
    <row r="16" spans="2:7" x14ac:dyDescent="0.25">
      <c r="B16" s="327"/>
      <c r="C16" s="85"/>
      <c r="D16" s="78"/>
      <c r="E16" s="78"/>
      <c r="F16" s="79"/>
      <c r="G16" s="65"/>
    </row>
    <row r="17" spans="2:7" ht="15.75" customHeight="1" x14ac:dyDescent="0.25">
      <c r="B17" s="328"/>
      <c r="C17" s="391" t="s">
        <v>102</v>
      </c>
      <c r="D17" s="392"/>
      <c r="E17" s="392"/>
      <c r="F17" s="392"/>
      <c r="G17" s="393"/>
    </row>
    <row r="18" spans="2:7" ht="15" customHeight="1" x14ac:dyDescent="0.3">
      <c r="B18" s="329"/>
      <c r="C18" s="334" t="s">
        <v>160</v>
      </c>
      <c r="D18" s="335"/>
      <c r="E18" s="335"/>
      <c r="F18" s="335"/>
      <c r="G18" s="336"/>
    </row>
    <row r="19" spans="2:7" ht="15" customHeight="1" x14ac:dyDescent="0.3">
      <c r="B19" s="329"/>
      <c r="C19" s="337" t="s">
        <v>161</v>
      </c>
      <c r="D19" s="338"/>
      <c r="E19" s="338"/>
      <c r="F19" s="338"/>
      <c r="G19" s="339"/>
    </row>
    <row r="20" spans="2:7" ht="15.75" customHeight="1" x14ac:dyDescent="0.3">
      <c r="B20" s="329"/>
      <c r="C20" s="337" t="s">
        <v>162</v>
      </c>
      <c r="D20" s="338"/>
      <c r="E20" s="338"/>
      <c r="F20" s="338"/>
      <c r="G20" s="339"/>
    </row>
    <row r="21" spans="2:7" ht="15" customHeight="1" x14ac:dyDescent="0.3">
      <c r="B21" s="330"/>
      <c r="C21" s="340"/>
      <c r="D21" s="341"/>
      <c r="E21" s="341"/>
      <c r="F21" s="341"/>
      <c r="G21" s="342"/>
    </row>
    <row r="22" spans="2:7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7" ht="15" customHeight="1" x14ac:dyDescent="0.25">
      <c r="B23" s="352"/>
      <c r="C23" s="353"/>
      <c r="D23" s="353"/>
      <c r="E23" s="353"/>
      <c r="F23" s="353"/>
      <c r="G23" s="354"/>
    </row>
    <row r="24" spans="2:7" ht="16.5" customHeight="1" x14ac:dyDescent="0.25">
      <c r="B24" s="355" t="s">
        <v>106</v>
      </c>
      <c r="C24" s="356"/>
      <c r="D24" s="356"/>
      <c r="E24" s="356"/>
      <c r="F24" s="358">
        <v>7.1</v>
      </c>
      <c r="G24" s="360" t="s">
        <v>92</v>
      </c>
    </row>
    <row r="25" spans="2:7" ht="15.75" customHeight="1" x14ac:dyDescent="0.25">
      <c r="B25" s="357"/>
      <c r="C25" s="210"/>
      <c r="D25" s="210"/>
      <c r="E25" s="210"/>
      <c r="F25" s="359"/>
      <c r="G25" s="361"/>
    </row>
    <row r="26" spans="2:7" x14ac:dyDescent="0.25">
      <c r="B26" s="362" t="s">
        <v>107</v>
      </c>
      <c r="C26" s="66"/>
      <c r="D26" s="67"/>
      <c r="E26" s="67"/>
      <c r="F26" s="68"/>
      <c r="G26" s="69"/>
    </row>
    <row r="27" spans="2:7" x14ac:dyDescent="0.25">
      <c r="B27" s="363"/>
      <c r="C27" s="70" t="s">
        <v>176</v>
      </c>
      <c r="F27" s="72"/>
      <c r="G27" s="72"/>
    </row>
    <row r="28" spans="2:7" ht="15.75" x14ac:dyDescent="0.3">
      <c r="B28" s="363"/>
      <c r="C28" s="73" t="s">
        <v>177</v>
      </c>
      <c r="F28" s="74"/>
      <c r="G28" s="72"/>
    </row>
    <row r="29" spans="2:7" ht="15.75" customHeight="1" x14ac:dyDescent="0.3">
      <c r="B29" s="363"/>
      <c r="C29" s="87"/>
      <c r="F29" s="72"/>
      <c r="G29" s="72"/>
    </row>
    <row r="30" spans="2:7" ht="15.75" customHeight="1" x14ac:dyDescent="0.3">
      <c r="B30" s="363"/>
      <c r="C30" s="87"/>
      <c r="F30" s="72"/>
      <c r="G30" s="75" t="s">
        <v>124</v>
      </c>
    </row>
    <row r="31" spans="2:7" ht="15.75" customHeight="1" x14ac:dyDescent="0.3">
      <c r="B31" s="363"/>
      <c r="C31" s="87"/>
      <c r="F31" s="72"/>
      <c r="G31" s="72"/>
    </row>
    <row r="32" spans="2:7" ht="15.75" customHeight="1" x14ac:dyDescent="0.25">
      <c r="B32" s="363"/>
      <c r="C32" s="104"/>
      <c r="D32" s="105"/>
      <c r="E32" s="105"/>
      <c r="F32" s="106"/>
      <c r="G32" s="79"/>
    </row>
    <row r="33" spans="2:7" x14ac:dyDescent="0.25">
      <c r="B33" s="364"/>
      <c r="C33" s="391" t="s">
        <v>102</v>
      </c>
      <c r="D33" s="392"/>
      <c r="E33" s="392"/>
      <c r="F33" s="392"/>
      <c r="G33" s="369"/>
    </row>
    <row r="34" spans="2:7" ht="15.75" x14ac:dyDescent="0.3">
      <c r="B34" s="363"/>
      <c r="C34" s="81" t="s">
        <v>111</v>
      </c>
      <c r="D34" s="82"/>
      <c r="E34" s="82"/>
      <c r="F34" s="82"/>
      <c r="G34" s="83"/>
    </row>
    <row r="35" spans="2:7" ht="15.75" x14ac:dyDescent="0.3">
      <c r="B35" s="365"/>
      <c r="C35" s="73" t="s">
        <v>112</v>
      </c>
      <c r="G35" s="72"/>
    </row>
    <row r="36" spans="2:7" ht="15.75" x14ac:dyDescent="0.3">
      <c r="B36" s="365"/>
      <c r="C36" s="73"/>
      <c r="G36" s="72"/>
    </row>
    <row r="37" spans="2:7" ht="15.75" x14ac:dyDescent="0.3">
      <c r="B37" s="365"/>
      <c r="C37" s="73"/>
      <c r="G37" s="72"/>
    </row>
    <row r="38" spans="2:7" ht="15.75" customHeight="1" x14ac:dyDescent="0.3">
      <c r="B38" s="366"/>
      <c r="C38" s="80"/>
      <c r="D38" s="78"/>
      <c r="E38" s="78"/>
      <c r="F38" s="78"/>
      <c r="G38" s="79"/>
    </row>
    <row r="39" spans="2:7" ht="15.75" customHeight="1" x14ac:dyDescent="0.25">
      <c r="B39" s="343" t="s">
        <v>113</v>
      </c>
      <c r="C39" s="344"/>
      <c r="D39" s="344"/>
      <c r="E39" s="346" t="s">
        <v>114</v>
      </c>
      <c r="F39" s="344"/>
      <c r="G39" s="347"/>
    </row>
    <row r="40" spans="2:7" ht="15.75" customHeight="1" x14ac:dyDescent="0.25">
      <c r="B40" s="345"/>
      <c r="C40" s="250"/>
      <c r="D40" s="250"/>
      <c r="E40" s="345"/>
      <c r="F40" s="250"/>
      <c r="G40" s="348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1:D2"/>
    <mergeCell ref="E1:F2"/>
    <mergeCell ref="G1:G2"/>
    <mergeCell ref="B3:E4"/>
    <mergeCell ref="F3:F4"/>
    <mergeCell ref="G3:G4"/>
    <mergeCell ref="B5:B21"/>
    <mergeCell ref="C17:G17"/>
    <mergeCell ref="C18:G18"/>
    <mergeCell ref="C19:G19"/>
    <mergeCell ref="C20:G20"/>
    <mergeCell ref="C21:G21"/>
    <mergeCell ref="B39:D40"/>
    <mergeCell ref="E39:G40"/>
    <mergeCell ref="B22:G23"/>
    <mergeCell ref="B24:E25"/>
    <mergeCell ref="F24:F25"/>
    <mergeCell ref="G24:G25"/>
    <mergeCell ref="B26:B38"/>
    <mergeCell ref="C33:G33"/>
  </mergeCells>
  <pageMargins left="0.25" right="0.25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7DF1-6997-48F2-90E5-884B4B9DD8F3}">
  <dimension ref="B1:G48"/>
  <sheetViews>
    <sheetView view="pageLayout" zoomScaleNormal="100" workbookViewId="0">
      <selection activeCell="C32" sqref="C32:F3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08" t="s">
        <v>90</v>
      </c>
      <c r="C1" s="309"/>
      <c r="D1" s="309"/>
      <c r="E1" s="312">
        <f>Kompetenzraster!Q23</f>
        <v>45238</v>
      </c>
      <c r="F1" s="313"/>
      <c r="G1" s="316">
        <v>10</v>
      </c>
    </row>
    <row r="2" spans="2:7" x14ac:dyDescent="0.25">
      <c r="B2" s="310"/>
      <c r="C2" s="311"/>
      <c r="D2" s="311"/>
      <c r="E2" s="314"/>
      <c r="F2" s="315"/>
      <c r="G2" s="317"/>
    </row>
    <row r="3" spans="2:7" ht="15.75" customHeight="1" x14ac:dyDescent="0.25">
      <c r="B3" s="355" t="s">
        <v>170</v>
      </c>
      <c r="C3" s="356"/>
      <c r="D3" s="356"/>
      <c r="E3" s="356"/>
      <c r="F3" s="358">
        <v>7.8</v>
      </c>
      <c r="G3" s="360" t="s">
        <v>92</v>
      </c>
    </row>
    <row r="4" spans="2:7" ht="14.25" customHeight="1" x14ac:dyDescent="0.25">
      <c r="B4" s="357"/>
      <c r="C4" s="210"/>
      <c r="D4" s="210"/>
      <c r="E4" s="210"/>
      <c r="F4" s="359"/>
      <c r="G4" s="361"/>
    </row>
    <row r="5" spans="2:7" ht="15.75" customHeight="1" x14ac:dyDescent="0.25">
      <c r="B5" s="394" t="s">
        <v>107</v>
      </c>
      <c r="C5" s="101"/>
      <c r="D5" s="102"/>
      <c r="E5" s="102"/>
      <c r="F5" s="103"/>
      <c r="G5" s="69"/>
    </row>
    <row r="6" spans="2:7" x14ac:dyDescent="0.25">
      <c r="B6" s="364"/>
      <c r="C6" s="96" t="s">
        <v>182</v>
      </c>
      <c r="D6" s="90"/>
      <c r="F6" s="71"/>
      <c r="G6" s="72"/>
    </row>
    <row r="7" spans="2:7" ht="15.75" x14ac:dyDescent="0.3">
      <c r="B7" s="364"/>
      <c r="C7" s="73"/>
      <c r="D7" s="97"/>
      <c r="E7" s="98"/>
      <c r="F7" s="72"/>
      <c r="G7" s="72"/>
    </row>
    <row r="8" spans="2:7" ht="15.75" x14ac:dyDescent="0.3">
      <c r="B8" s="364"/>
      <c r="C8" s="73"/>
      <c r="D8" s="97"/>
      <c r="E8" s="97"/>
      <c r="F8" s="72"/>
      <c r="G8" s="74"/>
    </row>
    <row r="9" spans="2:7" x14ac:dyDescent="0.25">
      <c r="B9" s="364"/>
      <c r="C9" s="84"/>
      <c r="D9" s="97"/>
      <c r="E9" s="97"/>
      <c r="F9" s="72"/>
      <c r="G9" s="72"/>
    </row>
    <row r="10" spans="2:7" x14ac:dyDescent="0.25">
      <c r="B10" s="364"/>
      <c r="C10" s="96"/>
      <c r="D10" s="97"/>
      <c r="E10" s="97"/>
      <c r="F10" s="72"/>
      <c r="G10" s="72"/>
    </row>
    <row r="11" spans="2:7" ht="15.75" x14ac:dyDescent="0.3">
      <c r="B11" s="364"/>
      <c r="C11" s="73"/>
      <c r="D11" s="97"/>
      <c r="E11" s="97"/>
      <c r="F11" s="72"/>
      <c r="G11" s="75"/>
    </row>
    <row r="12" spans="2:7" ht="15.75" x14ac:dyDescent="0.3">
      <c r="B12" s="364"/>
      <c r="C12" s="73"/>
      <c r="D12" s="97"/>
      <c r="E12" s="97"/>
      <c r="F12" s="72"/>
      <c r="G12" s="72"/>
    </row>
    <row r="13" spans="2:7" x14ac:dyDescent="0.25">
      <c r="B13" s="364"/>
      <c r="C13" s="84"/>
      <c r="F13" s="72"/>
      <c r="G13" s="72"/>
    </row>
    <row r="14" spans="2:7" ht="15.75" x14ac:dyDescent="0.3">
      <c r="B14" s="395"/>
      <c r="C14" s="99"/>
      <c r="D14" s="90"/>
      <c r="F14" s="72"/>
      <c r="G14" s="75"/>
    </row>
    <row r="15" spans="2:7" x14ac:dyDescent="0.25">
      <c r="B15" s="395"/>
      <c r="C15" s="91"/>
      <c r="D15" s="90"/>
      <c r="F15" s="72"/>
      <c r="G15" s="72"/>
    </row>
    <row r="16" spans="2:7" x14ac:dyDescent="0.25">
      <c r="B16" s="395"/>
      <c r="C16" s="85"/>
      <c r="D16" s="78"/>
      <c r="E16" s="78"/>
      <c r="F16" s="79"/>
      <c r="G16" s="65"/>
    </row>
    <row r="17" spans="2:7" ht="15.75" customHeight="1" x14ac:dyDescent="0.25">
      <c r="B17" s="395"/>
      <c r="C17" s="391" t="s">
        <v>102</v>
      </c>
      <c r="D17" s="392"/>
      <c r="E17" s="392"/>
      <c r="F17" s="392"/>
      <c r="G17" s="393"/>
    </row>
    <row r="18" spans="2:7" ht="15" customHeight="1" x14ac:dyDescent="0.3">
      <c r="B18" s="395"/>
      <c r="C18" s="334" t="s">
        <v>111</v>
      </c>
      <c r="D18" s="335"/>
      <c r="E18" s="335"/>
      <c r="F18" s="335"/>
      <c r="G18" s="336"/>
    </row>
    <row r="19" spans="2:7" ht="15" customHeight="1" x14ac:dyDescent="0.3">
      <c r="B19" s="395"/>
      <c r="C19" s="337" t="s">
        <v>178</v>
      </c>
      <c r="D19" s="338"/>
      <c r="E19" s="338"/>
      <c r="F19" s="338"/>
      <c r="G19" s="339"/>
    </row>
    <row r="20" spans="2:7" ht="15.75" customHeight="1" x14ac:dyDescent="0.3">
      <c r="B20" s="395"/>
      <c r="C20" s="337" t="s">
        <v>179</v>
      </c>
      <c r="D20" s="338"/>
      <c r="E20" s="338"/>
      <c r="F20" s="338"/>
      <c r="G20" s="339"/>
    </row>
    <row r="21" spans="2:7" ht="15" customHeight="1" x14ac:dyDescent="0.3">
      <c r="B21" s="396"/>
      <c r="C21" s="340" t="s">
        <v>180</v>
      </c>
      <c r="D21" s="341"/>
      <c r="E21" s="341"/>
      <c r="F21" s="341"/>
      <c r="G21" s="342"/>
    </row>
    <row r="22" spans="2:7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7" ht="15" customHeight="1" x14ac:dyDescent="0.25">
      <c r="B23" s="352"/>
      <c r="C23" s="353"/>
      <c r="D23" s="353"/>
      <c r="E23" s="353"/>
      <c r="F23" s="353"/>
      <c r="G23" s="354"/>
    </row>
    <row r="24" spans="2:7" ht="16.5" customHeight="1" x14ac:dyDescent="0.25">
      <c r="B24" s="355" t="s">
        <v>106</v>
      </c>
      <c r="C24" s="356"/>
      <c r="D24" s="356"/>
      <c r="E24" s="356"/>
      <c r="F24" s="358">
        <v>7.1</v>
      </c>
      <c r="G24" s="360" t="s">
        <v>92</v>
      </c>
    </row>
    <row r="25" spans="2:7" ht="15.75" customHeight="1" x14ac:dyDescent="0.25">
      <c r="B25" s="357"/>
      <c r="C25" s="210"/>
      <c r="D25" s="210"/>
      <c r="E25" s="210"/>
      <c r="F25" s="359"/>
      <c r="G25" s="361"/>
    </row>
    <row r="26" spans="2:7" x14ac:dyDescent="0.25">
      <c r="B26" s="362" t="s">
        <v>107</v>
      </c>
      <c r="C26" s="66"/>
      <c r="D26" s="67"/>
      <c r="E26" s="67"/>
      <c r="F26" s="68"/>
      <c r="G26" s="69"/>
    </row>
    <row r="27" spans="2:7" x14ac:dyDescent="0.25">
      <c r="B27" s="363"/>
      <c r="C27" s="70" t="s">
        <v>176</v>
      </c>
      <c r="F27" s="72"/>
      <c r="G27" s="72"/>
    </row>
    <row r="28" spans="2:7" ht="15.75" x14ac:dyDescent="0.3">
      <c r="B28" s="363"/>
      <c r="C28" s="73" t="s">
        <v>177</v>
      </c>
      <c r="F28" s="74"/>
      <c r="G28" s="72"/>
    </row>
    <row r="29" spans="2:7" ht="15.75" customHeight="1" x14ac:dyDescent="0.3">
      <c r="B29" s="363"/>
      <c r="C29" s="87"/>
      <c r="F29" s="72"/>
      <c r="G29" s="72"/>
    </row>
    <row r="30" spans="2:7" ht="15.75" customHeight="1" x14ac:dyDescent="0.3">
      <c r="B30" s="363"/>
      <c r="C30" s="87"/>
      <c r="F30" s="72"/>
      <c r="G30" s="75"/>
    </row>
    <row r="31" spans="2:7" ht="15.75" customHeight="1" x14ac:dyDescent="0.3">
      <c r="B31" s="363"/>
      <c r="C31" s="87"/>
      <c r="F31" s="72"/>
      <c r="G31" s="72"/>
    </row>
    <row r="32" spans="2:7" ht="15.75" customHeight="1" x14ac:dyDescent="0.25">
      <c r="B32" s="363"/>
      <c r="C32" s="93" t="s">
        <v>144</v>
      </c>
      <c r="D32" s="94"/>
      <c r="E32" s="94"/>
      <c r="F32" s="95" t="s">
        <v>181</v>
      </c>
      <c r="G32" s="79"/>
    </row>
    <row r="33" spans="2:7" x14ac:dyDescent="0.25">
      <c r="B33" s="364"/>
      <c r="C33" s="391" t="s">
        <v>102</v>
      </c>
      <c r="D33" s="392"/>
      <c r="E33" s="392"/>
      <c r="F33" s="392"/>
      <c r="G33" s="369"/>
    </row>
    <row r="34" spans="2:7" ht="15.75" x14ac:dyDescent="0.3">
      <c r="B34" s="363"/>
      <c r="C34" s="81" t="s">
        <v>111</v>
      </c>
      <c r="D34" s="82"/>
      <c r="E34" s="82"/>
      <c r="F34" s="82"/>
      <c r="G34" s="83"/>
    </row>
    <row r="35" spans="2:7" ht="15.75" x14ac:dyDescent="0.3">
      <c r="B35" s="365"/>
      <c r="C35" s="73" t="s">
        <v>112</v>
      </c>
      <c r="G35" s="72"/>
    </row>
    <row r="36" spans="2:7" ht="15.75" x14ac:dyDescent="0.3">
      <c r="B36" s="365"/>
      <c r="C36" s="73"/>
      <c r="G36" s="72"/>
    </row>
    <row r="37" spans="2:7" ht="15.75" x14ac:dyDescent="0.3">
      <c r="B37" s="365"/>
      <c r="C37" s="73"/>
      <c r="G37" s="72"/>
    </row>
    <row r="38" spans="2:7" ht="15.75" customHeight="1" x14ac:dyDescent="0.3">
      <c r="B38" s="366"/>
      <c r="C38" s="80"/>
      <c r="D38" s="78"/>
      <c r="E38" s="78"/>
      <c r="F38" s="78"/>
      <c r="G38" s="79"/>
    </row>
    <row r="39" spans="2:7" ht="15.75" customHeight="1" x14ac:dyDescent="0.25">
      <c r="B39" s="343" t="s">
        <v>113</v>
      </c>
      <c r="C39" s="344"/>
      <c r="D39" s="344"/>
      <c r="E39" s="346" t="s">
        <v>114</v>
      </c>
      <c r="F39" s="344"/>
      <c r="G39" s="347"/>
    </row>
    <row r="40" spans="2:7" ht="15.75" customHeight="1" x14ac:dyDescent="0.25">
      <c r="B40" s="345"/>
      <c r="C40" s="250"/>
      <c r="D40" s="250"/>
      <c r="E40" s="345"/>
      <c r="F40" s="250"/>
      <c r="G40" s="348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1:D2"/>
    <mergeCell ref="E1:F2"/>
    <mergeCell ref="G1:G2"/>
    <mergeCell ref="B3:E4"/>
    <mergeCell ref="F3:F4"/>
    <mergeCell ref="G3:G4"/>
    <mergeCell ref="B5:B21"/>
    <mergeCell ref="C17:G17"/>
    <mergeCell ref="C18:G18"/>
    <mergeCell ref="C19:G19"/>
    <mergeCell ref="C20:G20"/>
    <mergeCell ref="C21:G21"/>
    <mergeCell ref="B39:D40"/>
    <mergeCell ref="E39:G40"/>
    <mergeCell ref="B22:G23"/>
    <mergeCell ref="B24:E25"/>
    <mergeCell ref="F24:F25"/>
    <mergeCell ref="G24:G25"/>
    <mergeCell ref="B26:B38"/>
    <mergeCell ref="C33:G33"/>
  </mergeCells>
  <phoneticPr fontId="21" type="noConversion"/>
  <pageMargins left="0.25" right="0.25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234C-DBF6-4BBB-A0D2-D14250F7A752}">
  <dimension ref="B1:G48"/>
  <sheetViews>
    <sheetView view="pageLayout" zoomScaleNormal="100" workbookViewId="0">
      <selection activeCell="E9" sqref="E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08" t="s">
        <v>90</v>
      </c>
      <c r="C1" s="309"/>
      <c r="D1" s="309"/>
      <c r="E1" s="312">
        <f>Kompetenzraster!Q25</f>
        <v>45245</v>
      </c>
      <c r="F1" s="313"/>
      <c r="G1" s="316">
        <v>11</v>
      </c>
    </row>
    <row r="2" spans="2:7" x14ac:dyDescent="0.25">
      <c r="B2" s="310"/>
      <c r="C2" s="311"/>
      <c r="D2" s="311"/>
      <c r="E2" s="314"/>
      <c r="F2" s="315"/>
      <c r="G2" s="317"/>
    </row>
    <row r="3" spans="2:7" ht="15.75" customHeight="1" x14ac:dyDescent="0.25">
      <c r="B3" s="355" t="s">
        <v>170</v>
      </c>
      <c r="C3" s="356"/>
      <c r="D3" s="356"/>
      <c r="E3" s="356"/>
      <c r="F3" s="358">
        <v>7.8</v>
      </c>
      <c r="G3" s="360" t="s">
        <v>92</v>
      </c>
    </row>
    <row r="4" spans="2:7" ht="14.25" customHeight="1" x14ac:dyDescent="0.25">
      <c r="B4" s="357"/>
      <c r="C4" s="210"/>
      <c r="D4" s="210"/>
      <c r="E4" s="210"/>
      <c r="F4" s="359"/>
      <c r="G4" s="361"/>
    </row>
    <row r="5" spans="2:7" ht="15.75" customHeight="1" x14ac:dyDescent="0.25">
      <c r="B5" s="394" t="s">
        <v>107</v>
      </c>
      <c r="C5" s="101"/>
      <c r="D5" s="102"/>
      <c r="E5" s="102"/>
      <c r="F5" s="103"/>
      <c r="G5" s="69"/>
    </row>
    <row r="6" spans="2:7" x14ac:dyDescent="0.25">
      <c r="B6" s="364"/>
      <c r="C6" s="96" t="s">
        <v>182</v>
      </c>
      <c r="D6" s="90"/>
      <c r="F6" s="71"/>
      <c r="G6" s="72"/>
    </row>
    <row r="7" spans="2:7" ht="15.75" x14ac:dyDescent="0.3">
      <c r="B7" s="364"/>
      <c r="C7" s="73"/>
      <c r="D7" s="97"/>
      <c r="E7" s="98"/>
      <c r="F7" s="72"/>
      <c r="G7" s="72"/>
    </row>
    <row r="8" spans="2:7" ht="15.75" x14ac:dyDescent="0.3">
      <c r="B8" s="364"/>
      <c r="C8" s="73"/>
      <c r="D8" s="97"/>
      <c r="E8" s="97"/>
      <c r="F8" s="72"/>
      <c r="G8" s="74"/>
    </row>
    <row r="9" spans="2:7" x14ac:dyDescent="0.25">
      <c r="B9" s="364"/>
      <c r="C9" s="84"/>
      <c r="D9" s="97"/>
      <c r="E9" s="97"/>
      <c r="F9" s="72"/>
      <c r="G9" s="72"/>
    </row>
    <row r="10" spans="2:7" x14ac:dyDescent="0.25">
      <c r="B10" s="364"/>
      <c r="C10" s="96"/>
      <c r="D10" s="97"/>
      <c r="E10" s="97"/>
      <c r="F10" s="72"/>
      <c r="G10" s="72"/>
    </row>
    <row r="11" spans="2:7" ht="15.75" x14ac:dyDescent="0.3">
      <c r="B11" s="364"/>
      <c r="C11" s="73"/>
      <c r="D11" s="97"/>
      <c r="E11" s="97"/>
      <c r="F11" s="72"/>
      <c r="G11" s="75"/>
    </row>
    <row r="12" spans="2:7" ht="15.75" x14ac:dyDescent="0.3">
      <c r="B12" s="364"/>
      <c r="C12" s="73"/>
      <c r="D12" s="97"/>
      <c r="E12" s="97"/>
      <c r="F12" s="72"/>
      <c r="G12" s="72"/>
    </row>
    <row r="13" spans="2:7" x14ac:dyDescent="0.25">
      <c r="B13" s="364"/>
      <c r="C13" s="84"/>
      <c r="F13" s="72"/>
      <c r="G13" s="72"/>
    </row>
    <row r="14" spans="2:7" ht="15.75" x14ac:dyDescent="0.3">
      <c r="B14" s="395"/>
      <c r="C14" s="99"/>
      <c r="D14" s="90"/>
      <c r="F14" s="72"/>
      <c r="G14" s="75"/>
    </row>
    <row r="15" spans="2:7" x14ac:dyDescent="0.25">
      <c r="B15" s="395"/>
      <c r="C15" s="91"/>
      <c r="D15" s="90"/>
      <c r="F15" s="72"/>
      <c r="G15" s="72"/>
    </row>
    <row r="16" spans="2:7" x14ac:dyDescent="0.25">
      <c r="B16" s="395"/>
      <c r="C16" s="85"/>
      <c r="D16" s="78"/>
      <c r="E16" s="78"/>
      <c r="F16" s="79"/>
      <c r="G16" s="65"/>
    </row>
    <row r="17" spans="2:7" ht="15.75" customHeight="1" x14ac:dyDescent="0.25">
      <c r="B17" s="395"/>
      <c r="C17" s="391" t="s">
        <v>102</v>
      </c>
      <c r="D17" s="392"/>
      <c r="E17" s="392"/>
      <c r="F17" s="392"/>
      <c r="G17" s="393"/>
    </row>
    <row r="18" spans="2:7" ht="15" customHeight="1" x14ac:dyDescent="0.3">
      <c r="B18" s="395"/>
      <c r="C18" s="334" t="s">
        <v>111</v>
      </c>
      <c r="D18" s="335"/>
      <c r="E18" s="335"/>
      <c r="F18" s="335"/>
      <c r="G18" s="336"/>
    </row>
    <row r="19" spans="2:7" ht="15" customHeight="1" x14ac:dyDescent="0.3">
      <c r="B19" s="395"/>
      <c r="C19" s="337" t="s">
        <v>178</v>
      </c>
      <c r="D19" s="338"/>
      <c r="E19" s="338"/>
      <c r="F19" s="338"/>
      <c r="G19" s="339"/>
    </row>
    <row r="20" spans="2:7" ht="15.75" customHeight="1" x14ac:dyDescent="0.3">
      <c r="B20" s="395"/>
      <c r="C20" s="337" t="s">
        <v>179</v>
      </c>
      <c r="D20" s="338"/>
      <c r="E20" s="338"/>
      <c r="F20" s="338"/>
      <c r="G20" s="339"/>
    </row>
    <row r="21" spans="2:7" ht="15" customHeight="1" x14ac:dyDescent="0.3">
      <c r="B21" s="396"/>
      <c r="C21" s="340" t="s">
        <v>180</v>
      </c>
      <c r="D21" s="341"/>
      <c r="E21" s="341"/>
      <c r="F21" s="341"/>
      <c r="G21" s="342"/>
    </row>
    <row r="22" spans="2:7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7" ht="15" customHeight="1" x14ac:dyDescent="0.25">
      <c r="B23" s="352"/>
      <c r="C23" s="353"/>
      <c r="D23" s="353"/>
      <c r="E23" s="353"/>
      <c r="F23" s="353"/>
      <c r="G23" s="354"/>
    </row>
    <row r="24" spans="2:7" ht="16.5" customHeight="1" x14ac:dyDescent="0.25">
      <c r="B24" s="355" t="s">
        <v>191</v>
      </c>
      <c r="C24" s="356"/>
      <c r="D24" s="356"/>
      <c r="E24" s="356"/>
      <c r="F24" s="358">
        <v>7.2</v>
      </c>
      <c r="G24" s="360" t="s">
        <v>92</v>
      </c>
    </row>
    <row r="25" spans="2:7" ht="15.75" customHeight="1" x14ac:dyDescent="0.25">
      <c r="B25" s="357"/>
      <c r="C25" s="210"/>
      <c r="D25" s="210"/>
      <c r="E25" s="210"/>
      <c r="F25" s="359"/>
      <c r="G25" s="361"/>
    </row>
    <row r="26" spans="2:7" x14ac:dyDescent="0.25">
      <c r="B26" s="362" t="s">
        <v>107</v>
      </c>
      <c r="C26" s="101"/>
      <c r="D26" s="102"/>
      <c r="E26" s="102"/>
      <c r="F26" s="68"/>
      <c r="G26" s="69"/>
    </row>
    <row r="27" spans="2:7" ht="15.75" x14ac:dyDescent="0.3">
      <c r="B27" s="363"/>
      <c r="C27" s="96" t="s">
        <v>138</v>
      </c>
      <c r="D27" s="97"/>
      <c r="E27" s="98"/>
      <c r="F27" s="72"/>
      <c r="G27" s="72"/>
    </row>
    <row r="28" spans="2:7" ht="15.75" x14ac:dyDescent="0.3">
      <c r="B28" s="363"/>
      <c r="C28" s="99" t="s">
        <v>185</v>
      </c>
      <c r="D28" s="97"/>
      <c r="E28" s="97"/>
      <c r="F28" s="74"/>
      <c r="G28" s="72"/>
    </row>
    <row r="29" spans="2:7" ht="15.75" customHeight="1" x14ac:dyDescent="0.25">
      <c r="B29" s="363"/>
      <c r="C29" s="84"/>
      <c r="D29" s="97"/>
      <c r="E29" s="97"/>
      <c r="F29" s="72"/>
      <c r="G29" s="72"/>
    </row>
    <row r="30" spans="2:7" ht="15.75" customHeight="1" x14ac:dyDescent="0.25">
      <c r="B30" s="363"/>
      <c r="C30" s="96" t="s">
        <v>94</v>
      </c>
      <c r="D30" s="97"/>
      <c r="E30" s="97"/>
      <c r="F30" s="72"/>
      <c r="G30" s="75"/>
    </row>
    <row r="31" spans="2:7" ht="15.75" customHeight="1" x14ac:dyDescent="0.3">
      <c r="B31" s="363"/>
      <c r="C31" s="99" t="s">
        <v>186</v>
      </c>
      <c r="F31" s="72"/>
      <c r="G31" s="72"/>
    </row>
    <row r="32" spans="2:7" ht="15.75" customHeight="1" x14ac:dyDescent="0.25">
      <c r="B32" s="363"/>
      <c r="C32" s="104"/>
      <c r="D32" s="105"/>
      <c r="E32" s="105"/>
      <c r="F32" s="106"/>
      <c r="G32" s="79"/>
    </row>
    <row r="33" spans="2:7" x14ac:dyDescent="0.25">
      <c r="B33" s="364"/>
      <c r="C33" s="391" t="s">
        <v>102</v>
      </c>
      <c r="D33" s="392"/>
      <c r="E33" s="392"/>
      <c r="F33" s="392"/>
      <c r="G33" s="369"/>
    </row>
    <row r="34" spans="2:7" ht="15.75" x14ac:dyDescent="0.3">
      <c r="B34" s="363"/>
      <c r="C34" s="81" t="s">
        <v>187</v>
      </c>
      <c r="D34" s="82"/>
      <c r="E34" s="82"/>
      <c r="F34" s="83"/>
      <c r="G34" s="83"/>
    </row>
    <row r="35" spans="2:7" ht="15.75" x14ac:dyDescent="0.3">
      <c r="B35" s="365"/>
      <c r="C35" s="73" t="s">
        <v>190</v>
      </c>
      <c r="F35" s="72"/>
      <c r="G35" s="72"/>
    </row>
    <row r="36" spans="2:7" ht="15.75" x14ac:dyDescent="0.3">
      <c r="B36" s="365"/>
      <c r="C36" s="73" t="s">
        <v>188</v>
      </c>
      <c r="F36" s="72"/>
      <c r="G36" s="72"/>
    </row>
    <row r="37" spans="2:7" ht="15.75" x14ac:dyDescent="0.3">
      <c r="B37" s="365"/>
      <c r="C37" s="73" t="s">
        <v>189</v>
      </c>
      <c r="F37" s="72"/>
      <c r="G37" s="72"/>
    </row>
    <row r="38" spans="2:7" ht="15.75" customHeight="1" x14ac:dyDescent="0.3">
      <c r="B38" s="366"/>
      <c r="C38" s="80"/>
      <c r="D38" s="78"/>
      <c r="E38" s="78"/>
      <c r="F38" s="79"/>
      <c r="G38" s="79"/>
    </row>
    <row r="39" spans="2:7" ht="15.75" customHeight="1" x14ac:dyDescent="0.25">
      <c r="B39" s="343" t="s">
        <v>113</v>
      </c>
      <c r="C39" s="344"/>
      <c r="D39" s="344"/>
      <c r="E39" s="346" t="s">
        <v>114</v>
      </c>
      <c r="F39" s="344"/>
      <c r="G39" s="347"/>
    </row>
    <row r="40" spans="2:7" ht="15.75" customHeight="1" x14ac:dyDescent="0.25">
      <c r="B40" s="345"/>
      <c r="C40" s="250"/>
      <c r="D40" s="250"/>
      <c r="E40" s="345"/>
      <c r="F40" s="250"/>
      <c r="G40" s="348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1:D2"/>
    <mergeCell ref="E1:F2"/>
    <mergeCell ref="G1:G2"/>
    <mergeCell ref="B3:E4"/>
    <mergeCell ref="F3:F4"/>
    <mergeCell ref="G3:G4"/>
    <mergeCell ref="B5:B21"/>
    <mergeCell ref="C17:G17"/>
    <mergeCell ref="C18:G18"/>
    <mergeCell ref="C19:G19"/>
    <mergeCell ref="C20:G20"/>
    <mergeCell ref="C21:G21"/>
    <mergeCell ref="B39:D40"/>
    <mergeCell ref="E39:G40"/>
    <mergeCell ref="B22:G23"/>
    <mergeCell ref="B24:E25"/>
    <mergeCell ref="F24:F25"/>
    <mergeCell ref="G24:G25"/>
    <mergeCell ref="B26:B38"/>
    <mergeCell ref="C33:G33"/>
  </mergeCells>
  <pageMargins left="0.25" right="0.25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1128-ED13-44DF-8E30-7ECE2D26055F}">
  <dimension ref="B1:G48"/>
  <sheetViews>
    <sheetView view="pageLayout" zoomScaleNormal="100" workbookViewId="0">
      <selection activeCell="C5" sqref="C5:F16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08" t="s">
        <v>90</v>
      </c>
      <c r="C1" s="309"/>
      <c r="D1" s="309"/>
      <c r="E1" s="312">
        <f>Kompetenzraster!Q27</f>
        <v>45252</v>
      </c>
      <c r="F1" s="313"/>
      <c r="G1" s="316">
        <v>12</v>
      </c>
    </row>
    <row r="2" spans="2:7" x14ac:dyDescent="0.25">
      <c r="B2" s="310"/>
      <c r="C2" s="311"/>
      <c r="D2" s="311"/>
      <c r="E2" s="314"/>
      <c r="F2" s="315"/>
      <c r="G2" s="317"/>
    </row>
    <row r="3" spans="2:7" ht="15.75" customHeight="1" x14ac:dyDescent="0.25">
      <c r="B3" s="318" t="s">
        <v>91</v>
      </c>
      <c r="C3" s="319"/>
      <c r="D3" s="319"/>
      <c r="E3" s="319"/>
      <c r="F3" s="322">
        <v>7.4</v>
      </c>
      <c r="G3" s="324" t="s">
        <v>92</v>
      </c>
    </row>
    <row r="4" spans="2:7" ht="14.25" customHeight="1" x14ac:dyDescent="0.25">
      <c r="B4" s="320"/>
      <c r="C4" s="321"/>
      <c r="D4" s="321"/>
      <c r="E4" s="321"/>
      <c r="F4" s="323"/>
      <c r="G4" s="325"/>
    </row>
    <row r="5" spans="2:7" ht="15.75" customHeight="1" x14ac:dyDescent="0.25">
      <c r="B5" s="326" t="s">
        <v>93</v>
      </c>
      <c r="C5" s="101"/>
      <c r="D5" s="102"/>
      <c r="E5" s="102"/>
      <c r="F5" s="103"/>
      <c r="G5" s="100"/>
    </row>
    <row r="6" spans="2:7" x14ac:dyDescent="0.25">
      <c r="B6" s="327"/>
      <c r="C6" s="109" t="s">
        <v>199</v>
      </c>
      <c r="D6" s="110"/>
      <c r="E6" s="111"/>
      <c r="F6" s="112"/>
      <c r="G6" s="92"/>
    </row>
    <row r="7" spans="2:7" ht="15.75" x14ac:dyDescent="0.3">
      <c r="B7" s="327"/>
      <c r="C7" s="84"/>
      <c r="D7" s="97"/>
      <c r="E7" s="98"/>
      <c r="F7" s="72"/>
      <c r="G7" s="92"/>
    </row>
    <row r="8" spans="2:7" ht="15.75" x14ac:dyDescent="0.3">
      <c r="B8" s="327"/>
      <c r="C8" s="96" t="s">
        <v>196</v>
      </c>
      <c r="D8" s="97"/>
      <c r="E8" s="97"/>
      <c r="F8" s="72"/>
      <c r="G8" s="108"/>
    </row>
    <row r="9" spans="2:7" ht="15.75" x14ac:dyDescent="0.3">
      <c r="B9" s="327"/>
      <c r="C9" s="73"/>
      <c r="D9" s="97"/>
      <c r="E9" s="97"/>
      <c r="F9" s="72"/>
      <c r="G9" s="92"/>
    </row>
    <row r="10" spans="2:7" x14ac:dyDescent="0.25">
      <c r="B10" s="327"/>
      <c r="C10" s="70" t="s">
        <v>94</v>
      </c>
      <c r="D10" s="97"/>
      <c r="E10" s="97"/>
      <c r="F10" s="72"/>
      <c r="G10" s="92"/>
    </row>
    <row r="11" spans="2:7" ht="15.75" x14ac:dyDescent="0.3">
      <c r="B11" s="327"/>
      <c r="C11" s="73" t="s">
        <v>195</v>
      </c>
      <c r="D11" s="97"/>
      <c r="E11" s="97"/>
      <c r="F11" s="72"/>
      <c r="G11" s="86"/>
    </row>
    <row r="12" spans="2:7" x14ac:dyDescent="0.25">
      <c r="B12" s="327"/>
      <c r="C12" s="84"/>
      <c r="D12" s="97"/>
      <c r="E12" s="97"/>
      <c r="F12" s="72"/>
      <c r="G12" s="92"/>
    </row>
    <row r="13" spans="2:7" x14ac:dyDescent="0.25">
      <c r="B13" s="327"/>
      <c r="C13" s="70" t="s">
        <v>98</v>
      </c>
      <c r="F13" s="72"/>
      <c r="G13" s="92"/>
    </row>
    <row r="14" spans="2:7" ht="15.75" x14ac:dyDescent="0.3">
      <c r="B14" s="327"/>
      <c r="C14" s="73" t="s">
        <v>197</v>
      </c>
      <c r="D14" s="90"/>
      <c r="F14" s="72"/>
      <c r="G14" s="86"/>
    </row>
    <row r="15" spans="2:7" ht="15.75" x14ac:dyDescent="0.3">
      <c r="B15" s="327"/>
      <c r="C15" s="73" t="s">
        <v>198</v>
      </c>
      <c r="D15" s="90"/>
      <c r="F15" s="72"/>
      <c r="G15" s="92"/>
    </row>
    <row r="16" spans="2:7" x14ac:dyDescent="0.25">
      <c r="B16" s="327"/>
      <c r="C16" s="85"/>
      <c r="D16" s="78"/>
      <c r="E16" s="78"/>
      <c r="F16" s="79"/>
      <c r="G16" s="65"/>
    </row>
    <row r="17" spans="2:7" ht="15.75" customHeight="1" x14ac:dyDescent="0.25">
      <c r="B17" s="401"/>
      <c r="C17" s="367" t="s">
        <v>102</v>
      </c>
      <c r="D17" s="368"/>
      <c r="E17" s="368"/>
      <c r="F17" s="368"/>
      <c r="G17" s="369"/>
    </row>
    <row r="18" spans="2:7" ht="15" customHeight="1" x14ac:dyDescent="0.3">
      <c r="B18" s="329"/>
      <c r="C18" s="334" t="s">
        <v>103</v>
      </c>
      <c r="D18" s="402"/>
      <c r="E18" s="402"/>
      <c r="F18" s="402"/>
      <c r="G18" s="403"/>
    </row>
    <row r="19" spans="2:7" ht="15" customHeight="1" x14ac:dyDescent="0.3">
      <c r="B19" s="329"/>
      <c r="C19" s="337" t="s">
        <v>192</v>
      </c>
      <c r="D19" s="397"/>
      <c r="E19" s="397"/>
      <c r="F19" s="397"/>
      <c r="G19" s="398"/>
    </row>
    <row r="20" spans="2:7" ht="15.75" customHeight="1" x14ac:dyDescent="0.3">
      <c r="B20" s="329"/>
      <c r="C20" s="337" t="s">
        <v>194</v>
      </c>
      <c r="D20" s="397"/>
      <c r="E20" s="397"/>
      <c r="F20" s="397"/>
      <c r="G20" s="398"/>
    </row>
    <row r="21" spans="2:7" ht="15" customHeight="1" x14ac:dyDescent="0.3">
      <c r="B21" s="330"/>
      <c r="C21" s="340" t="s">
        <v>193</v>
      </c>
      <c r="D21" s="399"/>
      <c r="E21" s="399"/>
      <c r="F21" s="399"/>
      <c r="G21" s="400"/>
    </row>
    <row r="22" spans="2:7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7" ht="15" customHeight="1" x14ac:dyDescent="0.25">
      <c r="B23" s="352"/>
      <c r="C23" s="353"/>
      <c r="D23" s="353"/>
      <c r="E23" s="353"/>
      <c r="F23" s="353"/>
      <c r="G23" s="354"/>
    </row>
    <row r="24" spans="2:7" ht="16.5" customHeight="1" x14ac:dyDescent="0.25">
      <c r="B24" s="355" t="s">
        <v>191</v>
      </c>
      <c r="C24" s="356"/>
      <c r="D24" s="356"/>
      <c r="E24" s="356"/>
      <c r="F24" s="358">
        <v>7.2</v>
      </c>
      <c r="G24" s="360" t="s">
        <v>92</v>
      </c>
    </row>
    <row r="25" spans="2:7" ht="15.75" customHeight="1" x14ac:dyDescent="0.25">
      <c r="B25" s="357"/>
      <c r="C25" s="210"/>
      <c r="D25" s="210"/>
      <c r="E25" s="210"/>
      <c r="F25" s="359"/>
      <c r="G25" s="361"/>
    </row>
    <row r="26" spans="2:7" x14ac:dyDescent="0.25">
      <c r="B26" s="362" t="s">
        <v>107</v>
      </c>
      <c r="C26" s="101"/>
      <c r="D26" s="102"/>
      <c r="E26" s="102"/>
      <c r="F26" s="68"/>
      <c r="G26" s="69"/>
    </row>
    <row r="27" spans="2:7" x14ac:dyDescent="0.25">
      <c r="B27" s="363"/>
      <c r="C27" s="96" t="s">
        <v>94</v>
      </c>
      <c r="D27" s="97"/>
      <c r="E27" s="97"/>
      <c r="F27" s="72"/>
      <c r="G27" s="72"/>
    </row>
    <row r="28" spans="2:7" ht="15.75" x14ac:dyDescent="0.3">
      <c r="B28" s="363"/>
      <c r="C28" s="99" t="s">
        <v>186</v>
      </c>
      <c r="F28" s="74"/>
      <c r="G28" s="72"/>
    </row>
    <row r="29" spans="2:7" ht="15.75" customHeight="1" x14ac:dyDescent="0.3">
      <c r="B29" s="363"/>
      <c r="C29" s="99" t="s">
        <v>200</v>
      </c>
      <c r="F29" s="72"/>
      <c r="G29" s="72"/>
    </row>
    <row r="30" spans="2:7" ht="15.75" customHeight="1" x14ac:dyDescent="0.25">
      <c r="B30" s="363"/>
      <c r="C30" s="84"/>
      <c r="F30" s="72"/>
      <c r="G30" s="75"/>
    </row>
    <row r="31" spans="2:7" ht="15.75" customHeight="1" x14ac:dyDescent="0.25">
      <c r="B31" s="363"/>
      <c r="C31" s="84"/>
      <c r="F31" s="72"/>
      <c r="G31" s="72"/>
    </row>
    <row r="32" spans="2:7" ht="15.75" customHeight="1" x14ac:dyDescent="0.25">
      <c r="B32" s="363"/>
      <c r="C32" s="104"/>
      <c r="D32" s="105"/>
      <c r="E32" s="105"/>
      <c r="F32" s="106"/>
      <c r="G32" s="79"/>
    </row>
    <row r="33" spans="2:7" x14ac:dyDescent="0.25">
      <c r="B33" s="364"/>
      <c r="C33" s="391" t="s">
        <v>102</v>
      </c>
      <c r="D33" s="392"/>
      <c r="E33" s="392"/>
      <c r="F33" s="392"/>
      <c r="G33" s="369"/>
    </row>
    <row r="34" spans="2:7" ht="15.75" x14ac:dyDescent="0.3">
      <c r="B34" s="363"/>
      <c r="C34" s="81" t="s">
        <v>187</v>
      </c>
      <c r="D34" s="82"/>
      <c r="E34" s="82"/>
      <c r="F34" s="83"/>
      <c r="G34" s="83"/>
    </row>
    <row r="35" spans="2:7" ht="15.75" x14ac:dyDescent="0.3">
      <c r="B35" s="365"/>
      <c r="C35" s="73" t="s">
        <v>190</v>
      </c>
      <c r="F35" s="72"/>
      <c r="G35" s="72"/>
    </row>
    <row r="36" spans="2:7" ht="15.75" x14ac:dyDescent="0.3">
      <c r="B36" s="365"/>
      <c r="C36" s="73" t="s">
        <v>188</v>
      </c>
      <c r="F36" s="72"/>
      <c r="G36" s="72"/>
    </row>
    <row r="37" spans="2:7" ht="15.75" x14ac:dyDescent="0.3">
      <c r="B37" s="365"/>
      <c r="C37" s="73" t="s">
        <v>189</v>
      </c>
      <c r="F37" s="72"/>
      <c r="G37" s="72"/>
    </row>
    <row r="38" spans="2:7" ht="15.75" customHeight="1" x14ac:dyDescent="0.3">
      <c r="B38" s="366"/>
      <c r="C38" s="80"/>
      <c r="D38" s="78"/>
      <c r="E38" s="78"/>
      <c r="F38" s="79"/>
      <c r="G38" s="79"/>
    </row>
    <row r="39" spans="2:7" ht="15.75" customHeight="1" x14ac:dyDescent="0.25">
      <c r="B39" s="343" t="s">
        <v>113</v>
      </c>
      <c r="C39" s="344"/>
      <c r="D39" s="344"/>
      <c r="E39" s="346" t="s">
        <v>114</v>
      </c>
      <c r="F39" s="344"/>
      <c r="G39" s="347"/>
    </row>
    <row r="40" spans="2:7" ht="15.75" customHeight="1" x14ac:dyDescent="0.25">
      <c r="B40" s="345"/>
      <c r="C40" s="250"/>
      <c r="D40" s="250"/>
      <c r="E40" s="345"/>
      <c r="F40" s="250"/>
      <c r="G40" s="348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1:D2"/>
    <mergeCell ref="E1:F2"/>
    <mergeCell ref="G1:G2"/>
    <mergeCell ref="B3:E4"/>
    <mergeCell ref="F3:F4"/>
    <mergeCell ref="G3:G4"/>
    <mergeCell ref="B39:D40"/>
    <mergeCell ref="E39:G40"/>
    <mergeCell ref="C19:G19"/>
    <mergeCell ref="C21:G21"/>
    <mergeCell ref="B22:G23"/>
    <mergeCell ref="B24:E25"/>
    <mergeCell ref="F24:F25"/>
    <mergeCell ref="G24:G25"/>
    <mergeCell ref="B26:B38"/>
    <mergeCell ref="C33:G33"/>
    <mergeCell ref="B5:B21"/>
    <mergeCell ref="C17:G17"/>
    <mergeCell ref="C18:G18"/>
    <mergeCell ref="C20:G20"/>
  </mergeCells>
  <pageMargins left="0.25" right="0.25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0534-E014-4D5C-BE29-C41447132700}">
  <dimension ref="B1:G48"/>
  <sheetViews>
    <sheetView view="pageLayout" zoomScaleNormal="100" workbookViewId="0">
      <selection activeCell="C12" sqref="C1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08" t="s">
        <v>90</v>
      </c>
      <c r="C1" s="309"/>
      <c r="D1" s="309"/>
      <c r="E1" s="312">
        <f>Kompetenzraster!Q29</f>
        <v>45259</v>
      </c>
      <c r="F1" s="313"/>
      <c r="G1" s="316">
        <v>13</v>
      </c>
    </row>
    <row r="2" spans="2:7" x14ac:dyDescent="0.25">
      <c r="B2" s="310"/>
      <c r="C2" s="311"/>
      <c r="D2" s="311"/>
      <c r="E2" s="314"/>
      <c r="F2" s="315"/>
      <c r="G2" s="317"/>
    </row>
    <row r="3" spans="2:7" ht="15.75" customHeight="1" x14ac:dyDescent="0.25">
      <c r="B3" s="318" t="s">
        <v>91</v>
      </c>
      <c r="C3" s="319"/>
      <c r="D3" s="319"/>
      <c r="E3" s="319"/>
      <c r="F3" s="322">
        <v>7.4</v>
      </c>
      <c r="G3" s="324" t="s">
        <v>92</v>
      </c>
    </row>
    <row r="4" spans="2:7" ht="14.25" customHeight="1" x14ac:dyDescent="0.25">
      <c r="B4" s="320"/>
      <c r="C4" s="321"/>
      <c r="D4" s="321"/>
      <c r="E4" s="321"/>
      <c r="F4" s="323"/>
      <c r="G4" s="325"/>
    </row>
    <row r="5" spans="2:7" ht="15.75" customHeight="1" x14ac:dyDescent="0.25">
      <c r="B5" s="326" t="s">
        <v>93</v>
      </c>
      <c r="C5" s="101"/>
      <c r="D5" s="102"/>
      <c r="E5" s="102"/>
      <c r="F5" s="103"/>
      <c r="G5" s="69"/>
    </row>
    <row r="6" spans="2:7" x14ac:dyDescent="0.25">
      <c r="B6" s="327"/>
      <c r="C6" s="113" t="s">
        <v>206</v>
      </c>
      <c r="D6" s="114"/>
      <c r="E6" s="114"/>
      <c r="F6" s="71"/>
      <c r="G6" s="72"/>
    </row>
    <row r="7" spans="2:7" x14ac:dyDescent="0.25">
      <c r="B7" s="327"/>
      <c r="C7" s="84"/>
      <c r="F7" s="72"/>
      <c r="G7" s="72"/>
    </row>
    <row r="8" spans="2:7" ht="15.75" x14ac:dyDescent="0.3">
      <c r="B8" s="327"/>
      <c r="C8" s="70" t="s">
        <v>100</v>
      </c>
      <c r="D8" s="97"/>
      <c r="E8" s="97"/>
      <c r="F8" s="72"/>
      <c r="G8" s="74"/>
    </row>
    <row r="9" spans="2:7" ht="15.75" x14ac:dyDescent="0.3">
      <c r="B9" s="327"/>
      <c r="C9" s="84"/>
      <c r="D9" s="97"/>
      <c r="E9" s="98"/>
      <c r="F9" s="72"/>
      <c r="G9" s="72"/>
    </row>
    <row r="10" spans="2:7" ht="15.75" x14ac:dyDescent="0.3">
      <c r="B10" s="327"/>
      <c r="C10" s="73" t="s">
        <v>202</v>
      </c>
      <c r="F10" s="72"/>
      <c r="G10" s="72"/>
    </row>
    <row r="11" spans="2:7" ht="15.75" x14ac:dyDescent="0.3">
      <c r="B11" s="327"/>
      <c r="C11" s="73" t="s">
        <v>204</v>
      </c>
      <c r="E11" s="97"/>
      <c r="F11" s="72"/>
      <c r="G11" s="75"/>
    </row>
    <row r="12" spans="2:7" ht="15.75" x14ac:dyDescent="0.3">
      <c r="B12" s="327"/>
      <c r="C12" s="73" t="s">
        <v>203</v>
      </c>
      <c r="D12" s="97"/>
      <c r="E12" s="97"/>
      <c r="F12" s="72"/>
      <c r="G12" s="72"/>
    </row>
    <row r="13" spans="2:7" x14ac:dyDescent="0.25">
      <c r="B13" s="327"/>
      <c r="C13" s="84"/>
      <c r="F13" s="72"/>
      <c r="G13" s="72"/>
    </row>
    <row r="14" spans="2:7" x14ac:dyDescent="0.25">
      <c r="B14" s="327"/>
      <c r="C14" s="84"/>
      <c r="D14" s="90"/>
      <c r="F14" s="72"/>
      <c r="G14" s="75"/>
    </row>
    <row r="15" spans="2:7" x14ac:dyDescent="0.25">
      <c r="B15" s="327"/>
      <c r="C15" s="91"/>
      <c r="D15" s="90"/>
      <c r="F15" s="72"/>
      <c r="G15" s="72"/>
    </row>
    <row r="16" spans="2:7" x14ac:dyDescent="0.25">
      <c r="B16" s="327"/>
      <c r="C16" s="85"/>
      <c r="D16" s="78"/>
      <c r="E16" s="78"/>
      <c r="F16" s="79"/>
      <c r="G16" s="79"/>
    </row>
    <row r="17" spans="2:7" ht="15.75" customHeight="1" x14ac:dyDescent="0.25">
      <c r="B17" s="401"/>
      <c r="C17" s="367" t="s">
        <v>102</v>
      </c>
      <c r="D17" s="368"/>
      <c r="E17" s="368"/>
      <c r="F17" s="368"/>
      <c r="G17" s="369"/>
    </row>
    <row r="18" spans="2:7" ht="15" customHeight="1" x14ac:dyDescent="0.3">
      <c r="B18" s="329"/>
      <c r="C18" s="334" t="s">
        <v>103</v>
      </c>
      <c r="D18" s="402"/>
      <c r="E18" s="402"/>
      <c r="F18" s="402"/>
      <c r="G18" s="403"/>
    </row>
    <row r="19" spans="2:7" ht="15" customHeight="1" x14ac:dyDescent="0.3">
      <c r="B19" s="329"/>
      <c r="C19" s="337" t="s">
        <v>192</v>
      </c>
      <c r="D19" s="397"/>
      <c r="E19" s="397"/>
      <c r="F19" s="397"/>
      <c r="G19" s="398"/>
    </row>
    <row r="20" spans="2:7" ht="15.75" customHeight="1" x14ac:dyDescent="0.3">
      <c r="B20" s="329"/>
      <c r="C20" s="337" t="s">
        <v>194</v>
      </c>
      <c r="D20" s="397"/>
      <c r="E20" s="397"/>
      <c r="F20" s="397"/>
      <c r="G20" s="398"/>
    </row>
    <row r="21" spans="2:7" ht="15" customHeight="1" x14ac:dyDescent="0.3">
      <c r="B21" s="330"/>
      <c r="C21" s="340" t="s">
        <v>193</v>
      </c>
      <c r="D21" s="399"/>
      <c r="E21" s="399"/>
      <c r="F21" s="399"/>
      <c r="G21" s="400"/>
    </row>
    <row r="22" spans="2:7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7" ht="15" customHeight="1" x14ac:dyDescent="0.25">
      <c r="B23" s="352"/>
      <c r="C23" s="353"/>
      <c r="D23" s="353"/>
      <c r="E23" s="353"/>
      <c r="F23" s="353"/>
      <c r="G23" s="354"/>
    </row>
    <row r="24" spans="2:7" ht="16.5" customHeight="1" x14ac:dyDescent="0.25">
      <c r="B24" s="355" t="s">
        <v>191</v>
      </c>
      <c r="C24" s="356"/>
      <c r="D24" s="356"/>
      <c r="E24" s="356"/>
      <c r="F24" s="358">
        <v>7.2</v>
      </c>
      <c r="G24" s="360" t="s">
        <v>92</v>
      </c>
    </row>
    <row r="25" spans="2:7" ht="15.75" customHeight="1" x14ac:dyDescent="0.25">
      <c r="B25" s="357"/>
      <c r="C25" s="210"/>
      <c r="D25" s="210"/>
      <c r="E25" s="210"/>
      <c r="F25" s="359"/>
      <c r="G25" s="361"/>
    </row>
    <row r="26" spans="2:7" x14ac:dyDescent="0.25">
      <c r="B26" s="362" t="s">
        <v>107</v>
      </c>
      <c r="C26" s="101"/>
      <c r="D26" s="102"/>
      <c r="E26" s="102"/>
      <c r="F26" s="68"/>
      <c r="G26" s="69"/>
    </row>
    <row r="27" spans="2:7" x14ac:dyDescent="0.25">
      <c r="B27" s="363"/>
      <c r="C27" s="96" t="s">
        <v>100</v>
      </c>
      <c r="D27" s="97"/>
      <c r="E27" s="97"/>
      <c r="F27" s="72"/>
      <c r="G27" s="72"/>
    </row>
    <row r="28" spans="2:7" ht="15.75" x14ac:dyDescent="0.3">
      <c r="B28" s="363"/>
      <c r="C28" s="73" t="s">
        <v>205</v>
      </c>
      <c r="F28" s="74"/>
      <c r="G28" s="72"/>
    </row>
    <row r="29" spans="2:7" ht="15.75" customHeight="1" x14ac:dyDescent="0.3">
      <c r="B29" s="363"/>
      <c r="C29" s="99" t="s">
        <v>201</v>
      </c>
      <c r="F29" s="72"/>
      <c r="G29" s="72"/>
    </row>
    <row r="30" spans="2:7" ht="15.75" customHeight="1" x14ac:dyDescent="0.25">
      <c r="B30" s="363"/>
      <c r="C30" s="84"/>
      <c r="F30" s="72"/>
      <c r="G30" s="75"/>
    </row>
    <row r="31" spans="2:7" ht="15.75" customHeight="1" x14ac:dyDescent="0.25">
      <c r="B31" s="363"/>
      <c r="C31" s="84"/>
      <c r="F31" s="72"/>
      <c r="G31" s="72"/>
    </row>
    <row r="32" spans="2:7" ht="15.75" customHeight="1" x14ac:dyDescent="0.25">
      <c r="B32" s="363"/>
      <c r="C32" s="104"/>
      <c r="D32" s="105"/>
      <c r="E32" s="105"/>
      <c r="F32" s="106"/>
      <c r="G32" s="79"/>
    </row>
    <row r="33" spans="2:7" x14ac:dyDescent="0.25">
      <c r="B33" s="364"/>
      <c r="C33" s="391" t="s">
        <v>102</v>
      </c>
      <c r="D33" s="392"/>
      <c r="E33" s="392"/>
      <c r="F33" s="392"/>
      <c r="G33" s="369"/>
    </row>
    <row r="34" spans="2:7" ht="15.75" x14ac:dyDescent="0.3">
      <c r="B34" s="363"/>
      <c r="C34" s="81" t="s">
        <v>187</v>
      </c>
      <c r="D34" s="82"/>
      <c r="E34" s="82"/>
      <c r="F34" s="83"/>
      <c r="G34" s="83"/>
    </row>
    <row r="35" spans="2:7" ht="15.75" x14ac:dyDescent="0.3">
      <c r="B35" s="365"/>
      <c r="C35" s="73" t="s">
        <v>190</v>
      </c>
      <c r="F35" s="72"/>
      <c r="G35" s="72"/>
    </row>
    <row r="36" spans="2:7" ht="15.75" x14ac:dyDescent="0.3">
      <c r="B36" s="365"/>
      <c r="C36" s="73" t="s">
        <v>188</v>
      </c>
      <c r="F36" s="72"/>
      <c r="G36" s="72"/>
    </row>
    <row r="37" spans="2:7" ht="15.75" x14ac:dyDescent="0.3">
      <c r="B37" s="365"/>
      <c r="C37" s="73" t="s">
        <v>189</v>
      </c>
      <c r="F37" s="72"/>
      <c r="G37" s="72"/>
    </row>
    <row r="38" spans="2:7" ht="15.75" customHeight="1" x14ac:dyDescent="0.3">
      <c r="B38" s="366"/>
      <c r="C38" s="80"/>
      <c r="D38" s="78"/>
      <c r="E38" s="78"/>
      <c r="F38" s="79"/>
      <c r="G38" s="79"/>
    </row>
    <row r="39" spans="2:7" ht="15.75" customHeight="1" x14ac:dyDescent="0.25">
      <c r="B39" s="343" t="s">
        <v>113</v>
      </c>
      <c r="C39" s="344"/>
      <c r="D39" s="344"/>
      <c r="E39" s="346" t="s">
        <v>114</v>
      </c>
      <c r="F39" s="344"/>
      <c r="G39" s="347"/>
    </row>
    <row r="40" spans="2:7" ht="15.75" customHeight="1" x14ac:dyDescent="0.25">
      <c r="B40" s="345"/>
      <c r="C40" s="250"/>
      <c r="D40" s="250"/>
      <c r="E40" s="345"/>
      <c r="F40" s="250"/>
      <c r="G40" s="348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1:D2"/>
    <mergeCell ref="E1:F2"/>
    <mergeCell ref="G1:G2"/>
    <mergeCell ref="B3:E4"/>
    <mergeCell ref="F3:F4"/>
    <mergeCell ref="G3:G4"/>
    <mergeCell ref="B5:B21"/>
    <mergeCell ref="C17:G17"/>
    <mergeCell ref="C18:G18"/>
    <mergeCell ref="C19:G19"/>
    <mergeCell ref="C20:G20"/>
    <mergeCell ref="C21:G21"/>
    <mergeCell ref="B39:D40"/>
    <mergeCell ref="E39:G40"/>
    <mergeCell ref="B22:G23"/>
    <mergeCell ref="B24:E25"/>
    <mergeCell ref="F24:F25"/>
    <mergeCell ref="G24:G25"/>
    <mergeCell ref="B26:B38"/>
    <mergeCell ref="C33:G33"/>
  </mergeCells>
  <pageMargins left="0.25" right="0.25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C33C-EDBA-43EB-8EE8-213BD5724325}">
  <dimension ref="B1:G48"/>
  <sheetViews>
    <sheetView view="pageLayout" zoomScaleNormal="100" workbookViewId="0">
      <selection activeCell="C29" sqref="C2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08" t="s">
        <v>90</v>
      </c>
      <c r="C1" s="309"/>
      <c r="D1" s="309"/>
      <c r="E1" s="312">
        <f>Kompetenzraster!Q31</f>
        <v>45266</v>
      </c>
      <c r="F1" s="313"/>
      <c r="G1" s="316">
        <v>14</v>
      </c>
    </row>
    <row r="2" spans="2:7" x14ac:dyDescent="0.25">
      <c r="B2" s="310"/>
      <c r="C2" s="311"/>
      <c r="D2" s="311"/>
      <c r="E2" s="314"/>
      <c r="F2" s="315"/>
      <c r="G2" s="317"/>
    </row>
    <row r="3" spans="2:7" ht="15.75" customHeight="1" x14ac:dyDescent="0.25">
      <c r="B3" s="318" t="s">
        <v>91</v>
      </c>
      <c r="C3" s="319"/>
      <c r="D3" s="319"/>
      <c r="E3" s="319"/>
      <c r="F3" s="322">
        <v>7.4</v>
      </c>
      <c r="G3" s="324" t="s">
        <v>92</v>
      </c>
    </row>
    <row r="4" spans="2:7" ht="14.25" customHeight="1" x14ac:dyDescent="0.25">
      <c r="B4" s="320"/>
      <c r="C4" s="321"/>
      <c r="D4" s="321"/>
      <c r="E4" s="321"/>
      <c r="F4" s="323"/>
      <c r="G4" s="325"/>
    </row>
    <row r="5" spans="2:7" ht="15.75" customHeight="1" x14ac:dyDescent="0.25">
      <c r="B5" s="326" t="s">
        <v>93</v>
      </c>
      <c r="C5" s="101"/>
      <c r="D5" s="102"/>
      <c r="E5" s="102"/>
      <c r="F5" s="103"/>
      <c r="G5" s="69"/>
    </row>
    <row r="6" spans="2:7" x14ac:dyDescent="0.25">
      <c r="B6" s="327"/>
      <c r="C6" s="70" t="s">
        <v>116</v>
      </c>
      <c r="D6" s="97"/>
      <c r="E6" s="97"/>
      <c r="F6" s="71"/>
      <c r="G6" s="72"/>
    </row>
    <row r="7" spans="2:7" ht="15.75" x14ac:dyDescent="0.3">
      <c r="B7" s="327"/>
      <c r="D7" s="97"/>
      <c r="E7" s="98"/>
      <c r="F7" s="72"/>
      <c r="G7" s="72"/>
    </row>
    <row r="8" spans="2:7" ht="15.75" x14ac:dyDescent="0.3">
      <c r="B8" s="327"/>
      <c r="C8" s="115" t="s">
        <v>207</v>
      </c>
      <c r="F8" s="72"/>
      <c r="G8" s="74"/>
    </row>
    <row r="9" spans="2:7" ht="15.75" x14ac:dyDescent="0.3">
      <c r="B9" s="327"/>
      <c r="C9" s="73" t="s">
        <v>210</v>
      </c>
      <c r="E9" s="97"/>
      <c r="F9" s="72"/>
      <c r="G9" s="72"/>
    </row>
    <row r="10" spans="2:7" ht="15.75" x14ac:dyDescent="0.3">
      <c r="B10" s="327"/>
      <c r="C10" s="73" t="s">
        <v>204</v>
      </c>
      <c r="D10" s="97"/>
      <c r="E10" s="97"/>
      <c r="F10" s="72"/>
      <c r="G10" s="72"/>
    </row>
    <row r="11" spans="2:7" ht="15.75" x14ac:dyDescent="0.3">
      <c r="B11" s="327"/>
      <c r="C11" s="73" t="s">
        <v>203</v>
      </c>
      <c r="F11" s="72"/>
      <c r="G11" s="75"/>
    </row>
    <row r="12" spans="2:7" x14ac:dyDescent="0.25">
      <c r="B12" s="327"/>
      <c r="F12" s="72"/>
      <c r="G12" s="72"/>
    </row>
    <row r="13" spans="2:7" x14ac:dyDescent="0.25">
      <c r="B13" s="327"/>
      <c r="C13" s="115" t="s">
        <v>208</v>
      </c>
      <c r="F13" s="72"/>
      <c r="G13" s="72"/>
    </row>
    <row r="14" spans="2:7" ht="15.75" x14ac:dyDescent="0.3">
      <c r="B14" s="327"/>
      <c r="C14" s="73" t="s">
        <v>209</v>
      </c>
      <c r="D14" s="97"/>
      <c r="E14" s="97"/>
      <c r="F14" s="72"/>
      <c r="G14" s="75"/>
    </row>
    <row r="15" spans="2:7" ht="15.75" x14ac:dyDescent="0.3">
      <c r="B15" s="327"/>
      <c r="C15" s="73" t="s">
        <v>203</v>
      </c>
      <c r="F15" s="72"/>
      <c r="G15" s="72"/>
    </row>
    <row r="16" spans="2:7" ht="15.75" x14ac:dyDescent="0.3">
      <c r="B16" s="327"/>
      <c r="C16" s="73"/>
      <c r="F16" s="79"/>
      <c r="G16" s="79"/>
    </row>
    <row r="17" spans="2:7" ht="15.75" customHeight="1" x14ac:dyDescent="0.25">
      <c r="B17" s="401"/>
      <c r="C17" s="367" t="s">
        <v>102</v>
      </c>
      <c r="D17" s="368"/>
      <c r="E17" s="368"/>
      <c r="F17" s="368"/>
      <c r="G17" s="369"/>
    </row>
    <row r="18" spans="2:7" ht="15" customHeight="1" x14ac:dyDescent="0.3">
      <c r="B18" s="329"/>
      <c r="C18" s="334" t="s">
        <v>103</v>
      </c>
      <c r="D18" s="402"/>
      <c r="E18" s="402"/>
      <c r="F18" s="402"/>
      <c r="G18" s="403"/>
    </row>
    <row r="19" spans="2:7" ht="15" customHeight="1" x14ac:dyDescent="0.3">
      <c r="B19" s="329"/>
      <c r="C19" s="337" t="s">
        <v>192</v>
      </c>
      <c r="D19" s="397"/>
      <c r="E19" s="397"/>
      <c r="F19" s="397"/>
      <c r="G19" s="398"/>
    </row>
    <row r="20" spans="2:7" ht="15.75" customHeight="1" x14ac:dyDescent="0.3">
      <c r="B20" s="329"/>
      <c r="C20" s="337" t="s">
        <v>194</v>
      </c>
      <c r="D20" s="397"/>
      <c r="E20" s="397"/>
      <c r="F20" s="397"/>
      <c r="G20" s="398"/>
    </row>
    <row r="21" spans="2:7" ht="15" customHeight="1" x14ac:dyDescent="0.3">
      <c r="B21" s="330"/>
      <c r="C21" s="340" t="s">
        <v>193</v>
      </c>
      <c r="D21" s="399"/>
      <c r="E21" s="399"/>
      <c r="F21" s="399"/>
      <c r="G21" s="400"/>
    </row>
    <row r="22" spans="2:7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7" ht="15" customHeight="1" x14ac:dyDescent="0.25">
      <c r="B23" s="352"/>
      <c r="C23" s="353"/>
      <c r="D23" s="353"/>
      <c r="E23" s="353"/>
      <c r="F23" s="353"/>
      <c r="G23" s="354"/>
    </row>
    <row r="24" spans="2:7" ht="16.5" customHeight="1" x14ac:dyDescent="0.25">
      <c r="B24" s="355" t="s">
        <v>191</v>
      </c>
      <c r="C24" s="356"/>
      <c r="D24" s="356"/>
      <c r="E24" s="356"/>
      <c r="F24" s="358">
        <v>7.2</v>
      </c>
      <c r="G24" s="360" t="s">
        <v>92</v>
      </c>
    </row>
    <row r="25" spans="2:7" ht="15.75" customHeight="1" x14ac:dyDescent="0.25">
      <c r="B25" s="357"/>
      <c r="C25" s="210"/>
      <c r="D25" s="210"/>
      <c r="E25" s="210"/>
      <c r="F25" s="359"/>
      <c r="G25" s="361"/>
    </row>
    <row r="26" spans="2:7" x14ac:dyDescent="0.25">
      <c r="B26" s="362" t="s">
        <v>107</v>
      </c>
      <c r="C26" s="101"/>
      <c r="D26" s="102"/>
      <c r="E26" s="102"/>
      <c r="F26" s="68"/>
      <c r="G26" s="69"/>
    </row>
    <row r="27" spans="2:7" x14ac:dyDescent="0.25">
      <c r="B27" s="363"/>
      <c r="C27" s="96" t="s">
        <v>100</v>
      </c>
      <c r="D27" s="97"/>
      <c r="E27" s="97"/>
      <c r="F27" s="72"/>
      <c r="G27" s="72"/>
    </row>
    <row r="28" spans="2:7" ht="15.75" x14ac:dyDescent="0.3">
      <c r="B28" s="363"/>
      <c r="C28" s="73" t="s">
        <v>205</v>
      </c>
      <c r="F28" s="74"/>
      <c r="G28" s="72"/>
    </row>
    <row r="29" spans="2:7" ht="15.75" customHeight="1" x14ac:dyDescent="0.3">
      <c r="B29" s="363"/>
      <c r="C29" s="99" t="s">
        <v>211</v>
      </c>
      <c r="F29" s="72"/>
      <c r="G29" s="72"/>
    </row>
    <row r="30" spans="2:7" ht="15.75" customHeight="1" x14ac:dyDescent="0.25">
      <c r="B30" s="363"/>
      <c r="C30" s="84"/>
      <c r="F30" s="72"/>
      <c r="G30" s="75"/>
    </row>
    <row r="31" spans="2:7" ht="15.75" customHeight="1" x14ac:dyDescent="0.25">
      <c r="B31" s="363"/>
      <c r="C31" s="84"/>
      <c r="F31" s="72"/>
      <c r="G31" s="72"/>
    </row>
    <row r="32" spans="2:7" ht="15.75" customHeight="1" x14ac:dyDescent="0.25">
      <c r="B32" s="363"/>
      <c r="C32" s="104"/>
      <c r="D32" s="105"/>
      <c r="E32" s="105"/>
      <c r="F32" s="106"/>
      <c r="G32" s="79"/>
    </row>
    <row r="33" spans="2:7" x14ac:dyDescent="0.25">
      <c r="B33" s="364"/>
      <c r="C33" s="391" t="s">
        <v>102</v>
      </c>
      <c r="D33" s="392"/>
      <c r="E33" s="392"/>
      <c r="F33" s="392"/>
      <c r="G33" s="369"/>
    </row>
    <row r="34" spans="2:7" ht="15.75" x14ac:dyDescent="0.3">
      <c r="B34" s="363"/>
      <c r="C34" s="81" t="s">
        <v>187</v>
      </c>
      <c r="D34" s="82"/>
      <c r="E34" s="82"/>
      <c r="F34" s="83"/>
      <c r="G34" s="83"/>
    </row>
    <row r="35" spans="2:7" ht="15.75" x14ac:dyDescent="0.3">
      <c r="B35" s="365"/>
      <c r="C35" s="73" t="s">
        <v>190</v>
      </c>
      <c r="F35" s="72"/>
      <c r="G35" s="72"/>
    </row>
    <row r="36" spans="2:7" ht="15.75" x14ac:dyDescent="0.3">
      <c r="B36" s="365"/>
      <c r="C36" s="73" t="s">
        <v>188</v>
      </c>
      <c r="F36" s="72"/>
      <c r="G36" s="72"/>
    </row>
    <row r="37" spans="2:7" ht="15.75" x14ac:dyDescent="0.3">
      <c r="B37" s="365"/>
      <c r="C37" s="73" t="s">
        <v>189</v>
      </c>
      <c r="F37" s="72"/>
      <c r="G37" s="72"/>
    </row>
    <row r="38" spans="2:7" ht="15.75" customHeight="1" x14ac:dyDescent="0.3">
      <c r="B38" s="366"/>
      <c r="C38" s="80"/>
      <c r="D38" s="78"/>
      <c r="E38" s="78"/>
      <c r="F38" s="79"/>
      <c r="G38" s="79"/>
    </row>
    <row r="39" spans="2:7" ht="15.75" customHeight="1" x14ac:dyDescent="0.25">
      <c r="B39" s="343" t="s">
        <v>113</v>
      </c>
      <c r="C39" s="344"/>
      <c r="D39" s="344"/>
      <c r="E39" s="346" t="s">
        <v>114</v>
      </c>
      <c r="F39" s="344"/>
      <c r="G39" s="347"/>
    </row>
    <row r="40" spans="2:7" ht="15.75" customHeight="1" x14ac:dyDescent="0.25">
      <c r="B40" s="345"/>
      <c r="C40" s="250"/>
      <c r="D40" s="250"/>
      <c r="E40" s="345"/>
      <c r="F40" s="250"/>
      <c r="G40" s="348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1:D2"/>
    <mergeCell ref="E1:F2"/>
    <mergeCell ref="G1:G2"/>
    <mergeCell ref="B3:E4"/>
    <mergeCell ref="F3:F4"/>
    <mergeCell ref="G3:G4"/>
    <mergeCell ref="B5:B21"/>
    <mergeCell ref="C17:G17"/>
    <mergeCell ref="C18:G18"/>
    <mergeCell ref="C19:G19"/>
    <mergeCell ref="C20:G20"/>
    <mergeCell ref="C21:G21"/>
    <mergeCell ref="B39:D40"/>
    <mergeCell ref="E39:G40"/>
    <mergeCell ref="B22:G23"/>
    <mergeCell ref="B24:E25"/>
    <mergeCell ref="F24:F25"/>
    <mergeCell ref="G24:G25"/>
    <mergeCell ref="B26:B38"/>
    <mergeCell ref="C33:G33"/>
  </mergeCells>
  <pageMargins left="0.25" right="0.25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ACC4-43B6-405C-92B5-323A464BB2CB}">
  <dimension ref="B1:G48"/>
  <sheetViews>
    <sheetView view="pageLayout" zoomScaleNormal="100" workbookViewId="0">
      <selection activeCell="G36" sqref="G36:G38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08" t="s">
        <v>90</v>
      </c>
      <c r="C1" s="309"/>
      <c r="D1" s="309"/>
      <c r="E1" s="312">
        <f>Kompetenzraster!Q33</f>
        <v>45273</v>
      </c>
      <c r="F1" s="313"/>
      <c r="G1" s="316">
        <v>15</v>
      </c>
    </row>
    <row r="2" spans="2:7" x14ac:dyDescent="0.25">
      <c r="B2" s="310"/>
      <c r="C2" s="311"/>
      <c r="D2" s="311"/>
      <c r="E2" s="314"/>
      <c r="F2" s="315"/>
      <c r="G2" s="317"/>
    </row>
    <row r="3" spans="2:7" ht="15.75" customHeight="1" x14ac:dyDescent="0.25">
      <c r="B3" s="318" t="s">
        <v>91</v>
      </c>
      <c r="C3" s="319"/>
      <c r="D3" s="319"/>
      <c r="E3" s="319"/>
      <c r="F3" s="322">
        <v>7.4</v>
      </c>
      <c r="G3" s="324" t="s">
        <v>92</v>
      </c>
    </row>
    <row r="4" spans="2:7" ht="14.25" customHeight="1" x14ac:dyDescent="0.25">
      <c r="B4" s="320"/>
      <c r="C4" s="321"/>
      <c r="D4" s="321"/>
      <c r="E4" s="321"/>
      <c r="F4" s="323"/>
      <c r="G4" s="325"/>
    </row>
    <row r="5" spans="2:7" ht="15.75" customHeight="1" x14ac:dyDescent="0.25">
      <c r="B5" s="326" t="s">
        <v>93</v>
      </c>
      <c r="C5" s="101"/>
      <c r="D5" s="102"/>
      <c r="E5" s="102"/>
      <c r="F5" s="103"/>
      <c r="G5" s="69"/>
    </row>
    <row r="6" spans="2:7" x14ac:dyDescent="0.25">
      <c r="B6" s="327"/>
      <c r="C6" s="70" t="s">
        <v>214</v>
      </c>
      <c r="D6" s="97"/>
      <c r="E6" s="97"/>
      <c r="F6" s="71"/>
      <c r="G6" s="72"/>
    </row>
    <row r="7" spans="2:7" ht="15.75" x14ac:dyDescent="0.3">
      <c r="B7" s="327"/>
      <c r="C7" s="84"/>
      <c r="D7" s="97"/>
      <c r="E7" s="98"/>
      <c r="F7" s="72"/>
      <c r="G7" s="72"/>
    </row>
    <row r="8" spans="2:7" ht="15.75" x14ac:dyDescent="0.3">
      <c r="B8" s="327"/>
      <c r="C8" s="99" t="s">
        <v>213</v>
      </c>
      <c r="D8" s="90"/>
      <c r="F8" s="72"/>
      <c r="G8" s="74"/>
    </row>
    <row r="9" spans="2:7" ht="15.75" x14ac:dyDescent="0.3">
      <c r="B9" s="327"/>
      <c r="C9" s="73"/>
      <c r="F9" s="72"/>
      <c r="G9" s="72"/>
    </row>
    <row r="10" spans="2:7" ht="15.75" x14ac:dyDescent="0.3">
      <c r="B10" s="327"/>
      <c r="C10" s="73"/>
      <c r="D10" s="97"/>
      <c r="E10" s="97"/>
      <c r="F10" s="72"/>
      <c r="G10" s="72"/>
    </row>
    <row r="11" spans="2:7" ht="15.75" x14ac:dyDescent="0.3">
      <c r="B11" s="327"/>
      <c r="C11" s="73"/>
      <c r="F11" s="72"/>
      <c r="G11" s="75"/>
    </row>
    <row r="12" spans="2:7" x14ac:dyDescent="0.25">
      <c r="B12" s="327"/>
      <c r="C12" s="84"/>
      <c r="F12" s="72"/>
      <c r="G12" s="72"/>
    </row>
    <row r="13" spans="2:7" x14ac:dyDescent="0.25">
      <c r="B13" s="327"/>
      <c r="C13" s="115"/>
      <c r="F13" s="72"/>
      <c r="G13" s="72"/>
    </row>
    <row r="14" spans="2:7" ht="15.75" x14ac:dyDescent="0.3">
      <c r="B14" s="327"/>
      <c r="C14" s="80"/>
      <c r="D14" s="119"/>
      <c r="E14" s="119"/>
      <c r="F14" s="79"/>
      <c r="G14" s="75"/>
    </row>
    <row r="15" spans="2:7" x14ac:dyDescent="0.25">
      <c r="B15" s="327"/>
      <c r="C15" s="116" t="s">
        <v>215</v>
      </c>
      <c r="D15" s="117"/>
      <c r="E15" s="117"/>
      <c r="F15" s="118"/>
      <c r="G15" s="72"/>
    </row>
    <row r="16" spans="2:7" ht="15.75" x14ac:dyDescent="0.3">
      <c r="B16" s="327"/>
      <c r="C16" s="80"/>
      <c r="D16" s="78"/>
      <c r="E16" s="78"/>
      <c r="F16" s="79"/>
      <c r="G16" s="79"/>
    </row>
    <row r="17" spans="2:7" ht="15.75" customHeight="1" x14ac:dyDescent="0.25">
      <c r="B17" s="401"/>
      <c r="C17" s="367" t="s">
        <v>102</v>
      </c>
      <c r="D17" s="368"/>
      <c r="E17" s="368"/>
      <c r="F17" s="368"/>
      <c r="G17" s="369"/>
    </row>
    <row r="18" spans="2:7" ht="15" customHeight="1" x14ac:dyDescent="0.3">
      <c r="B18" s="329"/>
      <c r="C18" s="334" t="s">
        <v>103</v>
      </c>
      <c r="D18" s="402"/>
      <c r="E18" s="402"/>
      <c r="F18" s="402"/>
      <c r="G18" s="403"/>
    </row>
    <row r="19" spans="2:7" ht="15" customHeight="1" x14ac:dyDescent="0.3">
      <c r="B19" s="329"/>
      <c r="C19" s="337" t="s">
        <v>192</v>
      </c>
      <c r="D19" s="397"/>
      <c r="E19" s="397"/>
      <c r="F19" s="397"/>
      <c r="G19" s="398"/>
    </row>
    <row r="20" spans="2:7" ht="15.75" customHeight="1" x14ac:dyDescent="0.3">
      <c r="B20" s="329"/>
      <c r="C20" s="337" t="s">
        <v>194</v>
      </c>
      <c r="D20" s="397"/>
      <c r="E20" s="397"/>
      <c r="F20" s="397"/>
      <c r="G20" s="398"/>
    </row>
    <row r="21" spans="2:7" ht="15" customHeight="1" x14ac:dyDescent="0.3">
      <c r="B21" s="330"/>
      <c r="C21" s="340" t="s">
        <v>193</v>
      </c>
      <c r="D21" s="399"/>
      <c r="E21" s="399"/>
      <c r="F21" s="399"/>
      <c r="G21" s="400"/>
    </row>
    <row r="22" spans="2:7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7" ht="15" customHeight="1" x14ac:dyDescent="0.25">
      <c r="B23" s="352"/>
      <c r="C23" s="353"/>
      <c r="D23" s="353"/>
      <c r="E23" s="353"/>
      <c r="F23" s="353"/>
      <c r="G23" s="354"/>
    </row>
    <row r="24" spans="2:7" ht="16.5" customHeight="1" x14ac:dyDescent="0.25">
      <c r="B24" s="355" t="s">
        <v>191</v>
      </c>
      <c r="C24" s="356"/>
      <c r="D24" s="356"/>
      <c r="E24" s="356"/>
      <c r="F24" s="358">
        <v>7.2</v>
      </c>
      <c r="G24" s="360" t="s">
        <v>92</v>
      </c>
    </row>
    <row r="25" spans="2:7" ht="15.75" customHeight="1" x14ac:dyDescent="0.25">
      <c r="B25" s="357"/>
      <c r="C25" s="210"/>
      <c r="D25" s="210"/>
      <c r="E25" s="210"/>
      <c r="F25" s="359"/>
      <c r="G25" s="361"/>
    </row>
    <row r="26" spans="2:7" x14ac:dyDescent="0.25">
      <c r="B26" s="362" t="s">
        <v>107</v>
      </c>
      <c r="C26" s="101"/>
      <c r="D26" s="102"/>
      <c r="E26" s="102"/>
      <c r="F26" s="68"/>
      <c r="G26" s="69"/>
    </row>
    <row r="27" spans="2:7" x14ac:dyDescent="0.25">
      <c r="B27" s="363"/>
      <c r="C27" s="96" t="s">
        <v>100</v>
      </c>
      <c r="D27" s="97"/>
      <c r="E27" s="97"/>
      <c r="F27" s="72"/>
      <c r="G27" s="72"/>
    </row>
    <row r="28" spans="2:7" ht="15.75" x14ac:dyDescent="0.3">
      <c r="B28" s="363"/>
      <c r="C28" s="73" t="s">
        <v>205</v>
      </c>
      <c r="F28" s="74"/>
      <c r="G28" s="72"/>
    </row>
    <row r="29" spans="2:7" ht="15.75" customHeight="1" x14ac:dyDescent="0.3">
      <c r="B29" s="363"/>
      <c r="C29" s="99" t="s">
        <v>212</v>
      </c>
      <c r="F29" s="72"/>
      <c r="G29" s="72"/>
    </row>
    <row r="30" spans="2:7" ht="15.75" customHeight="1" x14ac:dyDescent="0.25">
      <c r="B30" s="363"/>
      <c r="C30" s="84"/>
      <c r="F30" s="72"/>
      <c r="G30" s="75"/>
    </row>
    <row r="31" spans="2:7" ht="15.75" customHeight="1" x14ac:dyDescent="0.25">
      <c r="B31" s="363"/>
      <c r="C31" s="84"/>
      <c r="F31" s="72"/>
      <c r="G31" s="72"/>
    </row>
    <row r="32" spans="2:7" ht="15.75" customHeight="1" x14ac:dyDescent="0.25">
      <c r="B32" s="363"/>
      <c r="C32" s="104"/>
      <c r="D32" s="105"/>
      <c r="E32" s="105"/>
      <c r="F32" s="106"/>
      <c r="G32" s="79"/>
    </row>
    <row r="33" spans="2:7" x14ac:dyDescent="0.25">
      <c r="B33" s="364"/>
      <c r="C33" s="391" t="s">
        <v>102</v>
      </c>
      <c r="D33" s="392"/>
      <c r="E33" s="392"/>
      <c r="F33" s="392"/>
      <c r="G33" s="369"/>
    </row>
    <row r="34" spans="2:7" ht="15.75" x14ac:dyDescent="0.3">
      <c r="B34" s="363"/>
      <c r="C34" s="81" t="s">
        <v>187</v>
      </c>
      <c r="D34" s="82"/>
      <c r="E34" s="82"/>
      <c r="F34" s="83"/>
      <c r="G34" s="83"/>
    </row>
    <row r="35" spans="2:7" ht="15.75" x14ac:dyDescent="0.3">
      <c r="B35" s="365"/>
      <c r="C35" s="73" t="s">
        <v>190</v>
      </c>
      <c r="F35" s="72"/>
      <c r="G35" s="72"/>
    </row>
    <row r="36" spans="2:7" ht="15.75" x14ac:dyDescent="0.3">
      <c r="B36" s="365"/>
      <c r="C36" s="73" t="s">
        <v>188</v>
      </c>
      <c r="F36" s="72"/>
      <c r="G36" s="72"/>
    </row>
    <row r="37" spans="2:7" ht="15.75" x14ac:dyDescent="0.3">
      <c r="B37" s="365"/>
      <c r="C37" s="73" t="s">
        <v>189</v>
      </c>
      <c r="F37" s="72"/>
      <c r="G37" s="72"/>
    </row>
    <row r="38" spans="2:7" ht="15.75" customHeight="1" x14ac:dyDescent="0.3">
      <c r="B38" s="366"/>
      <c r="C38" s="80"/>
      <c r="D38" s="78"/>
      <c r="E38" s="78"/>
      <c r="F38" s="79"/>
      <c r="G38" s="79"/>
    </row>
    <row r="39" spans="2:7" ht="15.75" customHeight="1" x14ac:dyDescent="0.25">
      <c r="B39" s="343" t="s">
        <v>113</v>
      </c>
      <c r="C39" s="344"/>
      <c r="D39" s="344"/>
      <c r="E39" s="346" t="s">
        <v>114</v>
      </c>
      <c r="F39" s="344"/>
      <c r="G39" s="347"/>
    </row>
    <row r="40" spans="2:7" ht="15.75" customHeight="1" x14ac:dyDescent="0.25">
      <c r="B40" s="345"/>
      <c r="C40" s="250"/>
      <c r="D40" s="250"/>
      <c r="E40" s="345"/>
      <c r="F40" s="250"/>
      <c r="G40" s="348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39:D40"/>
    <mergeCell ref="E39:G40"/>
    <mergeCell ref="B22:G23"/>
    <mergeCell ref="B24:E25"/>
    <mergeCell ref="F24:F25"/>
    <mergeCell ref="G24:G25"/>
    <mergeCell ref="B26:B38"/>
    <mergeCell ref="C33:G33"/>
    <mergeCell ref="B5:B21"/>
    <mergeCell ref="C17:G17"/>
    <mergeCell ref="C18:G18"/>
    <mergeCell ref="C19:G19"/>
    <mergeCell ref="C20:G20"/>
    <mergeCell ref="C21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ABB69-92B5-4D44-B363-E6FF3F038286}">
  <dimension ref="B1:G48"/>
  <sheetViews>
    <sheetView view="pageLayout" zoomScaleNormal="100" workbookViewId="0">
      <selection activeCell="F11" sqref="F11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08" t="s">
        <v>90</v>
      </c>
      <c r="C1" s="309"/>
      <c r="D1" s="309"/>
      <c r="E1" s="312">
        <f>Kompetenzraster!Q35</f>
        <v>45280</v>
      </c>
      <c r="F1" s="313"/>
      <c r="G1" s="316">
        <v>16</v>
      </c>
    </row>
    <row r="2" spans="2:7" x14ac:dyDescent="0.25">
      <c r="B2" s="310"/>
      <c r="C2" s="311"/>
      <c r="D2" s="311"/>
      <c r="E2" s="314"/>
      <c r="F2" s="315"/>
      <c r="G2" s="317"/>
    </row>
    <row r="3" spans="2:7" ht="15.75" customHeight="1" x14ac:dyDescent="0.25">
      <c r="B3" s="409" t="s">
        <v>232</v>
      </c>
      <c r="C3" s="410"/>
      <c r="D3" s="410"/>
      <c r="E3" s="410"/>
      <c r="F3" s="413">
        <v>7.9</v>
      </c>
      <c r="G3" s="415" t="s">
        <v>92</v>
      </c>
    </row>
    <row r="4" spans="2:7" ht="14.25" customHeight="1" x14ac:dyDescent="0.25">
      <c r="B4" s="411"/>
      <c r="C4" s="412"/>
      <c r="D4" s="412"/>
      <c r="E4" s="412"/>
      <c r="F4" s="414"/>
      <c r="G4" s="416"/>
    </row>
    <row r="5" spans="2:7" ht="15.75" customHeight="1" x14ac:dyDescent="0.25">
      <c r="B5" s="404" t="s">
        <v>93</v>
      </c>
      <c r="C5" s="101"/>
      <c r="D5" s="102"/>
      <c r="E5" s="102"/>
      <c r="F5" s="103"/>
      <c r="G5" s="69"/>
    </row>
    <row r="6" spans="2:7" x14ac:dyDescent="0.25">
      <c r="B6" s="405"/>
      <c r="C6" s="70" t="s">
        <v>221</v>
      </c>
      <c r="D6" s="97"/>
      <c r="E6" s="97"/>
      <c r="F6" s="71"/>
      <c r="G6" s="72"/>
    </row>
    <row r="7" spans="2:7" ht="15.75" x14ac:dyDescent="0.3">
      <c r="B7" s="405"/>
      <c r="C7" s="99" t="s">
        <v>222</v>
      </c>
      <c r="D7" s="97"/>
      <c r="E7" s="98"/>
      <c r="F7" s="72"/>
      <c r="G7" s="72"/>
    </row>
    <row r="8" spans="2:7" ht="15.75" x14ac:dyDescent="0.3">
      <c r="B8" s="405"/>
      <c r="C8" s="99" t="s">
        <v>223</v>
      </c>
      <c r="D8" s="90"/>
      <c r="F8" s="72"/>
      <c r="G8" s="74"/>
    </row>
    <row r="9" spans="2:7" x14ac:dyDescent="0.25">
      <c r="B9" s="405"/>
      <c r="C9" s="84"/>
      <c r="F9" s="72"/>
      <c r="G9" s="72"/>
    </row>
    <row r="10" spans="2:7" x14ac:dyDescent="0.25">
      <c r="B10" s="405"/>
      <c r="C10" s="70" t="s">
        <v>227</v>
      </c>
      <c r="D10" s="97"/>
      <c r="E10" s="97"/>
      <c r="F10" s="72"/>
      <c r="G10" s="72"/>
    </row>
    <row r="11" spans="2:7" ht="15.75" x14ac:dyDescent="0.3">
      <c r="B11" s="405"/>
      <c r="C11" s="99" t="s">
        <v>228</v>
      </c>
      <c r="D11" s="97"/>
      <c r="E11" s="98"/>
      <c r="F11" s="72"/>
      <c r="G11" s="75"/>
    </row>
    <row r="12" spans="2:7" ht="15.75" x14ac:dyDescent="0.3">
      <c r="B12" s="405"/>
      <c r="C12" s="99" t="s">
        <v>229</v>
      </c>
      <c r="D12" s="90"/>
      <c r="F12" s="72"/>
      <c r="G12" s="72"/>
    </row>
    <row r="13" spans="2:7" x14ac:dyDescent="0.25">
      <c r="B13" s="405"/>
      <c r="C13" s="115"/>
      <c r="F13" s="72"/>
      <c r="G13" s="72"/>
    </row>
    <row r="14" spans="2:7" x14ac:dyDescent="0.25">
      <c r="B14" s="405"/>
      <c r="C14" s="70" t="s">
        <v>230</v>
      </c>
      <c r="D14" s="97"/>
      <c r="E14" s="122" t="s">
        <v>231</v>
      </c>
      <c r="F14" s="72"/>
      <c r="G14" s="75"/>
    </row>
    <row r="15" spans="2:7" ht="15.75" x14ac:dyDescent="0.3">
      <c r="B15" s="405"/>
      <c r="C15" s="99"/>
      <c r="D15" s="97"/>
      <c r="E15" s="120"/>
      <c r="F15" s="121"/>
      <c r="G15" s="72"/>
    </row>
    <row r="16" spans="2:7" ht="15.75" x14ac:dyDescent="0.3">
      <c r="B16" s="405"/>
      <c r="C16" s="99"/>
      <c r="D16" s="90"/>
      <c r="E16" s="78"/>
      <c r="F16" s="79"/>
      <c r="G16" s="79"/>
    </row>
    <row r="17" spans="2:7" ht="15.75" customHeight="1" x14ac:dyDescent="0.25">
      <c r="B17" s="406"/>
      <c r="C17" s="367" t="s">
        <v>102</v>
      </c>
      <c r="D17" s="368"/>
      <c r="E17" s="368"/>
      <c r="F17" s="368"/>
      <c r="G17" s="369"/>
    </row>
    <row r="18" spans="2:7" ht="15" customHeight="1" x14ac:dyDescent="0.3">
      <c r="B18" s="407"/>
      <c r="C18" s="334" t="s">
        <v>225</v>
      </c>
      <c r="D18" s="402"/>
      <c r="E18" s="402"/>
      <c r="F18" s="402"/>
      <c r="G18" s="403"/>
    </row>
    <row r="19" spans="2:7" ht="15" customHeight="1" x14ac:dyDescent="0.3">
      <c r="B19" s="407"/>
      <c r="C19" s="337" t="s">
        <v>226</v>
      </c>
      <c r="D19" s="397"/>
      <c r="E19" s="397"/>
      <c r="F19" s="397"/>
      <c r="G19" s="398"/>
    </row>
    <row r="20" spans="2:7" ht="15.75" customHeight="1" x14ac:dyDescent="0.3">
      <c r="B20" s="407"/>
      <c r="C20" s="337"/>
      <c r="D20" s="397"/>
      <c r="E20" s="397"/>
      <c r="F20" s="397"/>
      <c r="G20" s="398"/>
    </row>
    <row r="21" spans="2:7" ht="15" customHeight="1" x14ac:dyDescent="0.3">
      <c r="B21" s="408"/>
      <c r="C21" s="340"/>
      <c r="D21" s="399"/>
      <c r="E21" s="399"/>
      <c r="F21" s="399"/>
      <c r="G21" s="400"/>
    </row>
    <row r="22" spans="2:7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7" ht="15" customHeight="1" x14ac:dyDescent="0.25">
      <c r="B23" s="352"/>
      <c r="C23" s="353"/>
      <c r="D23" s="353"/>
      <c r="E23" s="353"/>
      <c r="F23" s="353"/>
      <c r="G23" s="354"/>
    </row>
    <row r="24" spans="2:7" ht="16.5" customHeight="1" x14ac:dyDescent="0.25">
      <c r="B24" s="355" t="s">
        <v>191</v>
      </c>
      <c r="C24" s="356"/>
      <c r="D24" s="356"/>
      <c r="E24" s="356"/>
      <c r="F24" s="358">
        <v>7.2</v>
      </c>
      <c r="G24" s="360" t="s">
        <v>92</v>
      </c>
    </row>
    <row r="25" spans="2:7" ht="15.75" customHeight="1" x14ac:dyDescent="0.25">
      <c r="B25" s="357"/>
      <c r="C25" s="210"/>
      <c r="D25" s="210"/>
      <c r="E25" s="210"/>
      <c r="F25" s="359"/>
      <c r="G25" s="361"/>
    </row>
    <row r="26" spans="2:7" x14ac:dyDescent="0.25">
      <c r="B26" s="362" t="s">
        <v>107</v>
      </c>
      <c r="C26" s="101"/>
      <c r="D26" s="102"/>
      <c r="E26" s="102"/>
      <c r="F26" s="68"/>
      <c r="G26" s="69"/>
    </row>
    <row r="27" spans="2:7" x14ac:dyDescent="0.25">
      <c r="B27" s="363"/>
      <c r="C27" s="96" t="s">
        <v>100</v>
      </c>
      <c r="D27" s="97"/>
      <c r="E27" s="97"/>
      <c r="F27" s="72"/>
      <c r="G27" s="72"/>
    </row>
    <row r="28" spans="2:7" ht="15.75" x14ac:dyDescent="0.3">
      <c r="B28" s="363"/>
      <c r="C28" s="73" t="s">
        <v>224</v>
      </c>
      <c r="F28" s="74"/>
      <c r="G28" s="72"/>
    </row>
    <row r="29" spans="2:7" ht="15.75" customHeight="1" x14ac:dyDescent="0.3">
      <c r="B29" s="363"/>
      <c r="C29" s="99"/>
      <c r="F29" s="72"/>
      <c r="G29" s="72"/>
    </row>
    <row r="30" spans="2:7" ht="15.75" customHeight="1" x14ac:dyDescent="0.25">
      <c r="B30" s="363"/>
      <c r="C30" s="84"/>
      <c r="F30" s="72"/>
      <c r="G30" s="86" t="s">
        <v>124</v>
      </c>
    </row>
    <row r="31" spans="2:7" ht="15.75" customHeight="1" x14ac:dyDescent="0.25">
      <c r="B31" s="363"/>
      <c r="C31" s="84"/>
      <c r="F31" s="72"/>
      <c r="G31" s="92"/>
    </row>
    <row r="32" spans="2:7" ht="15.75" customHeight="1" x14ac:dyDescent="0.25">
      <c r="B32" s="363"/>
      <c r="C32" s="104"/>
      <c r="D32" s="105"/>
      <c r="E32" s="105"/>
      <c r="F32" s="106"/>
      <c r="G32" s="65"/>
    </row>
    <row r="33" spans="2:7" x14ac:dyDescent="0.25">
      <c r="B33" s="364"/>
      <c r="C33" s="391" t="s">
        <v>102</v>
      </c>
      <c r="D33" s="392"/>
      <c r="E33" s="392"/>
      <c r="F33" s="392"/>
      <c r="G33" s="369"/>
    </row>
    <row r="34" spans="2:7" ht="15.75" x14ac:dyDescent="0.3">
      <c r="B34" s="363"/>
      <c r="C34" s="81" t="s">
        <v>187</v>
      </c>
      <c r="D34" s="82"/>
      <c r="E34" s="82"/>
      <c r="F34" s="83"/>
      <c r="G34" s="83"/>
    </row>
    <row r="35" spans="2:7" ht="15.75" x14ac:dyDescent="0.3">
      <c r="B35" s="365"/>
      <c r="C35" s="73" t="s">
        <v>190</v>
      </c>
      <c r="F35" s="72"/>
      <c r="G35" s="72"/>
    </row>
    <row r="36" spans="2:7" ht="15.75" x14ac:dyDescent="0.3">
      <c r="B36" s="365"/>
      <c r="C36" s="73" t="s">
        <v>188</v>
      </c>
      <c r="F36" s="72"/>
      <c r="G36" s="72"/>
    </row>
    <row r="37" spans="2:7" ht="15.75" x14ac:dyDescent="0.3">
      <c r="B37" s="365"/>
      <c r="C37" s="73" t="s">
        <v>189</v>
      </c>
      <c r="F37" s="72"/>
      <c r="G37" s="72"/>
    </row>
    <row r="38" spans="2:7" ht="15.75" customHeight="1" x14ac:dyDescent="0.3">
      <c r="B38" s="366"/>
      <c r="C38" s="80"/>
      <c r="D38" s="78"/>
      <c r="E38" s="78"/>
      <c r="F38" s="79"/>
      <c r="G38" s="79"/>
    </row>
    <row r="39" spans="2:7" ht="15.75" customHeight="1" x14ac:dyDescent="0.25">
      <c r="B39" s="343" t="s">
        <v>113</v>
      </c>
      <c r="C39" s="344"/>
      <c r="D39" s="344"/>
      <c r="E39" s="346" t="s">
        <v>114</v>
      </c>
      <c r="F39" s="344"/>
      <c r="G39" s="347"/>
    </row>
    <row r="40" spans="2:7" ht="15.75" customHeight="1" x14ac:dyDescent="0.25">
      <c r="B40" s="345"/>
      <c r="C40" s="250"/>
      <c r="D40" s="250"/>
      <c r="E40" s="345"/>
      <c r="F40" s="250"/>
      <c r="G40" s="348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1:D2"/>
    <mergeCell ref="E1:F2"/>
    <mergeCell ref="G1:G2"/>
    <mergeCell ref="B3:E4"/>
    <mergeCell ref="F3:F4"/>
    <mergeCell ref="G3:G4"/>
    <mergeCell ref="B5:B21"/>
    <mergeCell ref="C17:G17"/>
    <mergeCell ref="C18:G18"/>
    <mergeCell ref="C19:G19"/>
    <mergeCell ref="C20:G20"/>
    <mergeCell ref="C21:G21"/>
    <mergeCell ref="B39:D40"/>
    <mergeCell ref="E39:G40"/>
    <mergeCell ref="B22:G23"/>
    <mergeCell ref="B24:E25"/>
    <mergeCell ref="F24:F25"/>
    <mergeCell ref="G24:G25"/>
    <mergeCell ref="B26:B38"/>
    <mergeCell ref="C33:G33"/>
  </mergeCells>
  <hyperlinks>
    <hyperlink ref="E14" r:id="rId1" xr:uid="{E6CA06BD-D1A8-4F11-B6E1-27EFCF771B88}"/>
  </hyperlinks>
  <pageMargins left="0.25" right="0.25" top="0.75" bottom="0.75" header="0.3" footer="0.3"/>
  <pageSetup paperSize="9" orientation="portrait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9216-74D6-49E7-A648-2C3760D8BC39}">
  <dimension ref="B1:G48"/>
  <sheetViews>
    <sheetView view="pageLayout" zoomScaleNormal="100" workbookViewId="0">
      <selection activeCell="E14" sqref="E1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08" t="s">
        <v>90</v>
      </c>
      <c r="C1" s="309"/>
      <c r="D1" s="309"/>
      <c r="E1" s="312">
        <f>Kompetenzraster!Q37</f>
        <v>45301</v>
      </c>
      <c r="F1" s="313"/>
      <c r="G1" s="316">
        <v>17</v>
      </c>
    </row>
    <row r="2" spans="2:7" x14ac:dyDescent="0.25">
      <c r="B2" s="310"/>
      <c r="C2" s="311"/>
      <c r="D2" s="311"/>
      <c r="E2" s="314"/>
      <c r="F2" s="315"/>
      <c r="G2" s="317"/>
    </row>
    <row r="3" spans="2:7" ht="15.75" customHeight="1" x14ac:dyDescent="0.25">
      <c r="B3" s="422" t="s">
        <v>234</v>
      </c>
      <c r="C3" s="423"/>
      <c r="D3" s="423"/>
      <c r="E3" s="423"/>
      <c r="F3" s="426">
        <v>7.11</v>
      </c>
      <c r="G3" s="428" t="s">
        <v>92</v>
      </c>
    </row>
    <row r="4" spans="2:7" ht="14.25" customHeight="1" x14ac:dyDescent="0.25">
      <c r="B4" s="424"/>
      <c r="C4" s="425"/>
      <c r="D4" s="425"/>
      <c r="E4" s="425"/>
      <c r="F4" s="427"/>
      <c r="G4" s="429"/>
    </row>
    <row r="5" spans="2:7" ht="15.75" customHeight="1" x14ac:dyDescent="0.25">
      <c r="B5" s="417" t="s">
        <v>93</v>
      </c>
      <c r="C5" s="66"/>
      <c r="D5" s="67"/>
      <c r="E5" s="67"/>
      <c r="F5" s="68"/>
      <c r="G5" s="69"/>
    </row>
    <row r="6" spans="2:7" x14ac:dyDescent="0.25">
      <c r="B6" s="418"/>
      <c r="C6" s="70" t="s">
        <v>138</v>
      </c>
      <c r="F6" s="72"/>
      <c r="G6" s="72"/>
    </row>
    <row r="7" spans="2:7" ht="15.75" x14ac:dyDescent="0.3">
      <c r="B7" s="418"/>
      <c r="C7" s="73" t="s">
        <v>235</v>
      </c>
      <c r="F7" s="72"/>
      <c r="G7" s="72"/>
    </row>
    <row r="8" spans="2:7" ht="15.75" x14ac:dyDescent="0.3">
      <c r="B8" s="418"/>
      <c r="C8" s="84"/>
      <c r="F8" s="72"/>
      <c r="G8" s="74"/>
    </row>
    <row r="9" spans="2:7" x14ac:dyDescent="0.25">
      <c r="B9" s="418"/>
      <c r="C9" s="70" t="s">
        <v>236</v>
      </c>
      <c r="F9" s="72"/>
      <c r="G9" s="72"/>
    </row>
    <row r="10" spans="2:7" ht="15.75" x14ac:dyDescent="0.3">
      <c r="B10" s="418"/>
      <c r="C10" s="73"/>
      <c r="F10" s="72"/>
      <c r="G10" s="72"/>
    </row>
    <row r="11" spans="2:7" x14ac:dyDescent="0.25">
      <c r="B11" s="418"/>
      <c r="C11" s="70" t="s">
        <v>237</v>
      </c>
      <c r="F11" s="72"/>
      <c r="G11" s="75"/>
    </row>
    <row r="12" spans="2:7" ht="15.75" x14ac:dyDescent="0.3">
      <c r="B12" s="418"/>
      <c r="C12" s="73" t="s">
        <v>238</v>
      </c>
      <c r="F12" s="72"/>
      <c r="G12" s="72"/>
    </row>
    <row r="13" spans="2:7" x14ac:dyDescent="0.25">
      <c r="B13" s="418"/>
      <c r="C13" s="84"/>
      <c r="F13" s="72"/>
      <c r="G13" s="72"/>
    </row>
    <row r="14" spans="2:7" ht="15.75" x14ac:dyDescent="0.3">
      <c r="B14" s="418"/>
      <c r="C14" s="73"/>
      <c r="D14" s="123"/>
      <c r="E14" s="123"/>
      <c r="F14" s="72"/>
      <c r="G14" s="75"/>
    </row>
    <row r="15" spans="2:7" ht="15.75" x14ac:dyDescent="0.3">
      <c r="B15" s="418"/>
      <c r="C15" s="87" t="s">
        <v>241</v>
      </c>
      <c r="D15" s="97"/>
      <c r="E15" s="120"/>
      <c r="F15" s="121"/>
      <c r="G15" s="72"/>
    </row>
    <row r="16" spans="2:7" ht="15.75" x14ac:dyDescent="0.3">
      <c r="B16" s="418"/>
      <c r="C16" s="124"/>
      <c r="D16" s="125"/>
      <c r="E16" s="78"/>
      <c r="F16" s="79"/>
      <c r="G16" s="79"/>
    </row>
    <row r="17" spans="2:7" ht="15.75" customHeight="1" x14ac:dyDescent="0.25">
      <c r="B17" s="419"/>
      <c r="C17" s="391" t="s">
        <v>102</v>
      </c>
      <c r="D17" s="392"/>
      <c r="E17" s="392"/>
      <c r="F17" s="392"/>
      <c r="G17" s="369"/>
    </row>
    <row r="18" spans="2:7" ht="15" customHeight="1" x14ac:dyDescent="0.3">
      <c r="B18" s="420"/>
      <c r="C18" s="334" t="s">
        <v>225</v>
      </c>
      <c r="D18" s="402"/>
      <c r="E18" s="402"/>
      <c r="F18" s="402"/>
      <c r="G18" s="403"/>
    </row>
    <row r="19" spans="2:7" ht="15" customHeight="1" x14ac:dyDescent="0.3">
      <c r="B19" s="420"/>
      <c r="C19" s="337" t="s">
        <v>226</v>
      </c>
      <c r="D19" s="397"/>
      <c r="E19" s="397"/>
      <c r="F19" s="397"/>
      <c r="G19" s="398"/>
    </row>
    <row r="20" spans="2:7" ht="15.75" customHeight="1" x14ac:dyDescent="0.3">
      <c r="B20" s="420"/>
      <c r="C20" s="337"/>
      <c r="D20" s="397"/>
      <c r="E20" s="397"/>
      <c r="F20" s="397"/>
      <c r="G20" s="398"/>
    </row>
    <row r="21" spans="2:7" ht="15" customHeight="1" x14ac:dyDescent="0.3">
      <c r="B21" s="421"/>
      <c r="C21" s="340"/>
      <c r="D21" s="399"/>
      <c r="E21" s="399"/>
      <c r="F21" s="399"/>
      <c r="G21" s="400"/>
    </row>
    <row r="22" spans="2:7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7" ht="15" customHeight="1" x14ac:dyDescent="0.25">
      <c r="B23" s="352"/>
      <c r="C23" s="353"/>
      <c r="D23" s="353"/>
      <c r="E23" s="353"/>
      <c r="F23" s="353"/>
      <c r="G23" s="354"/>
    </row>
    <row r="24" spans="2:7" ht="16.5" customHeight="1" x14ac:dyDescent="0.25">
      <c r="B24" s="355" t="s">
        <v>191</v>
      </c>
      <c r="C24" s="356"/>
      <c r="D24" s="356"/>
      <c r="E24" s="356"/>
      <c r="F24" s="358">
        <v>7.2</v>
      </c>
      <c r="G24" s="360" t="s">
        <v>92</v>
      </c>
    </row>
    <row r="25" spans="2:7" ht="15.75" customHeight="1" x14ac:dyDescent="0.25">
      <c r="B25" s="357"/>
      <c r="C25" s="210"/>
      <c r="D25" s="210"/>
      <c r="E25" s="210"/>
      <c r="F25" s="359"/>
      <c r="G25" s="361"/>
    </row>
    <row r="26" spans="2:7" x14ac:dyDescent="0.25">
      <c r="B26" s="362" t="s">
        <v>107</v>
      </c>
      <c r="C26" s="93" t="s">
        <v>144</v>
      </c>
      <c r="D26" s="94"/>
      <c r="E26" s="94"/>
      <c r="F26" s="95" t="s">
        <v>233</v>
      </c>
      <c r="G26" s="69"/>
    </row>
    <row r="27" spans="2:7" x14ac:dyDescent="0.25">
      <c r="B27" s="363"/>
      <c r="C27" s="96"/>
      <c r="D27" s="97"/>
      <c r="E27" s="97"/>
      <c r="F27" s="72"/>
      <c r="G27" s="72"/>
    </row>
    <row r="28" spans="2:7" ht="15.75" x14ac:dyDescent="0.3">
      <c r="B28" s="363"/>
      <c r="C28" s="73"/>
      <c r="F28" s="74"/>
      <c r="G28" s="72"/>
    </row>
    <row r="29" spans="2:7" ht="15.75" customHeight="1" x14ac:dyDescent="0.3">
      <c r="B29" s="363"/>
      <c r="C29" s="99"/>
      <c r="F29" s="72"/>
      <c r="G29" s="72"/>
    </row>
    <row r="30" spans="2:7" ht="15.75" customHeight="1" x14ac:dyDescent="0.25">
      <c r="B30" s="363"/>
      <c r="C30" s="84"/>
      <c r="F30" s="72"/>
      <c r="G30" s="86"/>
    </row>
    <row r="31" spans="2:7" ht="15.75" customHeight="1" x14ac:dyDescent="0.25">
      <c r="B31" s="363"/>
      <c r="C31" s="84"/>
      <c r="F31" s="72"/>
      <c r="G31" s="92"/>
    </row>
    <row r="32" spans="2:7" ht="15.75" customHeight="1" x14ac:dyDescent="0.25">
      <c r="B32" s="363"/>
      <c r="C32" s="104"/>
      <c r="D32" s="105"/>
      <c r="E32" s="105"/>
      <c r="F32" s="106"/>
      <c r="G32" s="65"/>
    </row>
    <row r="33" spans="2:7" x14ac:dyDescent="0.25">
      <c r="B33" s="364"/>
      <c r="C33" s="391" t="s">
        <v>102</v>
      </c>
      <c r="D33" s="392"/>
      <c r="E33" s="392"/>
      <c r="F33" s="392"/>
      <c r="G33" s="369"/>
    </row>
    <row r="34" spans="2:7" ht="15.75" x14ac:dyDescent="0.3">
      <c r="B34" s="363"/>
      <c r="C34" s="81" t="s">
        <v>187</v>
      </c>
      <c r="D34" s="82"/>
      <c r="E34" s="82"/>
      <c r="F34" s="83"/>
      <c r="G34" s="83"/>
    </row>
    <row r="35" spans="2:7" ht="15.75" x14ac:dyDescent="0.3">
      <c r="B35" s="365"/>
      <c r="C35" s="73" t="s">
        <v>190</v>
      </c>
      <c r="F35" s="72"/>
      <c r="G35" s="72"/>
    </row>
    <row r="36" spans="2:7" ht="15.75" x14ac:dyDescent="0.3">
      <c r="B36" s="365"/>
      <c r="C36" s="73" t="s">
        <v>188</v>
      </c>
      <c r="F36" s="72"/>
      <c r="G36" s="72"/>
    </row>
    <row r="37" spans="2:7" ht="15.75" x14ac:dyDescent="0.3">
      <c r="B37" s="365"/>
      <c r="C37" s="73" t="s">
        <v>189</v>
      </c>
      <c r="F37" s="72"/>
      <c r="G37" s="72"/>
    </row>
    <row r="38" spans="2:7" ht="15.75" customHeight="1" x14ac:dyDescent="0.3">
      <c r="B38" s="366"/>
      <c r="C38" s="80"/>
      <c r="D38" s="78"/>
      <c r="E38" s="78"/>
      <c r="F38" s="79"/>
      <c r="G38" s="79"/>
    </row>
    <row r="39" spans="2:7" ht="15.75" customHeight="1" x14ac:dyDescent="0.25">
      <c r="B39" s="343" t="s">
        <v>113</v>
      </c>
      <c r="C39" s="344"/>
      <c r="D39" s="344"/>
      <c r="E39" s="346" t="s">
        <v>114</v>
      </c>
      <c r="F39" s="344"/>
      <c r="G39" s="347"/>
    </row>
    <row r="40" spans="2:7" ht="15.75" customHeight="1" x14ac:dyDescent="0.25">
      <c r="B40" s="345"/>
      <c r="C40" s="250"/>
      <c r="D40" s="250"/>
      <c r="E40" s="345"/>
      <c r="F40" s="250"/>
      <c r="G40" s="348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1:D2"/>
    <mergeCell ref="E1:F2"/>
    <mergeCell ref="G1:G2"/>
    <mergeCell ref="B3:E4"/>
    <mergeCell ref="F3:F4"/>
    <mergeCell ref="G3:G4"/>
    <mergeCell ref="B5:B21"/>
    <mergeCell ref="C17:G17"/>
    <mergeCell ref="C18:G18"/>
    <mergeCell ref="C19:G19"/>
    <mergeCell ref="C20:G20"/>
    <mergeCell ref="C21:G21"/>
    <mergeCell ref="B39:D40"/>
    <mergeCell ref="E39:G40"/>
    <mergeCell ref="B22:G23"/>
    <mergeCell ref="B24:E25"/>
    <mergeCell ref="F24:F25"/>
    <mergeCell ref="G24:G25"/>
    <mergeCell ref="B26:B38"/>
    <mergeCell ref="C33:G33"/>
  </mergeCells>
  <pageMargins left="0.25" right="0.25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5B5D-753B-4793-9357-D9C6452391A6}">
  <dimension ref="B1:G48"/>
  <sheetViews>
    <sheetView view="pageLayout" zoomScaleNormal="100" workbookViewId="0">
      <selection activeCell="E35" sqref="E35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08" t="s">
        <v>90</v>
      </c>
      <c r="C1" s="309"/>
      <c r="D1" s="309"/>
      <c r="E1" s="312">
        <f>Kompetenzraster!Q39</f>
        <v>45308</v>
      </c>
      <c r="F1" s="313"/>
      <c r="G1" s="316">
        <v>18</v>
      </c>
    </row>
    <row r="2" spans="2:7" x14ac:dyDescent="0.25">
      <c r="B2" s="310"/>
      <c r="C2" s="311"/>
      <c r="D2" s="311"/>
      <c r="E2" s="314"/>
      <c r="F2" s="315"/>
      <c r="G2" s="317"/>
    </row>
    <row r="3" spans="2:7" ht="15.75" customHeight="1" x14ac:dyDescent="0.25">
      <c r="B3" s="355" t="s">
        <v>242</v>
      </c>
      <c r="C3" s="356"/>
      <c r="D3" s="356"/>
      <c r="E3" s="356"/>
      <c r="F3" s="358">
        <v>6.9</v>
      </c>
      <c r="G3" s="430" t="s">
        <v>92</v>
      </c>
    </row>
    <row r="4" spans="2:7" ht="14.25" customHeight="1" x14ac:dyDescent="0.25">
      <c r="B4" s="357"/>
      <c r="C4" s="210"/>
      <c r="D4" s="210"/>
      <c r="E4" s="210"/>
      <c r="F4" s="359"/>
      <c r="G4" s="431"/>
    </row>
    <row r="5" spans="2:7" ht="15.75" customHeight="1" x14ac:dyDescent="0.25">
      <c r="B5" s="362" t="s">
        <v>254</v>
      </c>
      <c r="C5" s="66"/>
      <c r="D5" s="67"/>
      <c r="E5" s="67"/>
      <c r="F5" s="68"/>
      <c r="G5" s="69"/>
    </row>
    <row r="6" spans="2:7" x14ac:dyDescent="0.25">
      <c r="B6" s="363"/>
      <c r="C6" s="70" t="s">
        <v>243</v>
      </c>
      <c r="F6" s="71"/>
      <c r="G6" s="72"/>
    </row>
    <row r="7" spans="2:7" ht="15.75" x14ac:dyDescent="0.3">
      <c r="B7" s="363"/>
      <c r="C7" s="73"/>
      <c r="F7" s="72"/>
      <c r="G7" s="72"/>
    </row>
    <row r="8" spans="2:7" ht="15.75" x14ac:dyDescent="0.3">
      <c r="B8" s="363"/>
      <c r="C8" s="73" t="s">
        <v>244</v>
      </c>
      <c r="F8" s="72"/>
      <c r="G8" s="74"/>
    </row>
    <row r="9" spans="2:7" ht="15.75" x14ac:dyDescent="0.3">
      <c r="B9" s="363"/>
      <c r="C9" s="73"/>
      <c r="F9" s="72"/>
      <c r="G9" s="72"/>
    </row>
    <row r="10" spans="2:7" x14ac:dyDescent="0.25">
      <c r="B10" s="363"/>
      <c r="C10" s="432" t="s">
        <v>245</v>
      </c>
      <c r="D10" s="433"/>
      <c r="E10" s="433"/>
      <c r="F10" s="434"/>
      <c r="G10" s="72"/>
    </row>
    <row r="11" spans="2:7" x14ac:dyDescent="0.25">
      <c r="B11" s="363"/>
      <c r="C11" s="85"/>
      <c r="D11" s="78"/>
      <c r="E11" s="78"/>
      <c r="F11" s="79"/>
      <c r="G11" s="72"/>
    </row>
    <row r="12" spans="2:7" x14ac:dyDescent="0.25">
      <c r="B12" s="363"/>
      <c r="C12" s="331" t="s">
        <v>102</v>
      </c>
      <c r="D12" s="332"/>
      <c r="E12" s="332"/>
      <c r="F12" s="332"/>
      <c r="G12" s="333"/>
    </row>
    <row r="13" spans="2:7" ht="14.45" customHeight="1" x14ac:dyDescent="0.3">
      <c r="B13" s="363"/>
      <c r="C13" s="81" t="s">
        <v>246</v>
      </c>
      <c r="D13" s="82"/>
      <c r="E13" s="126"/>
      <c r="F13" s="102"/>
      <c r="G13" s="103"/>
    </row>
    <row r="14" spans="2:7" ht="14.45" customHeight="1" x14ac:dyDescent="0.3">
      <c r="B14" s="363"/>
      <c r="C14" s="73" t="s">
        <v>247</v>
      </c>
      <c r="D14" s="123"/>
      <c r="E14" s="123"/>
      <c r="G14" s="72"/>
    </row>
    <row r="15" spans="2:7" ht="15.75" x14ac:dyDescent="0.3">
      <c r="B15" s="363"/>
      <c r="C15" s="73" t="s">
        <v>248</v>
      </c>
      <c r="D15" s="123"/>
      <c r="E15" s="123"/>
      <c r="G15" s="72"/>
    </row>
    <row r="16" spans="2:7" ht="15.75" x14ac:dyDescent="0.3">
      <c r="B16" s="363"/>
      <c r="C16" s="73" t="s">
        <v>249</v>
      </c>
      <c r="D16" s="123"/>
      <c r="E16" s="123"/>
      <c r="G16" s="72"/>
    </row>
    <row r="17" spans="2:7" ht="15.75" x14ac:dyDescent="0.3">
      <c r="B17" s="363"/>
      <c r="C17" s="73" t="s">
        <v>111</v>
      </c>
      <c r="D17" s="123"/>
      <c r="E17" s="123"/>
      <c r="G17" s="72"/>
    </row>
    <row r="18" spans="2:7" ht="15.75" customHeight="1" x14ac:dyDescent="0.3">
      <c r="B18" s="435"/>
      <c r="C18" s="73" t="s">
        <v>250</v>
      </c>
      <c r="D18" s="123"/>
      <c r="E18" s="123"/>
      <c r="G18" s="72"/>
    </row>
    <row r="19" spans="2:7" ht="15" customHeight="1" x14ac:dyDescent="0.3">
      <c r="B19" s="271"/>
      <c r="C19" s="73" t="s">
        <v>251</v>
      </c>
      <c r="D19" s="123"/>
      <c r="E19" s="123"/>
      <c r="G19" s="72"/>
    </row>
    <row r="20" spans="2:7" ht="15" customHeight="1" x14ac:dyDescent="0.3">
      <c r="B20" s="271"/>
      <c r="C20" s="73" t="s">
        <v>252</v>
      </c>
      <c r="D20" s="123"/>
      <c r="E20" s="123"/>
      <c r="G20" s="72"/>
    </row>
    <row r="21" spans="2:7" ht="15.75" customHeight="1" x14ac:dyDescent="0.3">
      <c r="B21" s="271"/>
      <c r="C21" s="80" t="s">
        <v>253</v>
      </c>
      <c r="D21" s="127"/>
      <c r="E21" s="127"/>
      <c r="F21" s="78"/>
      <c r="G21" s="79"/>
    </row>
    <row r="22" spans="2:7" ht="15.75" customHeight="1" x14ac:dyDescent="0.25">
      <c r="B22" s="349" t="s">
        <v>105</v>
      </c>
      <c r="C22" s="350"/>
      <c r="D22" s="350"/>
      <c r="E22" s="350"/>
      <c r="F22" s="350"/>
      <c r="G22" s="351"/>
    </row>
    <row r="23" spans="2:7" ht="15" customHeight="1" x14ac:dyDescent="0.25">
      <c r="B23" s="352"/>
      <c r="C23" s="353"/>
      <c r="D23" s="353"/>
      <c r="E23" s="353"/>
      <c r="F23" s="353"/>
      <c r="G23" s="354"/>
    </row>
    <row r="24" spans="2:7" ht="16.5" customHeight="1" x14ac:dyDescent="0.25">
      <c r="B24" s="355" t="s">
        <v>242</v>
      </c>
      <c r="C24" s="356"/>
      <c r="D24" s="356"/>
      <c r="E24" s="356"/>
      <c r="F24" s="358">
        <v>6.9</v>
      </c>
      <c r="G24" s="360" t="s">
        <v>92</v>
      </c>
    </row>
    <row r="25" spans="2:7" ht="15.75" customHeight="1" x14ac:dyDescent="0.25">
      <c r="B25" s="357"/>
      <c r="C25" s="210"/>
      <c r="D25" s="210"/>
      <c r="E25" s="210"/>
      <c r="F25" s="359"/>
      <c r="G25" s="361"/>
    </row>
    <row r="26" spans="2:7" x14ac:dyDescent="0.25">
      <c r="B26" s="362" t="s">
        <v>107</v>
      </c>
      <c r="C26" s="66"/>
      <c r="D26" s="67"/>
      <c r="E26" s="67"/>
      <c r="F26" s="68"/>
      <c r="G26" s="69"/>
    </row>
    <row r="27" spans="2:7" x14ac:dyDescent="0.25">
      <c r="B27" s="363"/>
      <c r="C27" s="96"/>
      <c r="D27" s="97"/>
      <c r="E27" s="97"/>
      <c r="F27" s="72"/>
      <c r="G27" s="72"/>
    </row>
    <row r="28" spans="2:7" ht="15.75" x14ac:dyDescent="0.3">
      <c r="B28" s="363"/>
      <c r="C28" s="73"/>
      <c r="F28" s="74"/>
      <c r="G28" s="72"/>
    </row>
    <row r="29" spans="2:7" ht="15.75" customHeight="1" x14ac:dyDescent="0.3">
      <c r="B29" s="363"/>
      <c r="C29" s="99"/>
      <c r="F29" s="72"/>
      <c r="G29" s="72"/>
    </row>
    <row r="30" spans="2:7" ht="15.75" customHeight="1" x14ac:dyDescent="0.25">
      <c r="B30" s="363"/>
      <c r="C30" s="84"/>
      <c r="F30" s="72"/>
      <c r="G30" s="75"/>
    </row>
    <row r="31" spans="2:7" ht="15.75" customHeight="1" x14ac:dyDescent="0.25">
      <c r="B31" s="363"/>
      <c r="C31" s="84"/>
      <c r="F31" s="72"/>
      <c r="G31" s="72"/>
    </row>
    <row r="32" spans="2:7" ht="15.75" customHeight="1" x14ac:dyDescent="0.25">
      <c r="B32" s="363"/>
      <c r="C32" s="104"/>
      <c r="D32" s="105"/>
      <c r="E32" s="105"/>
      <c r="F32" s="106"/>
      <c r="G32" s="79"/>
    </row>
    <row r="33" spans="2:7" x14ac:dyDescent="0.25">
      <c r="B33" s="364"/>
      <c r="C33" s="391" t="s">
        <v>102</v>
      </c>
      <c r="D33" s="392"/>
      <c r="E33" s="392"/>
      <c r="F33" s="392"/>
      <c r="G33" s="369"/>
    </row>
    <row r="34" spans="2:7" ht="15.75" x14ac:dyDescent="0.3">
      <c r="B34" s="363"/>
      <c r="C34" s="81"/>
      <c r="D34" s="82"/>
      <c r="E34" s="82"/>
      <c r="F34" s="83"/>
      <c r="G34" s="83"/>
    </row>
    <row r="35" spans="2:7" ht="15.75" x14ac:dyDescent="0.3">
      <c r="B35" s="365"/>
      <c r="C35" s="73"/>
      <c r="F35" s="72"/>
      <c r="G35" s="72"/>
    </row>
    <row r="36" spans="2:7" ht="15.75" x14ac:dyDescent="0.3">
      <c r="B36" s="365"/>
      <c r="C36" s="73"/>
      <c r="F36" s="72"/>
      <c r="G36" s="72"/>
    </row>
    <row r="37" spans="2:7" ht="15.75" x14ac:dyDescent="0.3">
      <c r="B37" s="365"/>
      <c r="C37" s="73"/>
      <c r="F37" s="72"/>
      <c r="G37" s="72"/>
    </row>
    <row r="38" spans="2:7" ht="15.75" customHeight="1" x14ac:dyDescent="0.3">
      <c r="B38" s="366"/>
      <c r="C38" s="80"/>
      <c r="D38" s="78"/>
      <c r="E38" s="78"/>
      <c r="F38" s="79"/>
      <c r="G38" s="79"/>
    </row>
    <row r="39" spans="2:7" ht="15.75" customHeight="1" x14ac:dyDescent="0.25">
      <c r="B39" s="343" t="s">
        <v>113</v>
      </c>
      <c r="C39" s="344"/>
      <c r="D39" s="344"/>
      <c r="E39" s="346" t="s">
        <v>114</v>
      </c>
      <c r="F39" s="344"/>
      <c r="G39" s="347"/>
    </row>
    <row r="40" spans="2:7" ht="15.75" customHeight="1" x14ac:dyDescent="0.25">
      <c r="B40" s="345"/>
      <c r="C40" s="250"/>
      <c r="D40" s="250"/>
      <c r="E40" s="345"/>
      <c r="F40" s="250"/>
      <c r="G40" s="348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17">
    <mergeCell ref="B39:D40"/>
    <mergeCell ref="E39:G40"/>
    <mergeCell ref="C10:F10"/>
    <mergeCell ref="B22:G23"/>
    <mergeCell ref="B24:E25"/>
    <mergeCell ref="F24:F25"/>
    <mergeCell ref="G24:G25"/>
    <mergeCell ref="B26:B38"/>
    <mergeCell ref="C33:G33"/>
    <mergeCell ref="B5:B21"/>
    <mergeCell ref="C12:G12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79AB-C0DB-42E6-BBB5-F48983FB3BCA}">
  <dimension ref="B1:F100"/>
  <sheetViews>
    <sheetView topLeftCell="A63" zoomScaleNormal="100" workbookViewId="0">
      <selection activeCell="C90" sqref="C90:F100"/>
    </sheetView>
  </sheetViews>
  <sheetFormatPr baseColWidth="10" defaultColWidth="11.42578125" defaultRowHeight="15" x14ac:dyDescent="0.25"/>
  <cols>
    <col min="1" max="1" width="2.85546875" customWidth="1"/>
    <col min="2" max="2" width="14.85546875" customWidth="1"/>
    <col min="3" max="5" width="16.28515625" customWidth="1"/>
    <col min="6" max="6" width="27.140625" customWidth="1"/>
    <col min="7" max="7" width="2.85546875" customWidth="1"/>
  </cols>
  <sheetData>
    <row r="1" spans="2:6" x14ac:dyDescent="0.25">
      <c r="B1" s="450" t="s">
        <v>79</v>
      </c>
      <c r="C1" s="451"/>
      <c r="D1" s="451"/>
      <c r="E1" s="452"/>
      <c r="F1" s="453"/>
    </row>
    <row r="2" spans="2:6" x14ac:dyDescent="0.25">
      <c r="B2" s="454"/>
      <c r="C2" s="455"/>
      <c r="D2" s="455"/>
      <c r="E2" s="456"/>
      <c r="F2" s="457"/>
    </row>
    <row r="3" spans="2:6" ht="12.75" customHeight="1" x14ac:dyDescent="0.25">
      <c r="C3" s="59"/>
      <c r="D3" s="59"/>
      <c r="E3" s="59"/>
      <c r="F3" s="59"/>
    </row>
    <row r="4" spans="2:6" x14ac:dyDescent="0.25">
      <c r="B4" s="445" t="s">
        <v>28</v>
      </c>
      <c r="C4" s="436" t="s">
        <v>80</v>
      </c>
      <c r="D4" s="437"/>
      <c r="E4" s="437"/>
      <c r="F4" s="438"/>
    </row>
    <row r="5" spans="2:6" ht="15.75" customHeight="1" x14ac:dyDescent="0.25">
      <c r="B5" s="446"/>
      <c r="C5" s="439"/>
      <c r="D5" s="440"/>
      <c r="E5" s="440"/>
      <c r="F5" s="441"/>
    </row>
    <row r="6" spans="2:6" x14ac:dyDescent="0.25">
      <c r="B6" s="60" t="s">
        <v>81</v>
      </c>
      <c r="C6" s="439"/>
      <c r="D6" s="440"/>
      <c r="E6" s="440"/>
      <c r="F6" s="441"/>
    </row>
    <row r="7" spans="2:6" x14ac:dyDescent="0.25">
      <c r="B7" s="61">
        <v>3</v>
      </c>
      <c r="C7" s="439"/>
      <c r="D7" s="440"/>
      <c r="E7" s="440"/>
      <c r="F7" s="441"/>
    </row>
    <row r="8" spans="2:6" ht="15.75" customHeight="1" x14ac:dyDescent="0.25">
      <c r="B8" s="62" t="s">
        <v>82</v>
      </c>
      <c r="C8" s="439"/>
      <c r="D8" s="440"/>
      <c r="E8" s="440"/>
      <c r="F8" s="441"/>
    </row>
    <row r="9" spans="2:6" ht="15.75" customHeight="1" x14ac:dyDescent="0.3">
      <c r="B9" s="63">
        <f>Kompetenzraster!Q5</f>
        <v>45154</v>
      </c>
      <c r="C9" s="439"/>
      <c r="D9" s="440"/>
      <c r="E9" s="440"/>
      <c r="F9" s="441"/>
    </row>
    <row r="10" spans="2:6" ht="15.75" customHeight="1" x14ac:dyDescent="0.25">
      <c r="B10" s="62" t="s">
        <v>83</v>
      </c>
      <c r="C10" s="439"/>
      <c r="D10" s="440"/>
      <c r="E10" s="440"/>
      <c r="F10" s="441"/>
    </row>
    <row r="11" spans="2:6" ht="15.75" customHeight="1" x14ac:dyDescent="0.3">
      <c r="B11" s="64">
        <f>Kompetenzraster!Q11-1</f>
        <v>45174</v>
      </c>
      <c r="C11" s="439"/>
      <c r="D11" s="440"/>
      <c r="E11" s="440"/>
      <c r="F11" s="441"/>
    </row>
    <row r="12" spans="2:6" x14ac:dyDescent="0.25">
      <c r="B12" s="448"/>
      <c r="C12" s="439"/>
      <c r="D12" s="440"/>
      <c r="E12" s="440"/>
      <c r="F12" s="441"/>
    </row>
    <row r="13" spans="2:6" x14ac:dyDescent="0.25">
      <c r="B13" s="449"/>
      <c r="C13" s="439"/>
      <c r="D13" s="440"/>
      <c r="E13" s="440"/>
      <c r="F13" s="441"/>
    </row>
    <row r="14" spans="2:6" x14ac:dyDescent="0.25">
      <c r="B14" s="449"/>
      <c r="C14" s="439"/>
      <c r="D14" s="440"/>
      <c r="E14" s="440"/>
      <c r="F14" s="441"/>
    </row>
    <row r="15" spans="2:6" x14ac:dyDescent="0.25">
      <c r="B15" s="449"/>
      <c r="C15" s="439"/>
      <c r="D15" s="440"/>
      <c r="E15" s="440"/>
      <c r="F15" s="441"/>
    </row>
    <row r="16" spans="2:6" ht="15.75" customHeight="1" x14ac:dyDescent="0.25">
      <c r="B16" s="395"/>
      <c r="C16" s="439"/>
      <c r="D16" s="440"/>
      <c r="E16" s="440"/>
      <c r="F16" s="441"/>
    </row>
    <row r="17" spans="2:6" ht="15.75" customHeight="1" x14ac:dyDescent="0.25">
      <c r="B17" s="396"/>
      <c r="C17" s="442"/>
      <c r="D17" s="443"/>
      <c r="E17" s="443"/>
      <c r="F17" s="444"/>
    </row>
    <row r="18" spans="2:6" x14ac:dyDescent="0.25">
      <c r="B18" s="445" t="s">
        <v>61</v>
      </c>
      <c r="C18" s="436" t="s">
        <v>84</v>
      </c>
      <c r="D18" s="437"/>
      <c r="E18" s="437"/>
      <c r="F18" s="438"/>
    </row>
    <row r="19" spans="2:6" x14ac:dyDescent="0.25">
      <c r="B19" s="446"/>
      <c r="C19" s="439"/>
      <c r="D19" s="440"/>
      <c r="E19" s="440"/>
      <c r="F19" s="441"/>
    </row>
    <row r="20" spans="2:6" x14ac:dyDescent="0.25">
      <c r="B20" s="60" t="s">
        <v>81</v>
      </c>
      <c r="C20" s="439"/>
      <c r="D20" s="440"/>
      <c r="E20" s="440"/>
      <c r="F20" s="441"/>
    </row>
    <row r="21" spans="2:6" x14ac:dyDescent="0.25">
      <c r="B21" s="61">
        <v>3</v>
      </c>
      <c r="C21" s="439"/>
      <c r="D21" s="440"/>
      <c r="E21" s="440"/>
      <c r="F21" s="441"/>
    </row>
    <row r="22" spans="2:6" x14ac:dyDescent="0.25">
      <c r="B22" s="62" t="s">
        <v>82</v>
      </c>
      <c r="C22" s="439"/>
      <c r="D22" s="440"/>
      <c r="E22" s="440"/>
      <c r="F22" s="441"/>
    </row>
    <row r="23" spans="2:6" ht="16.5" x14ac:dyDescent="0.3">
      <c r="B23" s="63">
        <f>Kompetenzraster!Q25</f>
        <v>45245</v>
      </c>
      <c r="C23" s="439"/>
      <c r="D23" s="440"/>
      <c r="E23" s="440"/>
      <c r="F23" s="441"/>
    </row>
    <row r="24" spans="2:6" x14ac:dyDescent="0.25">
      <c r="B24" s="62" t="s">
        <v>83</v>
      </c>
      <c r="C24" s="439"/>
      <c r="D24" s="440"/>
      <c r="E24" s="440"/>
      <c r="F24" s="441"/>
    </row>
    <row r="25" spans="2:6" ht="16.5" x14ac:dyDescent="0.3">
      <c r="B25" s="64">
        <f>Kompetenzraster!Q37-1</f>
        <v>45300</v>
      </c>
      <c r="C25" s="439"/>
      <c r="D25" s="440"/>
      <c r="E25" s="440"/>
      <c r="F25" s="441"/>
    </row>
    <row r="26" spans="2:6" x14ac:dyDescent="0.25">
      <c r="B26" s="448"/>
      <c r="C26" s="439"/>
      <c r="D26" s="440"/>
      <c r="E26" s="440"/>
      <c r="F26" s="441"/>
    </row>
    <row r="27" spans="2:6" x14ac:dyDescent="0.25">
      <c r="B27" s="449"/>
      <c r="C27" s="439"/>
      <c r="D27" s="440"/>
      <c r="E27" s="440"/>
      <c r="F27" s="441"/>
    </row>
    <row r="28" spans="2:6" x14ac:dyDescent="0.25">
      <c r="B28" s="445" t="s">
        <v>58</v>
      </c>
      <c r="C28" s="436" t="s">
        <v>85</v>
      </c>
      <c r="D28" s="437"/>
      <c r="E28" s="437"/>
      <c r="F28" s="438"/>
    </row>
    <row r="29" spans="2:6" x14ac:dyDescent="0.25">
      <c r="B29" s="446"/>
      <c r="C29" s="439"/>
      <c r="D29" s="440"/>
      <c r="E29" s="440"/>
      <c r="F29" s="441"/>
    </row>
    <row r="30" spans="2:6" x14ac:dyDescent="0.25">
      <c r="B30" s="60" t="s">
        <v>81</v>
      </c>
      <c r="C30" s="439"/>
      <c r="D30" s="440"/>
      <c r="E30" s="440"/>
      <c r="F30" s="441"/>
    </row>
    <row r="31" spans="2:6" x14ac:dyDescent="0.25">
      <c r="B31" s="61">
        <v>2</v>
      </c>
      <c r="C31" s="439"/>
      <c r="D31" s="440"/>
      <c r="E31" s="440"/>
      <c r="F31" s="441"/>
    </row>
    <row r="32" spans="2:6" x14ac:dyDescent="0.25">
      <c r="B32" s="62" t="s">
        <v>82</v>
      </c>
      <c r="C32" s="439"/>
      <c r="D32" s="440"/>
      <c r="E32" s="440"/>
      <c r="F32" s="441"/>
    </row>
    <row r="33" spans="2:6" ht="16.5" x14ac:dyDescent="0.3">
      <c r="B33" s="63">
        <f>Kompetenzraster!Q5</f>
        <v>45154</v>
      </c>
      <c r="C33" s="439"/>
      <c r="D33" s="440"/>
      <c r="E33" s="440"/>
      <c r="F33" s="441"/>
    </row>
    <row r="34" spans="2:6" x14ac:dyDescent="0.25">
      <c r="B34" s="62" t="s">
        <v>83</v>
      </c>
      <c r="C34" s="439"/>
      <c r="D34" s="440"/>
      <c r="E34" s="440"/>
      <c r="F34" s="441"/>
    </row>
    <row r="35" spans="2:6" ht="16.5" x14ac:dyDescent="0.3">
      <c r="B35" s="64">
        <f>Kompetenzraster!Q11-1</f>
        <v>45174</v>
      </c>
      <c r="C35" s="439"/>
      <c r="D35" s="440"/>
      <c r="E35" s="440"/>
      <c r="F35" s="441"/>
    </row>
    <row r="36" spans="2:6" x14ac:dyDescent="0.25">
      <c r="B36" s="65"/>
      <c r="C36" s="442"/>
      <c r="D36" s="443"/>
      <c r="E36" s="443"/>
      <c r="F36" s="444"/>
    </row>
    <row r="37" spans="2:6" x14ac:dyDescent="0.25">
      <c r="B37" s="445" t="s">
        <v>62</v>
      </c>
      <c r="C37" s="436" t="s">
        <v>256</v>
      </c>
      <c r="D37" s="437"/>
      <c r="E37" s="437"/>
      <c r="F37" s="438"/>
    </row>
    <row r="38" spans="2:6" x14ac:dyDescent="0.25">
      <c r="B38" s="446"/>
      <c r="C38" s="439"/>
      <c r="D38" s="440"/>
      <c r="E38" s="440"/>
      <c r="F38" s="441"/>
    </row>
    <row r="39" spans="2:6" x14ac:dyDescent="0.25">
      <c r="B39" s="60" t="s">
        <v>81</v>
      </c>
      <c r="C39" s="439"/>
      <c r="D39" s="440"/>
      <c r="E39" s="440"/>
      <c r="F39" s="441"/>
    </row>
    <row r="40" spans="2:6" x14ac:dyDescent="0.25">
      <c r="B40" s="61">
        <v>2</v>
      </c>
      <c r="C40" s="439"/>
      <c r="D40" s="440"/>
      <c r="E40" s="440"/>
      <c r="F40" s="441"/>
    </row>
    <row r="41" spans="2:6" x14ac:dyDescent="0.25">
      <c r="B41" s="62" t="s">
        <v>82</v>
      </c>
      <c r="C41" s="439"/>
      <c r="D41" s="440"/>
      <c r="E41" s="440"/>
      <c r="F41" s="441"/>
    </row>
    <row r="42" spans="2:6" ht="16.5" x14ac:dyDescent="0.3">
      <c r="B42" s="63">
        <f>Kompetenzraster!Q27</f>
        <v>45252</v>
      </c>
      <c r="C42" s="439"/>
      <c r="D42" s="440"/>
      <c r="E42" s="440"/>
      <c r="F42" s="441"/>
    </row>
    <row r="43" spans="2:6" x14ac:dyDescent="0.25">
      <c r="B43" s="62" t="s">
        <v>83</v>
      </c>
      <c r="C43" s="439"/>
      <c r="D43" s="440"/>
      <c r="E43" s="440"/>
      <c r="F43" s="441"/>
    </row>
    <row r="44" spans="2:6" ht="16.5" x14ac:dyDescent="0.3">
      <c r="B44" s="64">
        <f>Kompetenzraster!Q33-1</f>
        <v>45272</v>
      </c>
      <c r="C44" s="439"/>
      <c r="D44" s="440"/>
      <c r="E44" s="440"/>
      <c r="F44" s="441"/>
    </row>
    <row r="45" spans="2:6" x14ac:dyDescent="0.25">
      <c r="B45" s="447"/>
      <c r="C45" s="439"/>
      <c r="D45" s="440"/>
      <c r="E45" s="440"/>
      <c r="F45" s="441"/>
    </row>
    <row r="46" spans="2:6" x14ac:dyDescent="0.25">
      <c r="B46" s="395"/>
      <c r="C46" s="439"/>
      <c r="D46" s="440"/>
      <c r="E46" s="440"/>
      <c r="F46" s="441"/>
    </row>
    <row r="47" spans="2:6" x14ac:dyDescent="0.25">
      <c r="B47" s="395"/>
      <c r="C47" s="439"/>
      <c r="D47" s="440"/>
      <c r="E47" s="440"/>
      <c r="F47" s="441"/>
    </row>
    <row r="48" spans="2:6" x14ac:dyDescent="0.25">
      <c r="B48" s="395"/>
      <c r="C48" s="439"/>
      <c r="D48" s="440"/>
      <c r="E48" s="440"/>
      <c r="F48" s="441"/>
    </row>
    <row r="49" spans="2:6" x14ac:dyDescent="0.25">
      <c r="B49" s="396"/>
      <c r="C49" s="442"/>
      <c r="D49" s="443"/>
      <c r="E49" s="443"/>
      <c r="F49" s="444"/>
    </row>
    <row r="50" spans="2:6" x14ac:dyDescent="0.25">
      <c r="B50" s="445" t="s">
        <v>53</v>
      </c>
      <c r="C50" s="436" t="s">
        <v>86</v>
      </c>
      <c r="D50" s="437"/>
      <c r="E50" s="437"/>
      <c r="F50" s="438"/>
    </row>
    <row r="51" spans="2:6" x14ac:dyDescent="0.25">
      <c r="B51" s="446"/>
      <c r="C51" s="439"/>
      <c r="D51" s="440"/>
      <c r="E51" s="440"/>
      <c r="F51" s="441"/>
    </row>
    <row r="52" spans="2:6" x14ac:dyDescent="0.25">
      <c r="B52" s="60" t="s">
        <v>81</v>
      </c>
      <c r="C52" s="439"/>
      <c r="D52" s="440"/>
      <c r="E52" s="440"/>
      <c r="F52" s="441"/>
    </row>
    <row r="53" spans="2:6" x14ac:dyDescent="0.25">
      <c r="B53" s="61">
        <v>2</v>
      </c>
      <c r="C53" s="439"/>
      <c r="D53" s="440"/>
      <c r="E53" s="440"/>
      <c r="F53" s="441"/>
    </row>
    <row r="54" spans="2:6" x14ac:dyDescent="0.25">
      <c r="B54" s="62" t="s">
        <v>82</v>
      </c>
      <c r="C54" s="439"/>
      <c r="D54" s="440"/>
      <c r="E54" s="440"/>
      <c r="F54" s="441"/>
    </row>
    <row r="55" spans="2:6" ht="16.5" x14ac:dyDescent="0.3">
      <c r="B55" s="63">
        <f>Kompetenzraster!Q19</f>
        <v>45224</v>
      </c>
      <c r="C55" s="439"/>
      <c r="D55" s="440"/>
      <c r="E55" s="440"/>
      <c r="F55" s="441"/>
    </row>
    <row r="56" spans="2:6" x14ac:dyDescent="0.25">
      <c r="B56" s="62" t="s">
        <v>83</v>
      </c>
      <c r="C56" s="439"/>
      <c r="D56" s="440"/>
      <c r="E56" s="440"/>
      <c r="F56" s="441"/>
    </row>
    <row r="57" spans="2:6" ht="16.5" x14ac:dyDescent="0.3">
      <c r="B57" s="64">
        <f>Kompetenzraster!Q25-1</f>
        <v>45244</v>
      </c>
      <c r="C57" s="439"/>
      <c r="D57" s="440"/>
      <c r="E57" s="440"/>
      <c r="F57" s="441"/>
    </row>
    <row r="58" spans="2:6" x14ac:dyDescent="0.25">
      <c r="B58" s="448"/>
      <c r="C58" s="439"/>
      <c r="D58" s="440"/>
      <c r="E58" s="440"/>
      <c r="F58" s="441"/>
    </row>
    <row r="59" spans="2:6" x14ac:dyDescent="0.25">
      <c r="B59" s="449"/>
      <c r="C59" s="439"/>
      <c r="D59" s="440"/>
      <c r="E59" s="440"/>
      <c r="F59" s="441"/>
    </row>
    <row r="60" spans="2:6" x14ac:dyDescent="0.25">
      <c r="B60" s="396"/>
      <c r="C60" s="442"/>
      <c r="D60" s="443"/>
      <c r="E60" s="443"/>
      <c r="F60" s="444"/>
    </row>
    <row r="61" spans="2:6" x14ac:dyDescent="0.25">
      <c r="B61" s="445" t="s">
        <v>54</v>
      </c>
      <c r="C61" s="436" t="s">
        <v>87</v>
      </c>
      <c r="D61" s="437"/>
      <c r="E61" s="437"/>
      <c r="F61" s="438"/>
    </row>
    <row r="62" spans="2:6" x14ac:dyDescent="0.25">
      <c r="B62" s="446"/>
      <c r="C62" s="439"/>
      <c r="D62" s="440"/>
      <c r="E62" s="440"/>
      <c r="F62" s="441"/>
    </row>
    <row r="63" spans="2:6" x14ac:dyDescent="0.25">
      <c r="B63" s="60" t="s">
        <v>81</v>
      </c>
      <c r="C63" s="439"/>
      <c r="D63" s="440"/>
      <c r="E63" s="440"/>
      <c r="F63" s="441"/>
    </row>
    <row r="64" spans="2:6" x14ac:dyDescent="0.25">
      <c r="B64" s="61">
        <v>2</v>
      </c>
      <c r="C64" s="439"/>
      <c r="D64" s="440"/>
      <c r="E64" s="440"/>
      <c r="F64" s="441"/>
    </row>
    <row r="65" spans="2:6" x14ac:dyDescent="0.25">
      <c r="B65" s="62" t="s">
        <v>82</v>
      </c>
      <c r="C65" s="439"/>
      <c r="D65" s="440"/>
      <c r="E65" s="440"/>
      <c r="F65" s="441"/>
    </row>
    <row r="66" spans="2:6" ht="16.5" x14ac:dyDescent="0.3">
      <c r="B66" s="63">
        <f>Kompetenzraster!Q11</f>
        <v>45175</v>
      </c>
      <c r="C66" s="439"/>
      <c r="D66" s="440"/>
      <c r="E66" s="440"/>
      <c r="F66" s="441"/>
    </row>
    <row r="67" spans="2:6" x14ac:dyDescent="0.25">
      <c r="B67" s="62" t="s">
        <v>83</v>
      </c>
      <c r="C67" s="439"/>
      <c r="D67" s="440"/>
      <c r="E67" s="440"/>
      <c r="F67" s="441"/>
    </row>
    <row r="68" spans="2:6" ht="16.5" x14ac:dyDescent="0.3">
      <c r="B68" s="64">
        <f>Kompetenzraster!Q19-1</f>
        <v>45223</v>
      </c>
      <c r="C68" s="439"/>
      <c r="D68" s="440"/>
      <c r="E68" s="440"/>
      <c r="F68" s="441"/>
    </row>
    <row r="69" spans="2:6" x14ac:dyDescent="0.25">
      <c r="B69" s="448"/>
      <c r="C69" s="439"/>
      <c r="D69" s="440"/>
      <c r="E69" s="440"/>
      <c r="F69" s="441"/>
    </row>
    <row r="70" spans="2:6" x14ac:dyDescent="0.25">
      <c r="B70" s="449"/>
      <c r="C70" s="439"/>
      <c r="D70" s="440"/>
      <c r="E70" s="440"/>
      <c r="F70" s="441"/>
    </row>
    <row r="71" spans="2:6" x14ac:dyDescent="0.25">
      <c r="B71" s="445" t="s">
        <v>48</v>
      </c>
      <c r="C71" s="436" t="s">
        <v>89</v>
      </c>
      <c r="D71" s="437"/>
      <c r="E71" s="437"/>
      <c r="F71" s="438"/>
    </row>
    <row r="72" spans="2:6" x14ac:dyDescent="0.25">
      <c r="B72" s="446"/>
      <c r="C72" s="439"/>
      <c r="D72" s="440"/>
      <c r="E72" s="440"/>
      <c r="F72" s="441"/>
    </row>
    <row r="73" spans="2:6" x14ac:dyDescent="0.25">
      <c r="B73" s="60" t="s">
        <v>81</v>
      </c>
      <c r="C73" s="439"/>
      <c r="D73" s="440"/>
      <c r="E73" s="440"/>
      <c r="F73" s="441"/>
    </row>
    <row r="74" spans="2:6" x14ac:dyDescent="0.25">
      <c r="B74" s="61">
        <v>3</v>
      </c>
      <c r="C74" s="439"/>
      <c r="D74" s="440"/>
      <c r="E74" s="440"/>
      <c r="F74" s="441"/>
    </row>
    <row r="75" spans="2:6" x14ac:dyDescent="0.25">
      <c r="B75" s="62" t="s">
        <v>82</v>
      </c>
      <c r="C75" s="439"/>
      <c r="D75" s="440"/>
      <c r="E75" s="440"/>
      <c r="F75" s="441"/>
    </row>
    <row r="76" spans="2:6" ht="16.5" x14ac:dyDescent="0.3">
      <c r="B76" s="63">
        <f>Kompetenzraster!Q33</f>
        <v>45273</v>
      </c>
      <c r="C76" s="439"/>
      <c r="D76" s="440"/>
      <c r="E76" s="440"/>
      <c r="F76" s="441"/>
    </row>
    <row r="77" spans="2:6" x14ac:dyDescent="0.25">
      <c r="B77" s="62" t="s">
        <v>83</v>
      </c>
      <c r="C77" s="439"/>
      <c r="D77" s="440"/>
      <c r="E77" s="440"/>
      <c r="F77" s="441"/>
    </row>
    <row r="78" spans="2:6" ht="16.5" x14ac:dyDescent="0.3">
      <c r="B78" s="64">
        <f>Kompetenzraster!Q35</f>
        <v>45280</v>
      </c>
      <c r="C78" s="439"/>
      <c r="D78" s="440"/>
      <c r="E78" s="440"/>
      <c r="F78" s="441"/>
    </row>
    <row r="79" spans="2:6" x14ac:dyDescent="0.25">
      <c r="B79" s="445" t="s">
        <v>167</v>
      </c>
      <c r="C79" s="436" t="s">
        <v>257</v>
      </c>
      <c r="D79" s="437"/>
      <c r="E79" s="437"/>
      <c r="F79" s="438"/>
    </row>
    <row r="80" spans="2:6" x14ac:dyDescent="0.25">
      <c r="B80" s="446"/>
      <c r="C80" s="439"/>
      <c r="D80" s="440"/>
      <c r="E80" s="440"/>
      <c r="F80" s="441"/>
    </row>
    <row r="81" spans="2:6" x14ac:dyDescent="0.25">
      <c r="B81" s="60" t="s">
        <v>81</v>
      </c>
      <c r="C81" s="439"/>
      <c r="D81" s="440"/>
      <c r="E81" s="440"/>
      <c r="F81" s="441"/>
    </row>
    <row r="82" spans="2:6" x14ac:dyDescent="0.25">
      <c r="B82" s="61">
        <f>Kompetenzraster!N17</f>
        <v>1.5</v>
      </c>
      <c r="C82" s="439"/>
      <c r="D82" s="440"/>
      <c r="E82" s="440"/>
      <c r="F82" s="441"/>
    </row>
    <row r="83" spans="2:6" x14ac:dyDescent="0.25">
      <c r="B83" s="62" t="s">
        <v>82</v>
      </c>
      <c r="C83" s="439"/>
      <c r="D83" s="440"/>
      <c r="E83" s="440"/>
      <c r="F83" s="441"/>
    </row>
    <row r="84" spans="2:6" ht="16.5" x14ac:dyDescent="0.3">
      <c r="B84" s="63"/>
      <c r="C84" s="439"/>
      <c r="D84" s="440"/>
      <c r="E84" s="440"/>
      <c r="F84" s="441"/>
    </row>
    <row r="85" spans="2:6" x14ac:dyDescent="0.25">
      <c r="B85" s="62" t="s">
        <v>83</v>
      </c>
      <c r="C85" s="439"/>
      <c r="D85" s="440"/>
      <c r="E85" s="440"/>
      <c r="F85" s="441"/>
    </row>
    <row r="86" spans="2:6" ht="16.5" x14ac:dyDescent="0.3">
      <c r="B86" s="64"/>
      <c r="C86" s="439"/>
      <c r="D86" s="440"/>
      <c r="E86" s="440"/>
      <c r="F86" s="441"/>
    </row>
    <row r="87" spans="2:6" x14ac:dyDescent="0.25">
      <c r="B87" s="448"/>
      <c r="C87" s="439"/>
      <c r="D87" s="440"/>
      <c r="E87" s="440"/>
      <c r="F87" s="441"/>
    </row>
    <row r="88" spans="2:6" x14ac:dyDescent="0.25">
      <c r="B88" s="449"/>
      <c r="C88" s="439"/>
      <c r="D88" s="440"/>
      <c r="E88" s="440"/>
      <c r="F88" s="441"/>
    </row>
    <row r="89" spans="2:6" x14ac:dyDescent="0.25">
      <c r="B89" s="396"/>
      <c r="C89" s="442"/>
      <c r="D89" s="443"/>
      <c r="E89" s="443"/>
      <c r="F89" s="444"/>
    </row>
    <row r="90" spans="2:6" x14ac:dyDescent="0.25">
      <c r="B90" s="445" t="s">
        <v>63</v>
      </c>
      <c r="C90" s="436" t="s">
        <v>88</v>
      </c>
      <c r="D90" s="437"/>
      <c r="E90" s="437"/>
      <c r="F90" s="438"/>
    </row>
    <row r="91" spans="2:6" x14ac:dyDescent="0.25">
      <c r="B91" s="446"/>
      <c r="C91" s="439"/>
      <c r="D91" s="440"/>
      <c r="E91" s="440"/>
      <c r="F91" s="441"/>
    </row>
    <row r="92" spans="2:6" x14ac:dyDescent="0.25">
      <c r="B92" s="60" t="s">
        <v>81</v>
      </c>
      <c r="C92" s="439"/>
      <c r="D92" s="440"/>
      <c r="E92" s="440"/>
      <c r="F92" s="441"/>
    </row>
    <row r="93" spans="2:6" x14ac:dyDescent="0.25">
      <c r="B93" s="61">
        <v>1</v>
      </c>
      <c r="C93" s="439"/>
      <c r="D93" s="440"/>
      <c r="E93" s="440"/>
      <c r="F93" s="441"/>
    </row>
    <row r="94" spans="2:6" x14ac:dyDescent="0.25">
      <c r="B94" s="62" t="s">
        <v>82</v>
      </c>
      <c r="C94" s="439"/>
      <c r="D94" s="440"/>
      <c r="E94" s="440"/>
      <c r="F94" s="441"/>
    </row>
    <row r="95" spans="2:6" ht="16.5" x14ac:dyDescent="0.3">
      <c r="B95" s="63">
        <f>Kompetenzraster!Q48</f>
        <v>0</v>
      </c>
      <c r="C95" s="439"/>
      <c r="D95" s="440"/>
      <c r="E95" s="440"/>
      <c r="F95" s="441"/>
    </row>
    <row r="96" spans="2:6" x14ac:dyDescent="0.25">
      <c r="B96" s="62" t="s">
        <v>83</v>
      </c>
      <c r="C96" s="439"/>
      <c r="D96" s="440"/>
      <c r="E96" s="440"/>
      <c r="F96" s="441"/>
    </row>
    <row r="97" spans="2:6" ht="16.5" x14ac:dyDescent="0.3">
      <c r="B97" s="64">
        <f>Kompetenzraster!Q48</f>
        <v>0</v>
      </c>
      <c r="C97" s="439"/>
      <c r="D97" s="440"/>
      <c r="E97" s="440"/>
      <c r="F97" s="441"/>
    </row>
    <row r="98" spans="2:6" x14ac:dyDescent="0.25">
      <c r="B98" s="448"/>
      <c r="C98" s="439"/>
      <c r="D98" s="440"/>
      <c r="E98" s="440"/>
      <c r="F98" s="441"/>
    </row>
    <row r="99" spans="2:6" x14ac:dyDescent="0.25">
      <c r="B99" s="449"/>
      <c r="C99" s="439"/>
      <c r="D99" s="440"/>
      <c r="E99" s="440"/>
      <c r="F99" s="441"/>
    </row>
    <row r="100" spans="2:6" x14ac:dyDescent="0.25">
      <c r="B100" s="396"/>
      <c r="C100" s="442"/>
      <c r="D100" s="443"/>
      <c r="E100" s="443"/>
      <c r="F100" s="444"/>
    </row>
  </sheetData>
  <mergeCells count="26">
    <mergeCell ref="C61:F70"/>
    <mergeCell ref="B69:B70"/>
    <mergeCell ref="B28:B29"/>
    <mergeCell ref="B1:F2"/>
    <mergeCell ref="B4:B5"/>
    <mergeCell ref="C4:F17"/>
    <mergeCell ref="B12:B17"/>
    <mergeCell ref="B18:B19"/>
    <mergeCell ref="C18:F27"/>
    <mergeCell ref="B26:B27"/>
    <mergeCell ref="C28:F36"/>
    <mergeCell ref="B37:B38"/>
    <mergeCell ref="C37:F49"/>
    <mergeCell ref="B45:B49"/>
    <mergeCell ref="B90:B91"/>
    <mergeCell ref="C90:F100"/>
    <mergeCell ref="B98:B100"/>
    <mergeCell ref="B79:B80"/>
    <mergeCell ref="C79:F89"/>
    <mergeCell ref="B87:B89"/>
    <mergeCell ref="B71:B72"/>
    <mergeCell ref="C71:F78"/>
    <mergeCell ref="B50:B51"/>
    <mergeCell ref="C50:F60"/>
    <mergeCell ref="B58:B60"/>
    <mergeCell ref="B61:B62"/>
  </mergeCells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s_Teacher_Only_SectionGroup xmlns="550b22fb-13da-4cf5-969f-c4932bbd4a2b" xsi:nil="true"/>
    <FolderType xmlns="550b22fb-13da-4cf5-969f-c4932bbd4a2b" xsi:nil="true"/>
    <Invited_Teachers xmlns="550b22fb-13da-4cf5-969f-c4932bbd4a2b" xsi:nil="true"/>
    <Invited_Students xmlns="550b22fb-13da-4cf5-969f-c4932bbd4a2b" xsi:nil="true"/>
    <IsNotebookLocked xmlns="550b22fb-13da-4cf5-969f-c4932bbd4a2b" xsi:nil="true"/>
    <Self_Registration_Enabled xmlns="550b22fb-13da-4cf5-969f-c4932bbd4a2b" xsi:nil="true"/>
    <Teachers xmlns="550b22fb-13da-4cf5-969f-c4932bbd4a2b">
      <UserInfo>
        <DisplayName/>
        <AccountId xsi:nil="true"/>
        <AccountType/>
      </UserInfo>
    </Teachers>
    <Is_Collaboration_Space_Locked xmlns="550b22fb-13da-4cf5-969f-c4932bbd4a2b" xsi:nil="true"/>
    <CultureName xmlns="550b22fb-13da-4cf5-969f-c4932bbd4a2b" xsi:nil="true"/>
    <Templates xmlns="550b22fb-13da-4cf5-969f-c4932bbd4a2b" xsi:nil="true"/>
    <NotebookType xmlns="550b22fb-13da-4cf5-969f-c4932bbd4a2b" xsi:nil="true"/>
    <Student_Groups xmlns="550b22fb-13da-4cf5-969f-c4932bbd4a2b">
      <UserInfo>
        <DisplayName/>
        <AccountId xsi:nil="true"/>
        <AccountType/>
      </UserInfo>
    </Student_Groups>
    <TeamsChannelId xmlns="550b22fb-13da-4cf5-969f-c4932bbd4a2b" xsi:nil="true"/>
    <Math_Settings xmlns="550b22fb-13da-4cf5-969f-c4932bbd4a2b" xsi:nil="true"/>
    <Owner xmlns="550b22fb-13da-4cf5-969f-c4932bbd4a2b">
      <UserInfo>
        <DisplayName/>
        <AccountId xsi:nil="true"/>
        <AccountType/>
      </UserInfo>
    </Owner>
    <Students xmlns="550b22fb-13da-4cf5-969f-c4932bbd4a2b">
      <UserInfo>
        <DisplayName/>
        <AccountId xsi:nil="true"/>
        <AccountType/>
      </UserInfo>
    </Students>
    <Distribution_Groups xmlns="550b22fb-13da-4cf5-969f-c4932bbd4a2b" xsi:nil="true"/>
    <AppVersion xmlns="550b22fb-13da-4cf5-969f-c4932bbd4a2b" xsi:nil="true"/>
    <LMS_Mappings xmlns="550b22fb-13da-4cf5-969f-c4932bbd4a2b" xsi:nil="true"/>
    <DefaultSectionNames xmlns="550b22fb-13da-4cf5-969f-c4932bbd4a2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C54C6B4757CD47A3EC38904B6DF68F" ma:contentTypeVersion="31" ma:contentTypeDescription="Ein neues Dokument erstellen." ma:contentTypeScope="" ma:versionID="378ca918972306f8bcea32dcee92943e">
  <xsd:schema xmlns:xsd="http://www.w3.org/2001/XMLSchema" xmlns:xs="http://www.w3.org/2001/XMLSchema" xmlns:p="http://schemas.microsoft.com/office/2006/metadata/properties" xmlns:ns3="550b22fb-13da-4cf5-969f-c4932bbd4a2b" xmlns:ns4="e6d905db-4f59-4a3b-930f-acb1d61e4a6c" targetNamespace="http://schemas.microsoft.com/office/2006/metadata/properties" ma:root="true" ma:fieldsID="f6b321631842e57c4f471f5baaeb880f" ns3:_="" ns4:_="">
    <xsd:import namespace="550b22fb-13da-4cf5-969f-c4932bbd4a2b"/>
    <xsd:import namespace="e6d905db-4f59-4a3b-930f-acb1d61e4a6c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Owner" minOccurs="0"/>
                <xsd:element ref="ns3:DefaultSectionNames" minOccurs="0"/>
                <xsd:element ref="ns3:Templates" minOccurs="0"/>
                <xsd:element ref="ns3:CultureName" minOccurs="0"/>
                <xsd:element ref="ns3:AppVersion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TeamsChannelId" minOccurs="0"/>
                <xsd:element ref="ns3:IsNotebookLocked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ath_Settings" minOccurs="0"/>
                <xsd:element ref="ns3:MediaServiceGenerationTime" minOccurs="0"/>
                <xsd:element ref="ns3:MediaServiceEventHashCode" minOccurs="0"/>
                <xsd:element ref="ns3:Distribution_Groups" minOccurs="0"/>
                <xsd:element ref="ns3:LMS_Mappin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b22fb-13da-4cf5-969f-c4932bbd4a2b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Owner" ma:index="1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2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chers" ma:index="1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1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2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Tags" ma:index="30" nillable="true" ma:displayName="MediaServiceAutoTags" ma:internalName="MediaServiceAutoTags" ma:readOnly="true">
      <xsd:simpleType>
        <xsd:restriction base="dms:Text"/>
      </xsd:simpleType>
    </xsd:element>
    <xsd:element name="MediaServiceOCR" ma:index="3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ath_Settings" ma:index="34" nillable="true" ma:displayName="Math Settings" ma:internalName="Math_Settings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905db-4f59-4a3b-930f-acb1d61e4a6c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5" nillable="true" ma:displayName="Freigabehinweis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B53204-ECB9-430B-80C6-D40F92B99C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4F57DC-141E-4AB1-87CC-0E2B5E397D59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e6d905db-4f59-4a3b-930f-acb1d61e4a6c"/>
    <ds:schemaRef ds:uri="550b22fb-13da-4cf5-969f-c4932bbd4a2b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2F2AA97-FA8A-488E-A75B-B1EC57955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0b22fb-13da-4cf5-969f-c4932bbd4a2b"/>
    <ds:schemaRef ds:uri="e6d905db-4f59-4a3b-930f-acb1d61e4a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06a8f2b-28e4-44c4-ac01-7357a3a2b9e7}" enabled="1" method="Standard" siteId="{5daf41bd-338c-4311-b1b0-e1299889c3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</vt:i4>
      </vt:variant>
    </vt:vector>
  </HeadingPairs>
  <TitlesOfParts>
    <vt:vector size="20" baseType="lpstr">
      <vt:lpstr>Kompetenzraster</vt:lpstr>
      <vt:lpstr>ST_1_KW_33</vt:lpstr>
      <vt:lpstr>ST_2_KW_34</vt:lpstr>
      <vt:lpstr>ST_3_KW_35</vt:lpstr>
      <vt:lpstr>ST_4_KW_36</vt:lpstr>
      <vt:lpstr>ST_5_KW_37</vt:lpstr>
      <vt:lpstr>ST_6_KW_38</vt:lpstr>
      <vt:lpstr>ST_7_KW_39</vt:lpstr>
      <vt:lpstr>ST_8_KW_43</vt:lpstr>
      <vt:lpstr>ST_9_KW_44</vt:lpstr>
      <vt:lpstr>ST_10_KW_45</vt:lpstr>
      <vt:lpstr>ST_11_KW_46</vt:lpstr>
      <vt:lpstr>ST_12_KW_47</vt:lpstr>
      <vt:lpstr>ST_13_KW_48</vt:lpstr>
      <vt:lpstr>ST_14_KW_49</vt:lpstr>
      <vt:lpstr>ST_15_KW_50</vt:lpstr>
      <vt:lpstr>ST_16_KW_51</vt:lpstr>
      <vt:lpstr>ST_17_KW_2</vt:lpstr>
      <vt:lpstr>ST_18_KW_3</vt:lpstr>
      <vt:lpstr>Aufgaben_Teams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Item</dc:creator>
  <cp:keywords/>
  <dc:description/>
  <cp:lastModifiedBy>Item Marcel GBS-LPGB</cp:lastModifiedBy>
  <cp:revision/>
  <cp:lastPrinted>2023-12-12T13:20:12Z</cp:lastPrinted>
  <dcterms:created xsi:type="dcterms:W3CDTF">2018-02-19T12:02:46Z</dcterms:created>
  <dcterms:modified xsi:type="dcterms:W3CDTF">2025-12-15T16:08:09Z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0x01010017C54C6B4757CD47A3EC38904B6DF68F</vt:lpwstr>
  </property>
</Properties>
</file>