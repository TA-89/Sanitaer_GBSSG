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2_Sanitärpraktiker/2_Unterrichtsmaterial_EBA/2_Word_Vorlagen/1.Semester/"/>
    </mc:Choice>
  </mc:AlternateContent>
  <xr:revisionPtr revIDLastSave="402" documentId="8_{F262E5C0-6F0C-413B-AFC1-4B6F22955EC6}" xr6:coauthVersionLast="47" xr6:coauthVersionMax="47" xr10:uidLastSave="{E6843ECF-7595-5B18-A6CB-C4982C933D39}"/>
  <bookViews>
    <workbookView xWindow="-120" yWindow="-120" windowWidth="51840" windowHeight="21120" xr2:uid="{00000000-000D-0000-FFFF-FFFF00000000}"/>
  </bookViews>
  <sheets>
    <sheet name="Kompetenzraster" sheetId="13" r:id="rId1"/>
    <sheet name="ST_1_KW33" sheetId="42" r:id="rId2"/>
    <sheet name="ST_2_KW34" sheetId="44" r:id="rId3"/>
    <sheet name="ST_3_KW35" sheetId="45" r:id="rId4"/>
    <sheet name="ST_4_KW35" sheetId="46" r:id="rId5"/>
    <sheet name="ST_5_KW36" sheetId="47" r:id="rId6"/>
    <sheet name="ST_6_KW38" sheetId="48" r:id="rId7"/>
    <sheet name="ST_7_KW39" sheetId="49" r:id="rId8"/>
    <sheet name="ST_8_KW40" sheetId="50" r:id="rId9"/>
    <sheet name="ST_9_KW41" sheetId="51" r:id="rId10"/>
    <sheet name="ST_10_KW42" sheetId="52" r:id="rId11"/>
    <sheet name="ST_11_KW42 " sheetId="54" r:id="rId12"/>
    <sheet name="ST_12_KW43" sheetId="53" r:id="rId13"/>
    <sheet name="ST_13_KW44" sheetId="66" r:id="rId14"/>
    <sheet name="ST_14_KW45" sheetId="67" r:id="rId15"/>
    <sheet name="Aufgaben_Teams" sheetId="43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" i="67" l="1"/>
  <c r="O37" i="13"/>
  <c r="O35" i="13"/>
  <c r="O31" i="13"/>
  <c r="E1" i="66"/>
  <c r="O29" i="13"/>
  <c r="O27" i="13"/>
  <c r="E1" i="53" s="1"/>
  <c r="E1" i="54"/>
  <c r="O25" i="13"/>
  <c r="O23" i="13"/>
  <c r="E1" i="52"/>
  <c r="O21" i="13"/>
  <c r="E1" i="51"/>
  <c r="E1" i="50" l="1"/>
  <c r="O19" i="13"/>
  <c r="O17" i="13"/>
  <c r="O15" i="13"/>
  <c r="O13" i="13"/>
  <c r="O11" i="13"/>
  <c r="O5" i="13"/>
  <c r="E1" i="42"/>
  <c r="O7" i="13" l="1"/>
  <c r="E1" i="44" s="1"/>
  <c r="O9" i="13" l="1"/>
  <c r="E1" i="45" s="1"/>
  <c r="E1" i="46" l="1"/>
  <c r="O33" i="13" l="1"/>
  <c r="O39" i="13" s="1"/>
  <c r="O41" i="13" s="1"/>
</calcChain>
</file>

<file path=xl/sharedStrings.xml><?xml version="1.0" encoding="utf-8"?>
<sst xmlns="http://schemas.openxmlformats.org/spreadsheetml/2006/main" count="603" uniqueCount="203">
  <si>
    <t>Semesterstart:</t>
  </si>
  <si>
    <t>Schultag:</t>
  </si>
  <si>
    <t>Handlungsfelder und Kompetenzen</t>
  </si>
  <si>
    <t>Unterichtsplanung 1. Semester</t>
  </si>
  <si>
    <t>Sie erläutern die Gefahren von Strom und beschreiben den Personen- und Sachschutz.</t>
  </si>
  <si>
    <t xml:space="preserve">Fachgruppe Sanitär Spengler </t>
  </si>
  <si>
    <t>itm I sanitärlernen.ch</t>
  </si>
  <si>
    <t>Kanton St.Gallen Gewerbliches Berufs- und Weiterbildungszentrum</t>
  </si>
  <si>
    <t>Unterrichtsverlauf</t>
  </si>
  <si>
    <t>ICT Grundlagen</t>
  </si>
  <si>
    <t>1 - 3 Lektion</t>
  </si>
  <si>
    <t>* Einstieg mit Film Digitalisierung</t>
  </si>
  <si>
    <t>Filme / Theorie</t>
  </si>
  <si>
    <t>* Installation Convertible / GBS Login der Schule</t>
  </si>
  <si>
    <t>* Download &amp; Erklärung Microsoft Teams</t>
  </si>
  <si>
    <t>* Login und Erkärung myGBS / NESA</t>
  </si>
  <si>
    <t>Lernziele</t>
  </si>
  <si>
    <t>Sie kennen Ihren Login und können sich in den Portalen der Schule (mygbs / NESA) anmelden.</t>
  </si>
  <si>
    <t>Sie kennen die Plattform Microsoft Teams und myPlanner, myGBS, myDrive, myMail, MyEDU</t>
  </si>
  <si>
    <t>Pause</t>
  </si>
  <si>
    <t>4 - 5 Lektion</t>
  </si>
  <si>
    <t>* Erklärung &amp; Einrichtung OneDrive</t>
  </si>
  <si>
    <t>* Auftrag Leistungsnachweis</t>
  </si>
  <si>
    <t>Sie wissen wie man eine Aufgabe entgegennimmt und ein PDF bearbeitet.</t>
  </si>
  <si>
    <t>Sie wissen wie man ein Dokument auf OneDrive abspeichert und eine Aufgabe abgiebt.</t>
  </si>
  <si>
    <t>Hausaufgaben</t>
  </si>
  <si>
    <t>Administratives</t>
  </si>
  <si>
    <t>Nächste Woche Taschenrechner mitnehmen!</t>
  </si>
  <si>
    <t>Sie beschreiben die wichtigsten Eigenschaften von Wasser.</t>
  </si>
  <si>
    <t>Kompetenzraster 1.Semester Sanitär- &amp; Spenglerpraktiker</t>
  </si>
  <si>
    <t>XY</t>
  </si>
  <si>
    <t>3 Schultage (9L)</t>
  </si>
  <si>
    <t>4 Schultage (12L)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</si>
  <si>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</si>
  <si>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Auftrag 1.1</t>
  </si>
  <si>
    <t>Auftrag 1.4</t>
  </si>
  <si>
    <t>5 Schultage (15L)</t>
  </si>
  <si>
    <t>2 Schultag (6L)</t>
  </si>
  <si>
    <t>Auftrag 1.3</t>
  </si>
  <si>
    <t>Auftrag 1.2</t>
  </si>
  <si>
    <t>Auftrag 1.5</t>
  </si>
  <si>
    <t>Auftrag 1.6</t>
  </si>
  <si>
    <t>Klasse: SAP/SSP</t>
  </si>
  <si>
    <t>Auftrag 1.7</t>
  </si>
  <si>
    <t>Auftrag 1.8</t>
  </si>
  <si>
    <t>Auftrag 1.9</t>
  </si>
  <si>
    <t>* Erklärung &amp; Installation OneNote</t>
  </si>
  <si>
    <t>Auftrag 1.12</t>
  </si>
  <si>
    <t>1 Schultag (4L)</t>
  </si>
  <si>
    <t>Sie beherschen ihr Arbeitsgerät (Convertible) und können die Software korrekt bedienen.</t>
  </si>
  <si>
    <t>Sie verstehen die Grundlagen des technischen Zeichnens und können diese anwenden.</t>
  </si>
  <si>
    <t>Sie können die drei Ansichten aus der Vorgabe einer Normalprojektion erstellen.</t>
  </si>
  <si>
    <t>Sie können aus der Vorgabe der drei Ansichten dreidimensionale Körper erstellen.</t>
  </si>
  <si>
    <t xml:space="preserve">Sie erläutern einen einfachen Stromkreislauf. </t>
  </si>
  <si>
    <t xml:space="preserve">Sie beschreiben, bei welchen Situationen eine PSA getragen werden muss. </t>
  </si>
  <si>
    <t xml:space="preserve">Sie berechnen Längen- und Höhenmasse. 
</t>
  </si>
  <si>
    <t xml:space="preserve">Sie berechnen den Platzbedarf (Fläche) von Apparaten und Anlagen anhand von Planvorgaben. </t>
  </si>
  <si>
    <t>5 Schultage (10L)</t>
  </si>
  <si>
    <t>Sie schätzen das Gewicht von unterschiedlichen Komponenten ab.</t>
  </si>
  <si>
    <t>Sie berechnen Längen- und Höhenmasse.</t>
  </si>
  <si>
    <t>Sie beschreiben einen Bauablauf und erklären die Schnittstellen zu anderen Gewerken.</t>
  </si>
  <si>
    <t xml:space="preserve">Sie beschreiben verschiedene Planarten der Baustelle. 
</t>
  </si>
  <si>
    <t>Sie benennen die unterschiedlichen Akteure auf dem Bau und deren Funktion.</t>
  </si>
  <si>
    <t>Sie erläutern die Gefahren und Risiken auf der Baustelle und in der Werkstatt.</t>
  </si>
  <si>
    <t>Sie beschreiben, bei welchen Situationen und Tätigkeiten, welche Bestandteile der PSA getragen werden müssen.</t>
  </si>
  <si>
    <t>Sie erläutern die Unterschiede und den Sinn und Zweck der verschiedenen Rapport Arten.</t>
  </si>
  <si>
    <t>Sie erstellen einen Materialauszug aufgrund einer typischen Baustellensituation.</t>
  </si>
  <si>
    <t>Sie bestimmen die Montagezeit aufgrund von einfachen Beispielen.</t>
  </si>
  <si>
    <t>Sie benennen die gebräuchlichen Maschinen und Werkzeuge.</t>
  </si>
  <si>
    <t xml:space="preserve">Sie kennen die gängigsten Gefahrensymbole. </t>
  </si>
  <si>
    <t>Sie benennen die gängigen Vorschriften bezüglich Wasserhygiene.</t>
  </si>
  <si>
    <t xml:space="preserve">Sie beschreiben die Funktionsweise der Wasserversorgung. </t>
  </si>
  <si>
    <t xml:space="preserve">Sie beschreiben die Gewinnung von Trinkwasser.
</t>
  </si>
  <si>
    <t>Abfälle trennen und entsorgen</t>
  </si>
  <si>
    <t>PSA, Leitern und Gerüste</t>
  </si>
  <si>
    <t>Sport Woche / Skitag</t>
  </si>
  <si>
    <t>10 Schultage (20L)</t>
  </si>
  <si>
    <t>2 Schultage (6L)</t>
  </si>
  <si>
    <t>Aufgaben Teams</t>
  </si>
  <si>
    <t>Punkte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</si>
  <si>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Gefahren auf der Baustelle und in der Werkstatt. 
- Sie beschreiben, bei welchen Situationen eine getragen werden muss.
- Sie erläutern einen einfachen Stromkreislauf. 
- Sie erläutern die Gefahren von Strom und beschreiben den Personen- und     
   Sachschutz.
- Sie kennen die gängigsten Gefahrensymbole.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Cast «Meine persönliche Schutzausrüstung PSA»
- Forms Umfrage «Gefahrensymbole»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</si>
  <si>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wichtigsten Eigenschaften von Wasser
- Sie benennen die gängigen Vorschriften bezüglich Wasserhygiene
- Sie beschreiben die Trinkwassergewinnung 
- Sie beschreiben die Funktionsweise der Wasserversorgung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- 3 Grafiz zum Thema «Trinkwassergewinnung»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</si>
  <si>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Ihren Login und können sich in den Portalen 
   der Schule (mygbs / NESA) anmelden.
- Sie kennen die Plattform Microsoft Teams und finden darin die wichtigsten Bereiche.
- Sie können einen Auftrag runterladen, in OneNote ablegen und barbeiteten.
- Sie können einen Leistungsnachweis am korrekten Ort ablegen, 
  bearbeiten und anschliessend in Teams abgeben,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«ICT-Kompetenzen»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</si>
  <si>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schätzen das Gewicht von unterschiedlichen Komponenten ab.
  (z.B. Heizkörper, WC-Schüssel, Dachrinne, Lüftungsrohre)
- Sie berechnen das Volumen verschiedener Behältnisse.
- Sie berechnen Längen- und Höhenmasse.
- Sie berechnen den Platzbedarf (Fläche) von Apparaten 
   und Anlagen anhand von Planvorgaben.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Bestandene elektronische Lernzielkontrolle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</si>
  <si>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einen Bauablauf und erklären die Schnittstellen
   zu anderen Gewerken.
- Sie beschreiben verschiedene Planarten der Baustelle.
- Sie benennen die unterschiedlichen Akteure auf dem Bau 
   und deren Funktion.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«Schnittstellen und Personen »
- Leistungsnachweis «Planarten der Baustelle 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</si>
  <si>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Gefahren und Risiken auf der Baustelle Ja Nein
   und in der Werkstatt.
- Sie beschreiben, bei welchen Situationen und Tätigkeiten, Ja Nein
  welche Bestandteile der PSA getragen werden müssen.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"Vortrag und Grafiz Arbeitssicherheit»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</si>
  <si>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Unterschiede und den Sinn und Zweck 
  der verschiedenen Rapport Arten.
- Sie erstellen einen Materialauszug aufgrund einer typischen 
  Baustellensituation.
- Sie bestimmen die Montagezeit aufgrund von einfachen 
  Beispielen.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«Regierapport Firma»
</t>
    </r>
  </si>
  <si>
    <r>
      <rPr>
        <b/>
        <sz val="11"/>
        <color theme="1"/>
        <rFont val="Calibri"/>
        <family val="2"/>
        <scheme val="minor"/>
      </rPr>
      <t xml:space="preserve">Lernziele:
</t>
    </r>
    <r>
      <rPr>
        <sz val="11"/>
        <color theme="1"/>
        <rFont val="Calibri"/>
        <family val="2"/>
        <scheme val="minor"/>
      </rPr>
      <t xml:space="preserve">- Sie verstehen die Grundlagen des technischen Zeichnens  
   und können diese anwenden.
- Sie können die drei Ansichten aus der Vorgabe einer 
   Normalprojektion erstellen.
- Sie können aus der Vorgabe der drei Ansichten dreidimensionale 
  Körper erstellen.
</t>
    </r>
    <r>
      <rPr>
        <b/>
        <sz val="11"/>
        <color theme="1"/>
        <rFont val="Calibri"/>
        <family val="2"/>
        <scheme val="minor"/>
      </rPr>
      <t xml:space="preserve">
Abzugebende Leistungsnachweise:
- </t>
    </r>
    <r>
      <rPr>
        <sz val="11"/>
        <color theme="1"/>
        <rFont val="Calibri"/>
        <family val="2"/>
        <scheme val="minor"/>
      </rPr>
      <t xml:space="preserve">Abgabe der Fachzeichnung «Beschriftung &amp; Bemassung»
- Abgabe der Fachzeichnung «Normprojektion»
- Abgabe der Fachzeichnung «Körperisometrie»
</t>
    </r>
    <r>
      <rPr>
        <sz val="11"/>
        <color theme="1"/>
        <rFont val="Calibri"/>
        <family val="2"/>
        <scheme val="minor"/>
      </rPr>
      <t xml:space="preserve">
</t>
    </r>
  </si>
  <si>
    <t xml:space="preserve">Sie beschreiben die Problematik der Korrosion bei Bauschäden. </t>
  </si>
  <si>
    <t>Auftrag folgt U.Gabler</t>
  </si>
  <si>
    <t>X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</si>
  <si>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XY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XY
</t>
    </r>
  </si>
  <si>
    <t>HF 1 (PDA)</t>
  </si>
  <si>
    <t>HF 2  (BSU)</t>
  </si>
  <si>
    <t>HF 2   (BSU)</t>
  </si>
  <si>
    <r>
      <rPr>
        <b/>
        <sz val="12"/>
        <color theme="1"/>
        <rFont val="Century Gothic"/>
        <family val="2"/>
      </rPr>
      <t>Berufsspezifischer Unterricht</t>
    </r>
    <r>
      <rPr>
        <sz val="12"/>
        <color theme="1"/>
        <rFont val="Century Gothic"/>
        <family val="2"/>
      </rPr>
      <t xml:space="preserve">
</t>
    </r>
  </si>
  <si>
    <t>Auftrag 1</t>
  </si>
  <si>
    <t>* Der Gebrauch des Taschenrechners &amp; wichtige Funktionen</t>
  </si>
  <si>
    <t>* Übungen Lösen / Fertigkeiten vertiefen…</t>
  </si>
  <si>
    <t>Auftrag 2</t>
  </si>
  <si>
    <t>* Einstieg mit Video Gefahren auf der Baustelle</t>
  </si>
  <si>
    <t xml:space="preserve">* Vorwissen aktivieren / Gefahren der Baustelle </t>
  </si>
  <si>
    <t>* Evtl. Einteilung Gruppen / Themen Gerüste</t>
  </si>
  <si>
    <t>Sie kennen den Sinn der SI-Einheiten und können Einheiten umrechnen.</t>
  </si>
  <si>
    <t>* SI - Einheiten kennen und erklären können.</t>
  </si>
  <si>
    <t>* Einheiten umrechnen üben &amp; vertiefen.</t>
  </si>
  <si>
    <t>* Arbeit an Vorträgen / Grafiz</t>
  </si>
  <si>
    <t>1.Lektion</t>
  </si>
  <si>
    <t>2+3.Lektion</t>
  </si>
  <si>
    <t>Letzte Unsicherheiten IT / Probleme lösen</t>
  </si>
  <si>
    <t>Programm</t>
  </si>
  <si>
    <t>1. Schultag / ICT Kompetenzen</t>
  </si>
  <si>
    <t>ICT Kompetenz</t>
  </si>
  <si>
    <t>Abfälle trennen</t>
  </si>
  <si>
    <t>Leitern und Gerüste</t>
  </si>
  <si>
    <t>Werkzeuge und Maschinen unterhalten</t>
  </si>
  <si>
    <t>Abfälle trennen &amp; ents.</t>
  </si>
  <si>
    <t>Werkzeuge &amp; Maschinen</t>
  </si>
  <si>
    <t>* Gefahren und Unfälle auf dem Bau</t>
  </si>
  <si>
    <t>* Meine PSA - Bestandteile &amp; Einsatz</t>
  </si>
  <si>
    <t>• Sie beschreiben, bei welchen Situationen und Tätigkeiten die PSA getragen werden muss.</t>
  </si>
  <si>
    <t>* Sie erläutern die Gefahren und Risiken auf der Baustelle und in der Werkstatt</t>
  </si>
  <si>
    <t>* Sie können den Taschenrechner bedienen kennen die wichtigsten Funktionen.</t>
  </si>
  <si>
    <t>Auftrag 3</t>
  </si>
  <si>
    <t>* Grundlagen Elektrotechnik erarbeiten.</t>
  </si>
  <si>
    <t>* Spannung, Stromstärke und Leistung kennen.</t>
  </si>
  <si>
    <t>Auftrag 4</t>
  </si>
  <si>
    <t>* Sicherung und FI Schalter kennen und unterscheiden.</t>
  </si>
  <si>
    <t>* Vorträge halten und Fragen im Dossier beantworten.</t>
  </si>
  <si>
    <t>Donnerstag</t>
  </si>
  <si>
    <t>* Einheiten (Stufe 4-5) umrechnen üben &amp; vertiefen.</t>
  </si>
  <si>
    <t>*Quiz "Einheiten umrechnen" zum Einstieg"</t>
  </si>
  <si>
    <t>Prüfung Einheiten</t>
  </si>
  <si>
    <t>Auftrag 5</t>
  </si>
  <si>
    <t>* Kennen und verstehen des Meterrisses / Auftrag 5</t>
  </si>
  <si>
    <t>* Masse aus Plänen umrechnen lernen</t>
  </si>
  <si>
    <t xml:space="preserve">Sie rechnen Masse aus Plänen in Baumasse um. </t>
  </si>
  <si>
    <t>* Tabellarische Übersicht Elektrowerkzeuge erstellen</t>
  </si>
  <si>
    <t>• Sie benennen die gebräuchlichen Maschinen und Werkzeuge</t>
  </si>
  <si>
    <t>Bauablauf &amp; Gewerke</t>
  </si>
  <si>
    <t xml:space="preserve">* Einstieg mit Bauablauf &amp; Akteure </t>
  </si>
  <si>
    <t>* Film ein Gebäude entsteht</t>
  </si>
  <si>
    <t>* Einsteg mit Quiz / Höhenkoten / Meteriss</t>
  </si>
  <si>
    <t>* Zusatzübungen lösen aus LM Planbearbeitung</t>
  </si>
  <si>
    <t>* Tabellarische Übersicht Elektrowerkzeuge fertig stellen.</t>
  </si>
  <si>
    <t>Auftrag 6</t>
  </si>
  <si>
    <t>* Gefahrensymbole kenne lernen und selbstständig üben.</t>
  </si>
  <si>
    <t>* Übersicht erstellen / Gewerke, Personen und Schnittstellen</t>
  </si>
  <si>
    <t>Abschluss Einheiten und umrechnen</t>
  </si>
  <si>
    <t>* Aufzeichnen des Schulzimmers im Massstab 1:50</t>
  </si>
  <si>
    <t>* Als Abschluss Forms Umfrage lösen.</t>
  </si>
  <si>
    <t>Lernziele / Prüfung</t>
  </si>
  <si>
    <t>* Pläne lesen und verstehen</t>
  </si>
  <si>
    <t>Start mit Flächenberechnungen</t>
  </si>
  <si>
    <t>* Formeln kennen lernen und erste Beispiele rechnen</t>
  </si>
  <si>
    <t>• Sie berechnen den Platzbedarf (Fläche) von Apparaten</t>
  </si>
  <si>
    <t xml:space="preserve">   und Anlagen anhand von Planvorgaben.</t>
  </si>
  <si>
    <t>Prüfung 1.5 / Maschinen und Werkzeuge</t>
  </si>
  <si>
    <t>Einstieg mit Sinn und Zweck von Rapporten</t>
  </si>
  <si>
    <t>* Unterschiedliche Rapportarten</t>
  </si>
  <si>
    <t>* Schwerpunkt Regierapport</t>
  </si>
  <si>
    <t>Rapporte erstellen</t>
  </si>
  <si>
    <t>Auftrag 1 &amp; 2</t>
  </si>
  <si>
    <t>* Wichtige Zeichenmaterialien</t>
  </si>
  <si>
    <t>* Übungen Normschrift &amp; Linienarten</t>
  </si>
  <si>
    <t>* Erstellen eines Plankopfes / A4</t>
  </si>
  <si>
    <t>Grundlagen Fachzeichnen</t>
  </si>
  <si>
    <t>Erste Berechnungen gemeinsam lösen</t>
  </si>
  <si>
    <t>* Einstiegsbeispiele lösen</t>
  </si>
  <si>
    <t>* Übung 1 / 2 machen =&gt; besprechen</t>
  </si>
  <si>
    <t>* Gemeinsames Beispiel lösen / Rapport ausfüllen!</t>
  </si>
  <si>
    <t>* Repetition Rapporarten</t>
  </si>
  <si>
    <t>GL Fachzeichnen</t>
  </si>
  <si>
    <t>* Einstiegsbeispiele lösen / evtl. Start mit Übungen</t>
  </si>
  <si>
    <t>* Gemeinsame Beispiele lösen</t>
  </si>
  <si>
    <t>* Leistungsnachweis erstellen</t>
  </si>
  <si>
    <t>* Vermassung lernen &amp; ausführen</t>
  </si>
  <si>
    <t>* Übungen lösen</t>
  </si>
  <si>
    <t>Korrosion &amp; Bauschäden</t>
  </si>
  <si>
    <t>* Beispiele Flächenberechnungen lösen.</t>
  </si>
  <si>
    <t xml:space="preserve">* Gemeinsamer Einstieg mit Beispielen </t>
  </si>
  <si>
    <t>* Übungen &amp; Leistungsnachweis lösen</t>
  </si>
  <si>
    <t xml:space="preserve">• Sie beschreiben die Problematik der Korrosion bei Bauschäden. </t>
  </si>
  <si>
    <t xml:space="preserve">* Arten von Korrosion herleiten </t>
  </si>
  <si>
    <t>* Sauerstoffkorrosion betrachten inkl. Versuch</t>
  </si>
  <si>
    <t>* Körpersiometrie herleiten und erste Besipele lösen</t>
  </si>
  <si>
    <t>* Kontaktkorrosion kennen lernen</t>
  </si>
  <si>
    <t>* Erste Besipsiele behandelt</t>
  </si>
  <si>
    <t>* Übungen aus Auftrag</t>
  </si>
  <si>
    <t>* Körpersiometrie Aufgabe lösen</t>
  </si>
  <si>
    <t xml:space="preserve">* Korrosionsarten zuweisen </t>
  </si>
  <si>
    <t>* Leistungsnachweis *Geschäftsbrief"</t>
  </si>
  <si>
    <t>GL FZ</t>
  </si>
  <si>
    <t>Abfälle</t>
  </si>
  <si>
    <t>Bleche &amp; Verbind.</t>
  </si>
  <si>
    <t>Wasserversorgung</t>
  </si>
  <si>
    <t>•</t>
  </si>
  <si>
    <t>1.8 I Wasserversorg.</t>
  </si>
  <si>
    <t xml:space="preserve"> 1.8 I GL Bleche</t>
  </si>
  <si>
    <t>1.8 I 1.9</t>
  </si>
  <si>
    <t>Prüfung 1.1 / Flöchenberechnungen</t>
  </si>
  <si>
    <t>* Nächste Woche Prüfung</t>
  </si>
  <si>
    <t>* Start mit runden Flächen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</si>
</sst>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6.5"/>
      <color theme="1"/>
      <name val="Century Gothic"/>
      <family val="2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10"/>
      <name val="Century Gothic"/>
      <family val="2"/>
    </font>
    <font>
      <sz val="18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20"/>
      <color theme="1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entury Gothic"/>
      <family val="2"/>
    </font>
    <font>
      <b/>
      <i/>
      <sz val="10"/>
      <color rgb="FF00B050"/>
      <name val="Century Gothic"/>
      <family val="2"/>
    </font>
    <font>
      <i/>
      <sz val="10"/>
      <color rgb="FF00B050"/>
      <name val="Century Gothic"/>
      <family val="2"/>
    </font>
    <font>
      <b/>
      <sz val="6.5"/>
      <color theme="1"/>
      <name val="Century Gothic"/>
      <family val="2"/>
    </font>
    <font>
      <sz val="8"/>
      <color theme="1" tint="0.499984740745262"/>
      <name val="Calibri"/>
      <family val="2"/>
      <scheme val="minor"/>
    </font>
    <font>
      <sz val="8"/>
      <color theme="0" tint="-0.499984740745262"/>
      <name val="Century Gothic"/>
      <family val="2"/>
    </font>
    <font>
      <sz val="18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Arial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0" tint="-0.499984740745262"/>
      <name val="Century Gothic"/>
      <family val="2"/>
    </font>
    <font>
      <i/>
      <sz val="9"/>
      <color theme="0" tint="-0.499984740745262"/>
      <name val="Century Gothic"/>
      <family val="2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color theme="0" tint="-0.249977111117893"/>
      <name val="Century Gothic"/>
      <family val="2"/>
    </font>
    <font>
      <sz val="11"/>
      <color theme="0" tint="-0.249977111117893"/>
      <name val="Calibri"/>
      <family val="2"/>
      <scheme val="minor"/>
    </font>
    <font>
      <b/>
      <u/>
      <sz val="8"/>
      <color rgb="FF0070C0"/>
      <name val="Century Gothic"/>
      <family val="2"/>
    </font>
    <font>
      <b/>
      <sz val="9"/>
      <name val="Century Gothic"/>
      <family val="2"/>
    </font>
    <font>
      <b/>
      <sz val="9"/>
      <color theme="0" tint="-0.34998626667073579"/>
      <name val="Century Gothic"/>
      <family val="2"/>
    </font>
    <font>
      <sz val="11"/>
      <color theme="0" tint="-0.34998626667073579"/>
      <name val="Calibri"/>
      <family val="2"/>
      <scheme val="minor"/>
    </font>
    <font>
      <sz val="9"/>
      <color theme="0" tint="-0.34998626667073579"/>
      <name val="Century Gothic"/>
      <family val="2"/>
    </font>
    <font>
      <sz val="9"/>
      <name val="Century Gothic"/>
      <family val="2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auto="1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5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2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0" fillId="0" borderId="15" xfId="0" applyBorder="1"/>
    <xf numFmtId="0" fontId="0" fillId="0" borderId="20" xfId="0" applyBorder="1"/>
    <xf numFmtId="0" fontId="0" fillId="0" borderId="30" xfId="0" applyBorder="1"/>
    <xf numFmtId="0" fontId="0" fillId="0" borderId="22" xfId="0" applyBorder="1"/>
    <xf numFmtId="0" fontId="0" fillId="0" borderId="27" xfId="0" applyBorder="1"/>
    <xf numFmtId="0" fontId="0" fillId="0" borderId="24" xfId="0" applyBorder="1"/>
    <xf numFmtId="0" fontId="0" fillId="0" borderId="23" xfId="0" applyBorder="1"/>
    <xf numFmtId="0" fontId="0" fillId="0" borderId="19" xfId="0" applyBorder="1"/>
    <xf numFmtId="0" fontId="14" fillId="0" borderId="0" xfId="0" applyFont="1"/>
    <xf numFmtId="0" fontId="14" fillId="0" borderId="20" xfId="0" applyFont="1" applyBorder="1"/>
    <xf numFmtId="0" fontId="14" fillId="0" borderId="24" xfId="0" applyFont="1" applyBorder="1"/>
    <xf numFmtId="0" fontId="14" fillId="0" borderId="23" xfId="0" applyFont="1" applyBorder="1"/>
    <xf numFmtId="0" fontId="14" fillId="0" borderId="19" xfId="0" applyFont="1" applyBorder="1"/>
    <xf numFmtId="0" fontId="14" fillId="0" borderId="15" xfId="0" applyFont="1" applyBorder="1"/>
    <xf numFmtId="0" fontId="14" fillId="0" borderId="30" xfId="0" applyFont="1" applyBorder="1"/>
    <xf numFmtId="0" fontId="5" fillId="0" borderId="15" xfId="0" applyFont="1" applyBorder="1"/>
    <xf numFmtId="0" fontId="5" fillId="0" borderId="0" xfId="0" applyFont="1"/>
    <xf numFmtId="0" fontId="0" fillId="0" borderId="16" xfId="0" applyBorder="1"/>
    <xf numFmtId="0" fontId="14" fillId="0" borderId="16" xfId="0" applyFont="1" applyBorder="1"/>
    <xf numFmtId="0" fontId="0" fillId="0" borderId="31" xfId="0" applyBorder="1"/>
    <xf numFmtId="0" fontId="23" fillId="0" borderId="9" xfId="0" applyFont="1" applyBorder="1" applyAlignment="1">
      <alignment horizontal="center"/>
    </xf>
    <xf numFmtId="0" fontId="14" fillId="0" borderId="22" xfId="0" applyFont="1" applyBorder="1"/>
    <xf numFmtId="0" fontId="14" fillId="0" borderId="27" xfId="0" applyFont="1" applyBorder="1"/>
    <xf numFmtId="14" fontId="29" fillId="0" borderId="0" xfId="0" applyNumberFormat="1" applyFont="1"/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30" fillId="4" borderId="3" xfId="0" applyFont="1" applyFill="1" applyBorder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1" applyFill="1" applyBorder="1"/>
    <xf numFmtId="14" fontId="19" fillId="2" borderId="28" xfId="0" applyNumberFormat="1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7" fillId="4" borderId="9" xfId="0" applyFont="1" applyFill="1" applyBorder="1" applyAlignment="1">
      <alignment horizontal="left" vertical="center"/>
    </xf>
    <xf numFmtId="0" fontId="37" fillId="0" borderId="35" xfId="0" applyFont="1" applyBorder="1" applyAlignment="1">
      <alignment horizontal="left" vertical="center"/>
    </xf>
    <xf numFmtId="0" fontId="38" fillId="0" borderId="0" xfId="0" applyFont="1"/>
    <xf numFmtId="14" fontId="19" fillId="2" borderId="49" xfId="0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0" fontId="23" fillId="0" borderId="24" xfId="0" applyFont="1" applyBorder="1"/>
    <xf numFmtId="0" fontId="23" fillId="0" borderId="19" xfId="0" applyFont="1" applyBorder="1" applyAlignment="1">
      <alignment horizontal="center"/>
    </xf>
    <xf numFmtId="0" fontId="40" fillId="0" borderId="0" xfId="0" applyFont="1"/>
    <xf numFmtId="0" fontId="41" fillId="0" borderId="15" xfId="0" applyFont="1" applyBorder="1"/>
    <xf numFmtId="0" fontId="42" fillId="0" borderId="0" xfId="0" applyFont="1"/>
    <xf numFmtId="0" fontId="42" fillId="0" borderId="20" xfId="0" applyFont="1" applyBorder="1"/>
    <xf numFmtId="0" fontId="42" fillId="0" borderId="15" xfId="0" applyFont="1" applyBorder="1"/>
    <xf numFmtId="0" fontId="43" fillId="0" borderId="0" xfId="0" applyFont="1"/>
    <xf numFmtId="0" fontId="43" fillId="0" borderId="20" xfId="0" applyFont="1" applyBorder="1"/>
    <xf numFmtId="0" fontId="23" fillId="0" borderId="15" xfId="0" applyFont="1" applyBorder="1"/>
    <xf numFmtId="0" fontId="40" fillId="0" borderId="20" xfId="0" applyFont="1" applyBorder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20" xfId="0" applyFont="1" applyBorder="1"/>
    <xf numFmtId="0" fontId="14" fillId="8" borderId="29" xfId="0" applyFont="1" applyFill="1" applyBorder="1"/>
    <xf numFmtId="0" fontId="14" fillId="8" borderId="33" xfId="0" applyFont="1" applyFill="1" applyBorder="1"/>
    <xf numFmtId="14" fontId="19" fillId="2" borderId="39" xfId="0" applyNumberFormat="1" applyFont="1" applyFill="1" applyBorder="1" applyAlignment="1">
      <alignment horizontal="center" vertical="center"/>
    </xf>
    <xf numFmtId="0" fontId="14" fillId="8" borderId="32" xfId="0" applyFont="1" applyFill="1" applyBorder="1"/>
    <xf numFmtId="0" fontId="48" fillId="2" borderId="17" xfId="1" applyFont="1" applyFill="1" applyBorder="1" applyAlignment="1">
      <alignment horizontal="center" vertical="center"/>
    </xf>
    <xf numFmtId="0" fontId="48" fillId="2" borderId="26" xfId="1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2" xfId="0" applyFont="1" applyFill="1" applyBorder="1"/>
    <xf numFmtId="0" fontId="40" fillId="0" borderId="23" xfId="0" applyFont="1" applyBorder="1"/>
    <xf numFmtId="0" fontId="23" fillId="9" borderId="32" xfId="0" applyFont="1" applyFill="1" applyBorder="1"/>
    <xf numFmtId="0" fontId="29" fillId="9" borderId="29" xfId="0" applyFont="1" applyFill="1" applyBorder="1"/>
    <xf numFmtId="0" fontId="23" fillId="9" borderId="33" xfId="0" applyFont="1" applyFill="1" applyBorder="1"/>
    <xf numFmtId="0" fontId="49" fillId="0" borderId="16" xfId="0" applyFont="1" applyBorder="1" applyAlignment="1">
      <alignment horizontal="center"/>
    </xf>
    <xf numFmtId="0" fontId="50" fillId="0" borderId="15" xfId="0" applyFont="1" applyBorder="1"/>
    <xf numFmtId="0" fontId="51" fillId="0" borderId="0" xfId="0" applyFont="1"/>
    <xf numFmtId="0" fontId="52" fillId="0" borderId="15" xfId="0" applyFont="1" applyBorder="1"/>
    <xf numFmtId="0" fontId="29" fillId="0" borderId="23" xfId="0" applyFont="1" applyBorder="1"/>
    <xf numFmtId="0" fontId="23" fillId="0" borderId="19" xfId="0" applyFont="1" applyBorder="1"/>
    <xf numFmtId="0" fontId="49" fillId="0" borderId="20" xfId="0" applyFont="1" applyBorder="1" applyAlignment="1">
      <alignment horizontal="center"/>
    </xf>
    <xf numFmtId="0" fontId="54" fillId="0" borderId="24" xfId="0" applyFont="1" applyBorder="1"/>
    <xf numFmtId="0" fontId="53" fillId="0" borderId="23" xfId="0" applyFont="1" applyBorder="1"/>
    <xf numFmtId="0" fontId="53" fillId="0" borderId="19" xfId="0" applyFont="1" applyBorder="1"/>
    <xf numFmtId="0" fontId="49" fillId="0" borderId="15" xfId="0" applyFont="1" applyBorder="1"/>
    <xf numFmtId="0" fontId="54" fillId="0" borderId="20" xfId="0" applyFont="1" applyBorder="1"/>
    <xf numFmtId="0" fontId="53" fillId="0" borderId="15" xfId="0" applyFont="1" applyBorder="1"/>
    <xf numFmtId="0" fontId="53" fillId="0" borderId="20" xfId="0" applyFont="1" applyBorder="1"/>
    <xf numFmtId="0" fontId="54" fillId="0" borderId="22" xfId="0" applyFont="1" applyBorder="1"/>
    <xf numFmtId="0" fontId="54" fillId="0" borderId="27" xfId="0" applyFont="1" applyBorder="1"/>
    <xf numFmtId="0" fontId="54" fillId="0" borderId="0" xfId="0" applyFont="1"/>
    <xf numFmtId="0" fontId="53" fillId="0" borderId="0" xfId="0" applyFont="1"/>
    <xf numFmtId="0" fontId="54" fillId="0" borderId="30" xfId="0" applyFont="1" applyBorder="1"/>
    <xf numFmtId="14" fontId="19" fillId="10" borderId="3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14" fontId="19" fillId="10" borderId="31" xfId="0" applyNumberFormat="1" applyFont="1" applyFill="1" applyBorder="1" applyAlignment="1">
      <alignment horizontal="center"/>
    </xf>
    <xf numFmtId="0" fontId="19" fillId="2" borderId="53" xfId="0" applyFont="1" applyFill="1" applyBorder="1" applyAlignment="1">
      <alignment vertical="center"/>
    </xf>
    <xf numFmtId="14" fontId="19" fillId="2" borderId="49" xfId="0" applyNumberFormat="1" applyFont="1" applyFill="1" applyBorder="1" applyAlignment="1">
      <alignment horizontal="center"/>
    </xf>
    <xf numFmtId="14" fontId="19" fillId="2" borderId="26" xfId="0" applyNumberFormat="1" applyFont="1" applyFill="1" applyBorder="1" applyAlignment="1">
      <alignment horizontal="center"/>
    </xf>
    <xf numFmtId="0" fontId="12" fillId="2" borderId="24" xfId="0" applyFont="1" applyFill="1" applyBorder="1" applyAlignment="1">
      <alignment horizontal="left" vertical="center"/>
    </xf>
    <xf numFmtId="0" fontId="12" fillId="2" borderId="30" xfId="0" applyFont="1" applyFill="1" applyBorder="1" applyAlignment="1">
      <alignment horizontal="left" vertical="center"/>
    </xf>
    <xf numFmtId="0" fontId="23" fillId="4" borderId="33" xfId="0" applyFont="1" applyFill="1" applyBorder="1"/>
    <xf numFmtId="0" fontId="53" fillId="0" borderId="24" xfId="0" applyFont="1" applyBorder="1"/>
    <xf numFmtId="0" fontId="54" fillId="0" borderId="15" xfId="0" applyFont="1" applyBorder="1"/>
    <xf numFmtId="0" fontId="40" fillId="0" borderId="24" xfId="0" applyFont="1" applyBorder="1"/>
    <xf numFmtId="0" fontId="40" fillId="0" borderId="19" xfId="0" applyFont="1" applyBorder="1"/>
    <xf numFmtId="0" fontId="19" fillId="3" borderId="34" xfId="0" applyFont="1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19" fillId="7" borderId="34" xfId="0" applyFont="1" applyFill="1" applyBorder="1" applyAlignment="1">
      <alignment vertical="center"/>
    </xf>
    <xf numFmtId="0" fontId="0" fillId="7" borderId="50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0" borderId="46" xfId="0" applyBorder="1" applyAlignment="1">
      <alignment vertical="center"/>
    </xf>
    <xf numFmtId="0" fontId="0" fillId="7" borderId="18" xfId="0" applyFill="1" applyBorder="1" applyAlignment="1">
      <alignment vertical="center"/>
    </xf>
    <xf numFmtId="0" fontId="0" fillId="0" borderId="46" xfId="0" applyBorder="1"/>
    <xf numFmtId="0" fontId="19" fillId="2" borderId="34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0" borderId="50" xfId="0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14" fontId="19" fillId="10" borderId="0" xfId="0" applyNumberFormat="1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4" fontId="19" fillId="2" borderId="8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4" borderId="3" xfId="0" applyFont="1" applyFill="1" applyBorder="1" applyAlignment="1" applyProtection="1">
      <alignment horizontal="center" vertical="center"/>
      <protection locked="0" hidden="1"/>
    </xf>
    <xf numFmtId="0" fontId="22" fillId="4" borderId="3" xfId="0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49" fontId="35" fillId="2" borderId="13" xfId="0" applyNumberFormat="1" applyFont="1" applyFill="1" applyBorder="1" applyAlignment="1">
      <alignment horizontal="center"/>
    </xf>
    <xf numFmtId="49" fontId="35" fillId="2" borderId="22" xfId="0" applyNumberFormat="1" applyFont="1" applyFill="1" applyBorder="1" applyAlignment="1">
      <alignment horizontal="center"/>
    </xf>
    <xf numFmtId="49" fontId="35" fillId="2" borderId="14" xfId="0" applyNumberFormat="1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45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/>
    </xf>
    <xf numFmtId="0" fontId="39" fillId="2" borderId="12" xfId="0" applyFont="1" applyFill="1" applyBorder="1" applyAlignment="1">
      <alignment horizontal="center"/>
    </xf>
    <xf numFmtId="0" fontId="34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49" fontId="12" fillId="6" borderId="7" xfId="0" applyNumberFormat="1" applyFont="1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22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11" fillId="6" borderId="21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left" vertical="center"/>
    </xf>
    <xf numFmtId="0" fontId="0" fillId="2" borderId="51" xfId="0" applyFill="1" applyBorder="1" applyAlignment="1">
      <alignment horizontal="left"/>
    </xf>
    <xf numFmtId="0" fontId="0" fillId="2" borderId="52" xfId="0" applyFill="1" applyBorder="1" applyAlignment="1">
      <alignment horizontal="left"/>
    </xf>
    <xf numFmtId="0" fontId="5" fillId="2" borderId="23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9" fillId="2" borderId="15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9" fillId="0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2" borderId="4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left" vertical="center" wrapText="1"/>
    </xf>
    <xf numFmtId="0" fontId="11" fillId="3" borderId="2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left" vertical="center" wrapText="1"/>
    </xf>
    <xf numFmtId="0" fontId="11" fillId="7" borderId="23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2" fontId="33" fillId="7" borderId="21" xfId="0" applyNumberFormat="1" applyFont="1" applyFill="1" applyBorder="1" applyAlignment="1">
      <alignment horizontal="center" vertical="center" wrapText="1"/>
    </xf>
    <xf numFmtId="0" fontId="29" fillId="7" borderId="25" xfId="0" applyFont="1" applyFill="1" applyBorder="1" applyAlignment="1">
      <alignment horizontal="center" vertical="center" wrapText="1"/>
    </xf>
    <xf numFmtId="0" fontId="29" fillId="7" borderId="4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2" fontId="17" fillId="7" borderId="47" xfId="0" applyNumberFormat="1" applyFont="1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2" fontId="17" fillId="7" borderId="48" xfId="0" applyNumberFormat="1" applyFont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49" fontId="12" fillId="3" borderId="7" xfId="0" applyNumberFormat="1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 wrapText="1"/>
    </xf>
    <xf numFmtId="0" fontId="17" fillId="3" borderId="39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3" borderId="44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7" borderId="45" xfId="0" applyFont="1" applyFill="1" applyBorder="1" applyAlignment="1">
      <alignment vertical="center"/>
    </xf>
    <xf numFmtId="0" fontId="5" fillId="0" borderId="45" xfId="0" applyFont="1" applyBorder="1"/>
    <xf numFmtId="0" fontId="31" fillId="0" borderId="1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20" xfId="0" applyFont="1" applyBorder="1" applyAlignment="1">
      <alignment horizontal="center"/>
    </xf>
    <xf numFmtId="0" fontId="25" fillId="4" borderId="2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25" fillId="4" borderId="9" xfId="0" applyFont="1" applyFill="1" applyBorder="1" applyAlignment="1">
      <alignment horizontal="center" vertical="center"/>
    </xf>
    <xf numFmtId="0" fontId="25" fillId="4" borderId="31" xfId="0" applyFont="1" applyFill="1" applyBorder="1" applyAlignment="1">
      <alignment horizontal="center" vertical="center"/>
    </xf>
    <xf numFmtId="14" fontId="25" fillId="4" borderId="24" xfId="0" applyNumberFormat="1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25" fillId="4" borderId="24" xfId="0" applyFont="1" applyFill="1" applyBorder="1" applyAlignment="1">
      <alignment horizontal="left" vertical="center"/>
    </xf>
    <xf numFmtId="0" fontId="25" fillId="4" borderId="23" xfId="0" applyFont="1" applyFill="1" applyBorder="1" applyAlignment="1">
      <alignment horizontal="left" vertical="center"/>
    </xf>
    <xf numFmtId="0" fontId="25" fillId="4" borderId="30" xfId="0" applyFont="1" applyFill="1" applyBorder="1" applyAlignment="1">
      <alignment horizontal="left" vertical="center"/>
    </xf>
    <xf numFmtId="0" fontId="25" fillId="4" borderId="22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26" fillId="5" borderId="23" xfId="0" applyFont="1" applyFill="1" applyBorder="1" applyAlignment="1">
      <alignment horizontal="left" vertical="center"/>
    </xf>
    <xf numFmtId="0" fontId="26" fillId="5" borderId="19" xfId="0" applyFont="1" applyFill="1" applyBorder="1" applyAlignment="1">
      <alignment horizontal="left" vertical="center"/>
    </xf>
    <xf numFmtId="0" fontId="26" fillId="5" borderId="30" xfId="0" applyFont="1" applyFill="1" applyBorder="1" applyAlignment="1">
      <alignment horizontal="left" vertical="center"/>
    </xf>
    <xf numFmtId="0" fontId="26" fillId="5" borderId="22" xfId="0" applyFont="1" applyFill="1" applyBorder="1" applyAlignment="1">
      <alignment horizontal="left" vertical="center"/>
    </xf>
    <xf numFmtId="0" fontId="26" fillId="5" borderId="27" xfId="0" applyFont="1" applyFill="1" applyBorder="1" applyAlignment="1">
      <alignment horizontal="left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15" xfId="0" applyFont="1" applyFill="1" applyBorder="1" applyAlignment="1">
      <alignment horizontal="center" vertical="center" textRotation="90"/>
    </xf>
    <xf numFmtId="0" fontId="22" fillId="5" borderId="15" xfId="0" applyFont="1" applyFill="1" applyBorder="1" applyAlignment="1">
      <alignment horizontal="center" vertical="center" textRotation="90"/>
    </xf>
    <xf numFmtId="0" fontId="22" fillId="5" borderId="16" xfId="0" applyFont="1" applyFill="1" applyBorder="1" applyAlignment="1">
      <alignment horizontal="center" vertical="center" textRotation="90"/>
    </xf>
    <xf numFmtId="0" fontId="22" fillId="5" borderId="31" xfId="0" applyFont="1" applyFill="1" applyBorder="1"/>
    <xf numFmtId="0" fontId="27" fillId="4" borderId="24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3" fillId="4" borderId="32" xfId="0" applyFont="1" applyFill="1" applyBorder="1"/>
    <xf numFmtId="0" fontId="23" fillId="4" borderId="29" xfId="0" applyFont="1" applyFill="1" applyBorder="1"/>
    <xf numFmtId="0" fontId="23" fillId="4" borderId="33" xfId="0" applyFont="1" applyFill="1" applyBorder="1"/>
    <xf numFmtId="0" fontId="26" fillId="5" borderId="0" xfId="0" applyFont="1" applyFill="1" applyAlignment="1">
      <alignment horizontal="left" vertical="center"/>
    </xf>
    <xf numFmtId="0" fontId="24" fillId="5" borderId="9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5" fillId="5" borderId="24" xfId="0" applyFont="1" applyFill="1" applyBorder="1" applyAlignment="1">
      <alignment horizontal="center" vertical="center" textRotation="90"/>
    </xf>
    <xf numFmtId="0" fontId="22" fillId="5" borderId="31" xfId="0" applyFont="1" applyFill="1" applyBorder="1" applyAlignment="1">
      <alignment horizontal="center" vertical="center" textRotation="90"/>
    </xf>
    <xf numFmtId="0" fontId="12" fillId="2" borderId="24" xfId="0" applyFont="1" applyFill="1" applyBorder="1" applyAlignment="1">
      <alignment horizontal="left" vertical="center"/>
    </xf>
    <xf numFmtId="0" fontId="12" fillId="2" borderId="23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3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 textRotation="90"/>
    </xf>
    <xf numFmtId="0" fontId="22" fillId="2" borderId="15" xfId="0" applyFont="1" applyFill="1" applyBorder="1" applyAlignment="1">
      <alignment horizontal="center" vertical="center" textRotation="90"/>
    </xf>
    <xf numFmtId="0" fontId="22" fillId="2" borderId="16" xfId="0" applyFont="1" applyFill="1" applyBorder="1" applyAlignment="1">
      <alignment horizontal="center" vertical="center" textRotation="90"/>
    </xf>
    <xf numFmtId="0" fontId="22" fillId="2" borderId="31" xfId="0" applyFont="1" applyFill="1" applyBorder="1"/>
    <xf numFmtId="0" fontId="23" fillId="4" borderId="30" xfId="0" applyFont="1" applyFill="1" applyBorder="1"/>
    <xf numFmtId="0" fontId="23" fillId="4" borderId="22" xfId="0" applyFont="1" applyFill="1" applyBorder="1"/>
    <xf numFmtId="0" fontId="26" fillId="2" borderId="23" xfId="0" applyFont="1" applyFill="1" applyBorder="1" applyAlignment="1">
      <alignment horizontal="left" vertical="center"/>
    </xf>
    <xf numFmtId="0" fontId="26" fillId="2" borderId="19" xfId="0" applyFont="1" applyFill="1" applyBorder="1" applyAlignment="1">
      <alignment horizontal="left" vertical="center"/>
    </xf>
    <xf numFmtId="0" fontId="26" fillId="2" borderId="30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20" xfId="0" applyFont="1" applyFill="1" applyBorder="1" applyAlignment="1">
      <alignment horizontal="left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 textRotation="90"/>
    </xf>
    <xf numFmtId="0" fontId="22" fillId="2" borderId="31" xfId="0" applyFont="1" applyFill="1" applyBorder="1" applyAlignment="1">
      <alignment horizontal="center" vertical="center" textRotation="90"/>
    </xf>
    <xf numFmtId="0" fontId="22" fillId="2" borderId="16" xfId="0" applyFont="1" applyFill="1" applyBorder="1"/>
    <xf numFmtId="0" fontId="22" fillId="2" borderId="15" xfId="0" applyFont="1" applyFill="1" applyBorder="1"/>
    <xf numFmtId="0" fontId="0" fillId="0" borderId="15" xfId="0" applyBorder="1"/>
    <xf numFmtId="0" fontId="0" fillId="0" borderId="30" xfId="0" applyBorder="1"/>
    <xf numFmtId="0" fontId="12" fillId="2" borderId="22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23" fillId="4" borderId="27" xfId="0" applyFont="1" applyFill="1" applyBorder="1"/>
    <xf numFmtId="0" fontId="53" fillId="0" borderId="24" xfId="0" applyFont="1" applyBorder="1" applyAlignment="1">
      <alignment wrapText="1"/>
    </xf>
    <xf numFmtId="0" fontId="0" fillId="0" borderId="23" xfId="0" applyBorder="1"/>
    <xf numFmtId="0" fontId="0" fillId="0" borderId="19" xfId="0" applyBorder="1"/>
    <xf numFmtId="0" fontId="14" fillId="0" borderId="30" xfId="0" applyFont="1" applyBorder="1" applyAlignment="1">
      <alignment wrapText="1"/>
    </xf>
    <xf numFmtId="0" fontId="0" fillId="0" borderId="22" xfId="0" applyBorder="1"/>
    <xf numFmtId="0" fontId="0" fillId="0" borderId="27" xfId="0" applyBorder="1"/>
    <xf numFmtId="0" fontId="0" fillId="0" borderId="33" xfId="0" applyBorder="1"/>
    <xf numFmtId="0" fontId="12" fillId="3" borderId="24" xfId="0" applyFont="1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12" fillId="7" borderId="24" xfId="0" applyFont="1" applyFill="1" applyBorder="1" applyAlignment="1">
      <alignment horizontal="left" vertical="center"/>
    </xf>
    <xf numFmtId="0" fontId="0" fillId="7" borderId="1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7" borderId="27" xfId="0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55" fillId="0" borderId="31" xfId="0" applyFont="1" applyBorder="1" applyAlignment="1">
      <alignment horizontal="center" vertical="center"/>
    </xf>
    <xf numFmtId="0" fontId="37" fillId="4" borderId="24" xfId="0" applyFont="1" applyFill="1" applyBorder="1" applyAlignment="1">
      <alignment horizontal="left" vertical="center"/>
    </xf>
    <xf numFmtId="0" fontId="37" fillId="4" borderId="30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37" fillId="0" borderId="9" xfId="0" applyFont="1" applyBorder="1" applyAlignment="1">
      <alignment horizontal="left" vertical="center"/>
    </xf>
    <xf numFmtId="0" fontId="0" fillId="0" borderId="16" xfId="0" applyBorder="1"/>
    <xf numFmtId="0" fontId="0" fillId="0" borderId="31" xfId="0" applyBorder="1"/>
    <xf numFmtId="0" fontId="6" fillId="4" borderId="9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37" fillId="0" borderId="16" xfId="0" applyFont="1" applyBorder="1" applyAlignment="1">
      <alignment horizontal="left" vertical="center"/>
    </xf>
    <xf numFmtId="0" fontId="37" fillId="0" borderId="31" xfId="0" applyFont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36" fillId="2" borderId="24" xfId="0" applyFont="1" applyFill="1" applyBorder="1" applyAlignment="1">
      <alignment horizontal="left" vertical="center"/>
    </xf>
    <xf numFmtId="0" fontId="36" fillId="2" borderId="23" xfId="0" applyFont="1" applyFill="1" applyBorder="1" applyAlignment="1">
      <alignment horizontal="left" vertical="center"/>
    </xf>
    <xf numFmtId="0" fontId="0" fillId="2" borderId="23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36" fillId="2" borderId="30" xfId="0" applyFont="1" applyFill="1" applyBorder="1" applyAlignment="1">
      <alignment horizontal="left" vertical="center"/>
    </xf>
    <xf numFmtId="0" fontId="36" fillId="2" borderId="22" xfId="0" applyFont="1" applyFill="1" applyBorder="1" applyAlignment="1">
      <alignment horizontal="left" vertical="center"/>
    </xf>
    <xf numFmtId="0" fontId="0" fillId="2" borderId="22" xfId="0" applyFill="1" applyBorder="1" applyAlignment="1">
      <alignment vertical="center"/>
    </xf>
    <xf numFmtId="0" fontId="0" fillId="2" borderId="27" xfId="0" applyFill="1" applyBorder="1" applyAlignment="1">
      <alignment vertical="center"/>
    </xf>
  </cellXfs>
  <cellStyles count="2">
    <cellStyle name="Link" xfId="1" builtinId="8"/>
    <cellStyle name="Standard" xfId="0" builtinId="0"/>
  </cellStyles>
  <dxfs count="1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FFFF99"/>
      <color rgb="FF99CC00"/>
      <color rgb="FFEAEAEA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1_Datenbank/1_Auftraege/1.1_EBA_Auftrag.pdf" TargetMode="External"/><Relationship Id="rId3" Type="http://schemas.openxmlformats.org/officeDocument/2006/relationships/hyperlink" Target="https://sanitaerlernen.ch/1_Datenbank/1_Auftraege/1.6_EBA_Auftrag.pdf" TargetMode="External"/><Relationship Id="rId7" Type="http://schemas.openxmlformats.org/officeDocument/2006/relationships/hyperlink" Target="https://sanitaerlernen.ch/1_Datenbank/1_Auftraege/1.5_EBA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1.Semester/1.12_Auftrag.pdf" TargetMode="External"/><Relationship Id="rId6" Type="http://schemas.openxmlformats.org/officeDocument/2006/relationships/hyperlink" Target="https://sanitaerlernen.ch/1_Datenbank/1_Auftraege/1.4_EBA_Auftrag.pdf" TargetMode="External"/><Relationship Id="rId5" Type="http://schemas.openxmlformats.org/officeDocument/2006/relationships/hyperlink" Target="https://sanitaerlernen.ch/1_Datenbank/1_Auftraege/1.3_EBA_Auftrag.pdf" TargetMode="External"/><Relationship Id="rId10" Type="http://schemas.openxmlformats.org/officeDocument/2006/relationships/hyperlink" Target="https://sanitaerlernen.ch/1_Datenbank/1_Auftraege/1.7_EBA_Auftrag.pdf" TargetMode="External"/><Relationship Id="rId4" Type="http://schemas.openxmlformats.org/officeDocument/2006/relationships/hyperlink" Target="https://sanitaerlernen.ch/1_Datenbank/1_Auftraege/1.2_EBA_Auftrag.pdf" TargetMode="External"/><Relationship Id="rId9" Type="http://schemas.openxmlformats.org/officeDocument/2006/relationships/hyperlink" Target="https://sanitaerlernen.ch/1_Datenbank/1_Auftraege/1.9_EBA_Auftrag.pd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bldsg-my.sharepoint.com/:v:/g/personal/marcel_item_gbssg_ch/EQhwPtMsrR5FnU5nhrBlvJwBSGgdaa9Lb0Hv7aLT_uMYOg?e=CGRVKK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2MS4GJRaLas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2MS4GJRaLas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1_Datenbank/4_Lernziele/Lernziele_1.5.pdf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2MS4GJRaLas" TargetMode="External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1_Datenbank/4_Lernziele/Lernziele_1.1_2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4</xdr:row>
      <xdr:rowOff>47625</xdr:rowOff>
    </xdr:from>
    <xdr:to>
      <xdr:col>11</xdr:col>
      <xdr:colOff>325755</xdr:colOff>
      <xdr:row>5</xdr:row>
      <xdr:rowOff>133350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025FA-AAB9-4CD4-BB6F-472348FD0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7448550"/>
          <a:ext cx="316230" cy="3333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4</xdr:row>
      <xdr:rowOff>66676</xdr:rowOff>
    </xdr:from>
    <xdr:to>
      <xdr:col>8</xdr:col>
      <xdr:colOff>342901</xdr:colOff>
      <xdr:row>5</xdr:row>
      <xdr:rowOff>135256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DB982D-C97F-4E47-97CF-921833345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16230"/>
        </a:xfrm>
        <a:prstGeom prst="rect">
          <a:avLst/>
        </a:prstGeom>
      </xdr:spPr>
    </xdr:pic>
    <xdr:clientData/>
  </xdr:twoCellAnchor>
  <xdr:twoCellAnchor editAs="oneCell">
    <xdr:from>
      <xdr:col>6</xdr:col>
      <xdr:colOff>22664</xdr:colOff>
      <xdr:row>4</xdr:row>
      <xdr:rowOff>57151</xdr:rowOff>
    </xdr:from>
    <xdr:to>
      <xdr:col>6</xdr:col>
      <xdr:colOff>350324</xdr:colOff>
      <xdr:row>5</xdr:row>
      <xdr:rowOff>125731</xdr:rowOff>
    </xdr:to>
    <xdr:pic>
      <xdr:nvPicPr>
        <xdr:cNvPr id="8" name="Grafik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8C60F9-5157-41FD-8BCF-527EDADEF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889" y="771526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4</xdr:col>
      <xdr:colOff>52416</xdr:colOff>
      <xdr:row>13</xdr:row>
      <xdr:rowOff>76201</xdr:rowOff>
    </xdr:from>
    <xdr:to>
      <xdr:col>4</xdr:col>
      <xdr:colOff>380076</xdr:colOff>
      <xdr:row>14</xdr:row>
      <xdr:rowOff>144781</xdr:rowOff>
    </xdr:to>
    <xdr:pic>
      <xdr:nvPicPr>
        <xdr:cNvPr id="9" name="Grafik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5FA8D3-5138-46B6-9488-1B052C74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882" y="2997914"/>
          <a:ext cx="327660" cy="314732"/>
        </a:xfrm>
        <a:prstGeom prst="rect">
          <a:avLst/>
        </a:prstGeom>
      </xdr:spPr>
    </xdr:pic>
    <xdr:clientData/>
  </xdr:twoCellAnchor>
  <xdr:twoCellAnchor editAs="oneCell">
    <xdr:from>
      <xdr:col>6</xdr:col>
      <xdr:colOff>32189</xdr:colOff>
      <xdr:row>13</xdr:row>
      <xdr:rowOff>66676</xdr:rowOff>
    </xdr:from>
    <xdr:to>
      <xdr:col>6</xdr:col>
      <xdr:colOff>359849</xdr:colOff>
      <xdr:row>14</xdr:row>
      <xdr:rowOff>135256</xdr:rowOff>
    </xdr:to>
    <xdr:pic>
      <xdr:nvPicPr>
        <xdr:cNvPr id="10" name="Grafik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C833DD-63CE-41F7-89B3-43F5C8340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1714" y="78105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8</xdr:col>
      <xdr:colOff>32189</xdr:colOff>
      <xdr:row>13</xdr:row>
      <xdr:rowOff>47626</xdr:rowOff>
    </xdr:from>
    <xdr:to>
      <xdr:col>8</xdr:col>
      <xdr:colOff>359849</xdr:colOff>
      <xdr:row>14</xdr:row>
      <xdr:rowOff>116206</xdr:rowOff>
    </xdr:to>
    <xdr:pic>
      <xdr:nvPicPr>
        <xdr:cNvPr id="11" name="Grafik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C5F413-0F97-4AE3-9B10-F1F9582B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864" y="76200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76200</xdr:rowOff>
    </xdr:from>
    <xdr:to>
      <xdr:col>4</xdr:col>
      <xdr:colOff>356235</xdr:colOff>
      <xdr:row>5</xdr:row>
      <xdr:rowOff>151130</xdr:rowOff>
    </xdr:to>
    <xdr:pic>
      <xdr:nvPicPr>
        <xdr:cNvPr id="13" name="Grafik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089951-A44C-4946-947F-EEB00172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790575"/>
          <a:ext cx="327660" cy="322580"/>
        </a:xfrm>
        <a:prstGeom prst="rect">
          <a:avLst/>
        </a:prstGeom>
      </xdr:spPr>
    </xdr:pic>
    <xdr:clientData/>
  </xdr:twoCellAnchor>
  <xdr:twoCellAnchor editAs="oneCell">
    <xdr:from>
      <xdr:col>4</xdr:col>
      <xdr:colOff>41714</xdr:colOff>
      <xdr:row>31</xdr:row>
      <xdr:rowOff>47626</xdr:rowOff>
    </xdr:from>
    <xdr:to>
      <xdr:col>4</xdr:col>
      <xdr:colOff>369374</xdr:colOff>
      <xdr:row>32</xdr:row>
      <xdr:rowOff>116206</xdr:rowOff>
    </xdr:to>
    <xdr:pic>
      <xdr:nvPicPr>
        <xdr:cNvPr id="14" name="Grafik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4D1B3D-8207-46E6-B39C-DBD0B2306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789" y="744855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4</xdr:col>
      <xdr:colOff>41714</xdr:colOff>
      <xdr:row>22</xdr:row>
      <xdr:rowOff>66676</xdr:rowOff>
    </xdr:from>
    <xdr:to>
      <xdr:col>4</xdr:col>
      <xdr:colOff>369374</xdr:colOff>
      <xdr:row>23</xdr:row>
      <xdr:rowOff>135256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E5F81E36-1BF1-43C7-A60F-BF40C39C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789" y="523875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10</xdr:col>
      <xdr:colOff>32189</xdr:colOff>
      <xdr:row>13</xdr:row>
      <xdr:rowOff>57151</xdr:rowOff>
    </xdr:from>
    <xdr:to>
      <xdr:col>10</xdr:col>
      <xdr:colOff>359849</xdr:colOff>
      <xdr:row>14</xdr:row>
      <xdr:rowOff>125731</xdr:rowOff>
    </xdr:to>
    <xdr:pic>
      <xdr:nvPicPr>
        <xdr:cNvPr id="3" name="Grafik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7C0E1B1-6B23-4E60-8C4B-4B2C1D47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1714" y="3000376"/>
          <a:ext cx="327660" cy="316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397406</xdr:colOff>
      <xdr:row>5</xdr:row>
      <xdr:rowOff>35456</xdr:rowOff>
    </xdr:from>
    <xdr:ext cx="353287" cy="343762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982C4F-C6A6-4241-83DB-E41D72E6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2306" y="987956"/>
          <a:ext cx="353287" cy="34376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5</xdr:row>
      <xdr:rowOff>57150</xdr:rowOff>
    </xdr:from>
    <xdr:to>
      <xdr:col>6</xdr:col>
      <xdr:colOff>734287</xdr:colOff>
      <xdr:row>7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390A5-DB31-46AA-ADEB-22933CC8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1009650"/>
          <a:ext cx="353287" cy="343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5</xdr:row>
      <xdr:rowOff>57150</xdr:rowOff>
    </xdr:from>
    <xdr:to>
      <xdr:col>6</xdr:col>
      <xdr:colOff>734287</xdr:colOff>
      <xdr:row>7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5B291-3177-4D4E-AD83-8C9186C4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1009650"/>
          <a:ext cx="353287" cy="343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5</xdr:row>
      <xdr:rowOff>57150</xdr:rowOff>
    </xdr:from>
    <xdr:to>
      <xdr:col>6</xdr:col>
      <xdr:colOff>734287</xdr:colOff>
      <xdr:row>7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EEE1D-4E6F-46DC-8FBC-E2BADC83D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1009650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18</xdr:row>
      <xdr:rowOff>47625</xdr:rowOff>
    </xdr:from>
    <xdr:to>
      <xdr:col>6</xdr:col>
      <xdr:colOff>756818</xdr:colOff>
      <xdr:row>19</xdr:row>
      <xdr:rowOff>149051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1EE488-13CE-486C-BE30-7E7F78D1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3505200"/>
          <a:ext cx="328193" cy="3014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7</xdr:row>
      <xdr:rowOff>47625</xdr:rowOff>
    </xdr:from>
    <xdr:to>
      <xdr:col>6</xdr:col>
      <xdr:colOff>756818</xdr:colOff>
      <xdr:row>8</xdr:row>
      <xdr:rowOff>158576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B9A8F-858B-4533-B65C-B553E86E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3505200"/>
          <a:ext cx="328193" cy="301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b:/g/personal/marcel_item_gbssg_ch/ETBpcYxRoSxKiKENQoxw3j0BM_p73B4kwSDV1csHA3KdPA?e=Qm2jTs" TargetMode="External"/><Relationship Id="rId13" Type="http://schemas.openxmlformats.org/officeDocument/2006/relationships/hyperlink" Target="../../../../../:b:/g/personal/marcel_item_gbssg_ch/EddQ_wFogtJJtCfyrh-2e8oBMbnxKXA6I4pzk7BM7YsBvQ?e=XHiGdh" TargetMode="External"/><Relationship Id="rId3" Type="http://schemas.openxmlformats.org/officeDocument/2006/relationships/hyperlink" Target="../../../../../:b:/g/personal/marcel_item_gbssg_ch/EWsZdgJtNRdGnPs6cvnRVN4BX5e-gENZ-eUYGX0TxGhVEA?e=9HyLdG" TargetMode="External"/><Relationship Id="rId7" Type="http://schemas.openxmlformats.org/officeDocument/2006/relationships/hyperlink" Target="../../../../../:b:/g/personal/marcel_item_gbssg_ch/ER5wfYEp9CFLhenwXxiBBCkB_MfPV8G-VLFfNBadVLbOQQ?e=UiZwC3" TargetMode="External"/><Relationship Id="rId12" Type="http://schemas.openxmlformats.org/officeDocument/2006/relationships/hyperlink" Target="../../../../../:b:/g/personal/marcel_item_gbssg_ch/ETdhYzHRMOtJnN_9H3ZL1PABWduUPFJjve8_B7IcWbEYwg?e=8dWedg" TargetMode="External"/><Relationship Id="rId2" Type="http://schemas.openxmlformats.org/officeDocument/2006/relationships/hyperlink" Target="../../../../../:b:/g/personal/marcel_item_gbssg_ch/Ebfv0jPM-pBHvFoAS7Lff18BXe3RHHbsIgmoKaYASuXfiQ?e=Amjpp9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../../../../../:b:/g/personal/marcel_item_gbssg_ch/EUPAkpesblpFizRGulD9Ec0Bd6maYuTmI0VPDqVbVuTJHA?e=zurxeg" TargetMode="External"/><Relationship Id="rId6" Type="http://schemas.openxmlformats.org/officeDocument/2006/relationships/hyperlink" Target="../../../../../:b:/g/personal/marcel_item_gbssg_ch/EWCkYQpFOThMrZfAVgAEoSUBx-SkDrmM8QSUobxEnhPgNQ?e=ipJmK0" TargetMode="External"/><Relationship Id="rId11" Type="http://schemas.openxmlformats.org/officeDocument/2006/relationships/hyperlink" Target="../../../../../:b:/g/personal/marcel_item_gbssg_ch/EXBnQYDLBalAqkoDhWJNqqcB3kSMEpZXRyijtSJfXu94Zw?e=7eVZ6b" TargetMode="External"/><Relationship Id="rId5" Type="http://schemas.openxmlformats.org/officeDocument/2006/relationships/hyperlink" Target="../../../../../:b:/g/personal/marcel_item_gbssg_ch/Ee5gH5BrxgRFqKkXnnQUShcBpb5YcJuFfp4jWAOVCmdRLQ?e=laoIUd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../../../../../:b:/g/personal/marcel_item_gbssg_ch/EaW59FvUbJFAnHXyjEbSapkBTI_m0vdxGeDNLxRxcRDc7A?e=Rkk2MJ" TargetMode="External"/><Relationship Id="rId4" Type="http://schemas.openxmlformats.org/officeDocument/2006/relationships/hyperlink" Target="../../../../../:b:/g/personal/marcel_item_gbssg_ch/EQBlF8sBYNpOpzmSY3zMThUBOxZksIKCipmRBd6byqbCQw?e=8VKNgw" TargetMode="External"/><Relationship Id="rId9" Type="http://schemas.openxmlformats.org/officeDocument/2006/relationships/hyperlink" Target="../../../../../:b:/g/personal/marcel_item_gbssg_ch/Ec9QZGByYl5Pq6R4OVVmLxsB2usY8VRbcvNROTAE9srwaw?e=CEJJNg" TargetMode="External"/><Relationship Id="rId14" Type="http://schemas.openxmlformats.org/officeDocument/2006/relationships/hyperlink" Target="../../../../../:b:/g/personal/marcel_item_gbssg_ch/EddQ_wFogtJJtCfyrh-2e8oBMbnxKXA6I4pzk7BM7YsBvQ?e=XHiGd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W44"/>
  <sheetViews>
    <sheetView tabSelected="1" showWhiteSpace="0" view="pageLayout" zoomScaleNormal="100" workbookViewId="0">
      <selection activeCell="T29" sqref="T28:U29"/>
    </sheetView>
  </sheetViews>
  <sheetFormatPr baseColWidth="10" defaultColWidth="11.42578125" defaultRowHeight="15" customHeight="1" x14ac:dyDescent="0.3"/>
  <cols>
    <col min="1" max="1" width="2" style="1" customWidth="1"/>
    <col min="2" max="4" width="7.42578125" style="1" customWidth="1"/>
    <col min="5" max="13" width="13" style="1" customWidth="1"/>
    <col min="14" max="14" width="2" style="1" customWidth="1"/>
    <col min="15" max="16" width="8.85546875" style="1" customWidth="1"/>
    <col min="17" max="17" width="8.85546875" style="11" customWidth="1"/>
    <col min="18" max="21" width="8.85546875" style="1" customWidth="1"/>
    <col min="22" max="16384" width="11.42578125" style="1"/>
  </cols>
  <sheetData>
    <row r="1" spans="1:21" ht="28.35" customHeight="1" thickBot="1" x14ac:dyDescent="0.35">
      <c r="B1" s="15" t="s">
        <v>29</v>
      </c>
      <c r="C1" s="16"/>
      <c r="D1" s="16"/>
      <c r="E1" s="16"/>
      <c r="F1" s="16"/>
      <c r="G1" s="16"/>
      <c r="H1" s="16"/>
      <c r="I1" s="17" t="s">
        <v>0</v>
      </c>
      <c r="J1" s="18">
        <v>45516</v>
      </c>
      <c r="K1" s="17" t="s">
        <v>1</v>
      </c>
      <c r="L1" s="19" t="s">
        <v>129</v>
      </c>
      <c r="M1" s="19"/>
      <c r="N1" s="19"/>
      <c r="O1" s="16"/>
      <c r="P1" s="16"/>
      <c r="Q1" s="187" t="s">
        <v>42</v>
      </c>
      <c r="R1" s="188"/>
      <c r="S1" s="188"/>
      <c r="T1" s="188"/>
      <c r="U1" s="189"/>
    </row>
    <row r="2" spans="1:21" ht="5.0999999999999996" customHeight="1" thickBot="1" x14ac:dyDescent="0.35">
      <c r="C2" s="5"/>
      <c r="D2"/>
      <c r="E2"/>
      <c r="F2"/>
      <c r="G2"/>
      <c r="H2" s="10"/>
      <c r="I2" s="10"/>
      <c r="J2" s="10"/>
      <c r="K2" s="10"/>
    </row>
    <row r="3" spans="1:21" ht="19.5" customHeight="1" thickBot="1" x14ac:dyDescent="0.35">
      <c r="B3" s="209" t="s">
        <v>2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1"/>
      <c r="N3"/>
      <c r="O3" s="85" t="s">
        <v>3</v>
      </c>
      <c r="P3" s="86"/>
      <c r="Q3" s="87"/>
      <c r="R3" s="88"/>
      <c r="S3" s="89"/>
      <c r="T3" s="89"/>
      <c r="U3" s="90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3"/>
      <c r="R4" s="8"/>
      <c r="S4" s="8"/>
      <c r="T4" s="7"/>
    </row>
    <row r="5" spans="1:21" ht="20.100000000000001" customHeight="1" x14ac:dyDescent="0.3">
      <c r="B5" s="212" t="s">
        <v>92</v>
      </c>
      <c r="C5" s="213"/>
      <c r="D5" s="214"/>
      <c r="E5" s="190" t="s">
        <v>34</v>
      </c>
      <c r="F5" s="192"/>
      <c r="G5" s="190" t="s">
        <v>39</v>
      </c>
      <c r="H5" s="191"/>
      <c r="I5" s="190" t="s">
        <v>41</v>
      </c>
      <c r="J5" s="191"/>
      <c r="K5" s="192"/>
      <c r="L5" s="201" t="s">
        <v>47</v>
      </c>
      <c r="M5" s="202"/>
      <c r="O5" s="55">
        <f>J1+3</f>
        <v>45519</v>
      </c>
      <c r="P5" s="228" t="s">
        <v>47</v>
      </c>
      <c r="Q5" s="229"/>
      <c r="R5" s="229"/>
      <c r="S5" s="229"/>
      <c r="T5" s="229"/>
      <c r="U5" s="230"/>
    </row>
    <row r="6" spans="1:21" ht="20.100000000000001" customHeight="1" thickBot="1" x14ac:dyDescent="0.35">
      <c r="B6" s="215"/>
      <c r="C6" s="216"/>
      <c r="D6" s="217"/>
      <c r="E6" s="199" t="s">
        <v>36</v>
      </c>
      <c r="F6" s="227"/>
      <c r="G6" s="199" t="s">
        <v>31</v>
      </c>
      <c r="H6" s="200"/>
      <c r="I6" s="193" t="s">
        <v>76</v>
      </c>
      <c r="J6" s="194"/>
      <c r="K6" s="195"/>
      <c r="L6" s="199" t="s">
        <v>48</v>
      </c>
      <c r="M6" s="203"/>
      <c r="O6" s="82" t="s">
        <v>110</v>
      </c>
      <c r="P6" s="231" t="s">
        <v>111</v>
      </c>
      <c r="Q6" s="231"/>
      <c r="R6" s="231"/>
      <c r="S6" s="231"/>
      <c r="T6" s="232"/>
      <c r="U6" s="233"/>
    </row>
    <row r="7" spans="1:21" ht="20.100000000000001" customHeight="1" x14ac:dyDescent="0.3">
      <c r="B7" s="218" t="s">
        <v>33</v>
      </c>
      <c r="C7" s="219"/>
      <c r="D7" s="220"/>
      <c r="E7" s="168" t="s">
        <v>58</v>
      </c>
      <c r="F7" s="171" t="s">
        <v>59</v>
      </c>
      <c r="G7" s="162" t="s">
        <v>60</v>
      </c>
      <c r="H7" s="163"/>
      <c r="I7" s="168" t="s">
        <v>50</v>
      </c>
      <c r="J7" s="196" t="s">
        <v>51</v>
      </c>
      <c r="K7" s="171" t="s">
        <v>52</v>
      </c>
      <c r="L7" s="162" t="s">
        <v>49</v>
      </c>
      <c r="M7" s="204"/>
      <c r="O7" s="55">
        <f>O5+7</f>
        <v>45526</v>
      </c>
      <c r="P7" s="137" t="s">
        <v>47</v>
      </c>
      <c r="Q7" s="143"/>
      <c r="R7" s="137" t="s">
        <v>34</v>
      </c>
      <c r="S7" s="143"/>
      <c r="T7" s="137" t="s">
        <v>38</v>
      </c>
      <c r="U7" s="138"/>
    </row>
    <row r="8" spans="1:21" ht="20.100000000000001" customHeight="1" thickBot="1" x14ac:dyDescent="0.35">
      <c r="B8" s="221"/>
      <c r="C8" s="222"/>
      <c r="D8" s="223"/>
      <c r="E8" s="169"/>
      <c r="F8" s="172"/>
      <c r="G8" s="164"/>
      <c r="H8" s="165"/>
      <c r="I8" s="169"/>
      <c r="J8" s="197"/>
      <c r="K8" s="172"/>
      <c r="L8" s="205"/>
      <c r="M8" s="206"/>
      <c r="O8" s="83" t="s">
        <v>110</v>
      </c>
      <c r="P8" s="144" t="s">
        <v>112</v>
      </c>
      <c r="Q8" s="134"/>
      <c r="R8" s="144" t="s">
        <v>116</v>
      </c>
      <c r="S8" s="134"/>
      <c r="T8" s="144" t="s">
        <v>114</v>
      </c>
      <c r="U8" s="147"/>
    </row>
    <row r="9" spans="1:21" ht="20.100000000000001" customHeight="1" x14ac:dyDescent="0.3">
      <c r="B9" s="221"/>
      <c r="C9" s="222"/>
      <c r="D9" s="223"/>
      <c r="E9" s="238"/>
      <c r="F9" s="239"/>
      <c r="G9" s="166"/>
      <c r="H9" s="167"/>
      <c r="I9" s="169"/>
      <c r="J9" s="197"/>
      <c r="K9" s="172"/>
      <c r="L9" s="205"/>
      <c r="M9" s="206"/>
      <c r="O9" s="80">
        <f>O7+7</f>
        <v>45533</v>
      </c>
      <c r="P9" s="234" t="s">
        <v>34</v>
      </c>
      <c r="Q9" s="235"/>
      <c r="R9" s="234" t="s">
        <v>40</v>
      </c>
      <c r="S9" s="140"/>
      <c r="T9" s="234" t="s">
        <v>38</v>
      </c>
      <c r="U9" s="141"/>
    </row>
    <row r="10" spans="1:21" ht="20.100000000000001" customHeight="1" thickBot="1" x14ac:dyDescent="0.35">
      <c r="A10" s="6"/>
      <c r="B10" s="221"/>
      <c r="C10" s="222"/>
      <c r="D10" s="223"/>
      <c r="E10" s="168" t="s">
        <v>55</v>
      </c>
      <c r="F10" s="171" t="s">
        <v>56</v>
      </c>
      <c r="G10" s="168" t="s">
        <v>61</v>
      </c>
      <c r="H10" s="171" t="s">
        <v>62</v>
      </c>
      <c r="I10" s="169"/>
      <c r="J10" s="197"/>
      <c r="K10" s="172"/>
      <c r="L10" s="205"/>
      <c r="M10" s="206"/>
      <c r="O10" s="83" t="s">
        <v>110</v>
      </c>
      <c r="P10" s="144" t="s">
        <v>113</v>
      </c>
      <c r="Q10" s="134"/>
      <c r="R10" s="144" t="s">
        <v>117</v>
      </c>
      <c r="S10" s="134"/>
      <c r="T10" s="144" t="s">
        <v>114</v>
      </c>
      <c r="U10" s="147"/>
    </row>
    <row r="11" spans="1:21" ht="20.100000000000001" customHeight="1" x14ac:dyDescent="0.3">
      <c r="A11" s="6"/>
      <c r="B11" s="221"/>
      <c r="C11" s="222"/>
      <c r="D11" s="223"/>
      <c r="E11" s="169"/>
      <c r="F11" s="172"/>
      <c r="G11" s="169"/>
      <c r="H11" s="172"/>
      <c r="I11" s="169"/>
      <c r="J11" s="197"/>
      <c r="K11" s="172"/>
      <c r="L11" s="205"/>
      <c r="M11" s="206"/>
      <c r="O11" s="55">
        <f>O9+7</f>
        <v>45540</v>
      </c>
      <c r="P11" s="137" t="s">
        <v>34</v>
      </c>
      <c r="Q11" s="142"/>
      <c r="R11" s="137" t="s">
        <v>40</v>
      </c>
      <c r="S11" s="143"/>
      <c r="T11" s="137" t="s">
        <v>38</v>
      </c>
      <c r="U11" s="138"/>
    </row>
    <row r="12" spans="1:21" ht="20.100000000000001" customHeight="1" thickBot="1" x14ac:dyDescent="0.35">
      <c r="B12" s="224"/>
      <c r="C12" s="225"/>
      <c r="D12" s="226"/>
      <c r="E12" s="170"/>
      <c r="F12" s="173"/>
      <c r="G12" s="170"/>
      <c r="H12" s="173"/>
      <c r="I12" s="170"/>
      <c r="J12" s="198"/>
      <c r="K12" s="173"/>
      <c r="L12" s="207"/>
      <c r="M12" s="208"/>
      <c r="O12" s="83" t="s">
        <v>110</v>
      </c>
      <c r="P12" s="144" t="s">
        <v>113</v>
      </c>
      <c r="Q12" s="134"/>
      <c r="R12" s="144" t="s">
        <v>117</v>
      </c>
      <c r="S12" s="134"/>
      <c r="T12" s="144" t="s">
        <v>114</v>
      </c>
      <c r="U12" s="147"/>
    </row>
    <row r="13" spans="1:21" ht="19.5" customHeight="1" thickBot="1" x14ac:dyDescent="0.35">
      <c r="C13" s="3"/>
      <c r="D13" s="4"/>
      <c r="E13" s="236"/>
      <c r="F13" s="236"/>
      <c r="G13" s="236"/>
      <c r="H13" s="237"/>
      <c r="I13" s="237"/>
      <c r="J13" s="12"/>
      <c r="K13" s="13"/>
      <c r="O13" s="55">
        <f>O11+7</f>
        <v>45547</v>
      </c>
      <c r="P13" s="137" t="s">
        <v>34</v>
      </c>
      <c r="Q13" s="142"/>
      <c r="R13" s="137" t="s">
        <v>40</v>
      </c>
      <c r="S13" s="143"/>
      <c r="T13" s="137" t="s">
        <v>39</v>
      </c>
      <c r="U13" s="138"/>
    </row>
    <row r="14" spans="1:21" ht="20.100000000000001" customHeight="1" thickBot="1" x14ac:dyDescent="0.35">
      <c r="B14" s="212" t="s">
        <v>93</v>
      </c>
      <c r="C14" s="213"/>
      <c r="D14" s="214"/>
      <c r="E14" s="190" t="s">
        <v>38</v>
      </c>
      <c r="F14" s="192"/>
      <c r="G14" s="191" t="s">
        <v>35</v>
      </c>
      <c r="H14" s="192"/>
      <c r="I14" s="246" t="s">
        <v>40</v>
      </c>
      <c r="J14" s="245"/>
      <c r="K14" s="244" t="s">
        <v>43</v>
      </c>
      <c r="L14" s="245"/>
      <c r="O14" s="83" t="s">
        <v>110</v>
      </c>
      <c r="P14" s="144" t="s">
        <v>113</v>
      </c>
      <c r="Q14" s="134"/>
      <c r="R14" s="144" t="s">
        <v>117</v>
      </c>
      <c r="S14" s="134"/>
      <c r="T14" s="144" t="s">
        <v>139</v>
      </c>
      <c r="U14" s="147"/>
    </row>
    <row r="15" spans="1:21" ht="20.100000000000001" customHeight="1" x14ac:dyDescent="0.3">
      <c r="B15" s="215"/>
      <c r="C15" s="216"/>
      <c r="D15" s="217"/>
      <c r="E15" s="199" t="s">
        <v>57</v>
      </c>
      <c r="F15" s="227"/>
      <c r="G15" s="200" t="s">
        <v>37</v>
      </c>
      <c r="H15" s="227"/>
      <c r="I15" s="200" t="s">
        <v>31</v>
      </c>
      <c r="J15" s="227"/>
      <c r="K15" s="199" t="s">
        <v>77</v>
      </c>
      <c r="L15" s="227"/>
      <c r="O15" s="55">
        <f>O13+7</f>
        <v>45554</v>
      </c>
      <c r="P15" s="137" t="s">
        <v>34</v>
      </c>
      <c r="Q15" s="142"/>
      <c r="R15" s="137" t="s">
        <v>40</v>
      </c>
      <c r="S15" s="143"/>
      <c r="T15" s="137" t="s">
        <v>39</v>
      </c>
      <c r="U15" s="138"/>
    </row>
    <row r="16" spans="1:21" ht="20.100000000000001" customHeight="1" thickBot="1" x14ac:dyDescent="0.35">
      <c r="B16" s="218" t="s">
        <v>95</v>
      </c>
      <c r="C16" s="219"/>
      <c r="D16" s="220"/>
      <c r="E16" s="168" t="s">
        <v>63</v>
      </c>
      <c r="F16" s="196" t="s">
        <v>64</v>
      </c>
      <c r="G16" s="162" t="s">
        <v>65</v>
      </c>
      <c r="H16" s="163"/>
      <c r="I16" s="174" t="s">
        <v>53</v>
      </c>
      <c r="J16" s="171" t="s">
        <v>4</v>
      </c>
      <c r="K16" s="162" t="s">
        <v>88</v>
      </c>
      <c r="L16" s="178"/>
      <c r="O16" s="83" t="s">
        <v>110</v>
      </c>
      <c r="P16" s="144" t="s">
        <v>113</v>
      </c>
      <c r="Q16" s="134"/>
      <c r="R16" s="144" t="s">
        <v>117</v>
      </c>
      <c r="S16" s="134"/>
      <c r="T16" s="144" t="s">
        <v>139</v>
      </c>
      <c r="U16" s="147"/>
    </row>
    <row r="17" spans="2:23" ht="20.100000000000001" customHeight="1" x14ac:dyDescent="0.3">
      <c r="B17" s="221"/>
      <c r="C17" s="222"/>
      <c r="D17" s="223"/>
      <c r="E17" s="169"/>
      <c r="F17" s="197"/>
      <c r="G17" s="164"/>
      <c r="H17" s="165"/>
      <c r="I17" s="175"/>
      <c r="J17" s="176"/>
      <c r="K17" s="164"/>
      <c r="L17" s="179"/>
      <c r="O17" s="55">
        <f>O15+7</f>
        <v>45561</v>
      </c>
      <c r="P17" s="137" t="s">
        <v>34</v>
      </c>
      <c r="Q17" s="142"/>
      <c r="R17" s="137" t="s">
        <v>40</v>
      </c>
      <c r="S17" s="143"/>
      <c r="T17" s="137" t="s">
        <v>39</v>
      </c>
      <c r="U17" s="138"/>
    </row>
    <row r="18" spans="2:23" ht="20.100000000000001" customHeight="1" thickBot="1" x14ac:dyDescent="0.35">
      <c r="B18" s="221"/>
      <c r="C18" s="222"/>
      <c r="D18" s="223"/>
      <c r="E18" s="169"/>
      <c r="F18" s="197"/>
      <c r="G18" s="166"/>
      <c r="H18" s="167"/>
      <c r="I18" s="174" t="s">
        <v>69</v>
      </c>
      <c r="J18" s="177"/>
      <c r="K18" s="164"/>
      <c r="L18" s="179"/>
      <c r="O18" s="83" t="s">
        <v>110</v>
      </c>
      <c r="P18" s="144" t="s">
        <v>113</v>
      </c>
      <c r="Q18" s="134"/>
      <c r="R18" s="144" t="s">
        <v>117</v>
      </c>
      <c r="S18" s="134"/>
      <c r="T18" s="144" t="s">
        <v>139</v>
      </c>
      <c r="U18" s="147"/>
    </row>
    <row r="19" spans="2:23" ht="20.100000000000001" customHeight="1" x14ac:dyDescent="0.3">
      <c r="B19" s="221"/>
      <c r="C19" s="222"/>
      <c r="D19" s="223"/>
      <c r="E19" s="169"/>
      <c r="F19" s="197"/>
      <c r="G19" s="168" t="s">
        <v>66</v>
      </c>
      <c r="H19" s="171" t="s">
        <v>67</v>
      </c>
      <c r="I19" s="175"/>
      <c r="J19" s="153" t="s">
        <v>54</v>
      </c>
      <c r="K19" s="164"/>
      <c r="L19" s="179"/>
      <c r="O19" s="55">
        <f>O17+28</f>
        <v>45589</v>
      </c>
      <c r="P19" s="137" t="s">
        <v>34</v>
      </c>
      <c r="Q19" s="142"/>
      <c r="R19" s="137" t="s">
        <v>35</v>
      </c>
      <c r="S19" s="143"/>
      <c r="T19" s="137" t="s">
        <v>39</v>
      </c>
      <c r="U19" s="138"/>
    </row>
    <row r="20" spans="2:23" ht="20.100000000000001" customHeight="1" thickBot="1" x14ac:dyDescent="0.35">
      <c r="B20" s="221"/>
      <c r="C20" s="222"/>
      <c r="D20" s="223"/>
      <c r="E20" s="169"/>
      <c r="F20" s="197"/>
      <c r="G20" s="169"/>
      <c r="H20" s="172"/>
      <c r="I20" s="156" t="s">
        <v>68</v>
      </c>
      <c r="J20" s="154"/>
      <c r="K20" s="164"/>
      <c r="L20" s="179"/>
      <c r="O20" s="83" t="s">
        <v>110</v>
      </c>
      <c r="P20" s="144" t="s">
        <v>113</v>
      </c>
      <c r="Q20" s="134"/>
      <c r="R20" s="144" t="s">
        <v>161</v>
      </c>
      <c r="S20" s="134"/>
      <c r="T20" s="144" t="s">
        <v>139</v>
      </c>
      <c r="U20" s="147"/>
    </row>
    <row r="21" spans="2:23" ht="20.100000000000001" customHeight="1" thickBot="1" x14ac:dyDescent="0.35">
      <c r="B21" s="224"/>
      <c r="C21" s="225"/>
      <c r="D21" s="226"/>
      <c r="E21" s="170"/>
      <c r="F21" s="198"/>
      <c r="G21" s="170"/>
      <c r="H21" s="173"/>
      <c r="I21" s="157"/>
      <c r="J21" s="155"/>
      <c r="K21" s="180"/>
      <c r="L21" s="181"/>
      <c r="O21" s="55">
        <f>O19+7</f>
        <v>45596</v>
      </c>
      <c r="P21" s="137" t="s">
        <v>34</v>
      </c>
      <c r="Q21" s="142"/>
      <c r="R21" s="137" t="s">
        <v>35</v>
      </c>
      <c r="S21" s="143"/>
      <c r="T21" s="137" t="s">
        <v>41</v>
      </c>
      <c r="U21" s="138"/>
    </row>
    <row r="22" spans="2:23" ht="19.5" customHeight="1" thickBot="1" x14ac:dyDescent="0.35">
      <c r="E22"/>
      <c r="F22"/>
      <c r="G22"/>
      <c r="H22"/>
      <c r="I22"/>
      <c r="O22" s="83" t="s">
        <v>110</v>
      </c>
      <c r="P22" s="144" t="s">
        <v>113</v>
      </c>
      <c r="Q22" s="134"/>
      <c r="R22" s="144" t="s">
        <v>161</v>
      </c>
      <c r="S22" s="134"/>
      <c r="T22" s="144" t="s">
        <v>172</v>
      </c>
      <c r="U22" s="147"/>
    </row>
    <row r="23" spans="2:23" ht="20.100000000000001" customHeight="1" x14ac:dyDescent="0.3">
      <c r="B23" s="240" t="s">
        <v>94</v>
      </c>
      <c r="C23" s="241"/>
      <c r="D23" s="241"/>
      <c r="E23" s="158" t="s">
        <v>44</v>
      </c>
      <c r="F23" s="159"/>
      <c r="G23" s="12"/>
      <c r="O23" s="55">
        <f>O21+7</f>
        <v>45603</v>
      </c>
      <c r="P23" s="137" t="s">
        <v>34</v>
      </c>
      <c r="Q23" s="142"/>
      <c r="R23" s="137" t="s">
        <v>35</v>
      </c>
      <c r="S23" s="143"/>
      <c r="T23" s="137" t="s">
        <v>41</v>
      </c>
      <c r="U23" s="138"/>
    </row>
    <row r="24" spans="2:23" ht="20.100000000000001" customHeight="1" thickBot="1" x14ac:dyDescent="0.35">
      <c r="B24" s="242"/>
      <c r="C24" s="243"/>
      <c r="D24" s="243"/>
      <c r="E24" s="160" t="s">
        <v>32</v>
      </c>
      <c r="F24" s="161"/>
      <c r="G24"/>
      <c r="O24" s="83" t="s">
        <v>110</v>
      </c>
      <c r="P24" s="144" t="s">
        <v>113</v>
      </c>
      <c r="Q24" s="134"/>
      <c r="R24" s="144" t="s">
        <v>161</v>
      </c>
      <c r="S24" s="134"/>
      <c r="T24" s="144" t="s">
        <v>172</v>
      </c>
      <c r="U24" s="147"/>
    </row>
    <row r="25" spans="2:23" s="9" customFormat="1" ht="20.100000000000001" customHeight="1" x14ac:dyDescent="0.25">
      <c r="B25" s="253" t="s">
        <v>95</v>
      </c>
      <c r="C25" s="254"/>
      <c r="D25" s="254"/>
      <c r="E25" s="259" t="s">
        <v>89</v>
      </c>
      <c r="F25" s="260"/>
      <c r="G25"/>
      <c r="O25" s="55">
        <f>O23+7</f>
        <v>45610</v>
      </c>
      <c r="P25" s="137" t="s">
        <v>34</v>
      </c>
      <c r="Q25" s="142"/>
      <c r="R25" s="137" t="s">
        <v>43</v>
      </c>
      <c r="S25" s="143"/>
      <c r="T25" s="137" t="s">
        <v>41</v>
      </c>
      <c r="U25" s="138"/>
    </row>
    <row r="26" spans="2:23" s="9" customFormat="1" ht="20.100000000000001" customHeight="1" thickBot="1" x14ac:dyDescent="0.3">
      <c r="B26" s="255"/>
      <c r="C26" s="256"/>
      <c r="D26" s="256"/>
      <c r="E26" s="261"/>
      <c r="F26" s="262"/>
      <c r="G26"/>
      <c r="O26" s="83" t="s">
        <v>110</v>
      </c>
      <c r="P26" s="144" t="s">
        <v>113</v>
      </c>
      <c r="Q26" s="134"/>
      <c r="R26" s="144" t="s">
        <v>178</v>
      </c>
      <c r="S26" s="134"/>
      <c r="T26" s="144" t="s">
        <v>172</v>
      </c>
      <c r="U26" s="147"/>
    </row>
    <row r="27" spans="2:23" s="9" customFormat="1" ht="20.100000000000001" customHeight="1" x14ac:dyDescent="0.25">
      <c r="B27" s="255"/>
      <c r="C27" s="256"/>
      <c r="D27" s="256"/>
      <c r="E27" s="263" t="s">
        <v>30</v>
      </c>
      <c r="F27" s="264"/>
      <c r="G27"/>
      <c r="J27" s="50"/>
      <c r="O27" s="55">
        <f>O25+7</f>
        <v>45617</v>
      </c>
      <c r="P27" s="137" t="s">
        <v>34</v>
      </c>
      <c r="Q27" s="142"/>
      <c r="R27" s="137" t="s">
        <v>43</v>
      </c>
      <c r="S27" s="143"/>
      <c r="T27" s="137" t="s">
        <v>41</v>
      </c>
      <c r="U27" s="138"/>
      <c r="W27"/>
    </row>
    <row r="28" spans="2:23" s="9" customFormat="1" ht="20.100000000000001" customHeight="1" thickBot="1" x14ac:dyDescent="0.3">
      <c r="B28" s="255"/>
      <c r="C28" s="256"/>
      <c r="D28" s="256"/>
      <c r="E28" s="263" t="s">
        <v>30</v>
      </c>
      <c r="F28" s="264"/>
      <c r="G28"/>
      <c r="J28" s="50"/>
      <c r="O28" s="83" t="s">
        <v>110</v>
      </c>
      <c r="P28" s="144" t="s">
        <v>113</v>
      </c>
      <c r="Q28" s="134"/>
      <c r="R28" s="144" t="s">
        <v>178</v>
      </c>
      <c r="S28" s="134"/>
      <c r="T28" s="144" t="s">
        <v>172</v>
      </c>
      <c r="U28" s="147"/>
    </row>
    <row r="29" spans="2:23" s="9" customFormat="1" ht="20.100000000000001" customHeight="1" x14ac:dyDescent="0.25">
      <c r="B29" s="255"/>
      <c r="C29" s="256"/>
      <c r="D29" s="256"/>
      <c r="E29" s="263" t="s">
        <v>30</v>
      </c>
      <c r="F29" s="264"/>
      <c r="G29"/>
      <c r="J29" s="50"/>
      <c r="O29" s="55">
        <f>O27+7</f>
        <v>45624</v>
      </c>
      <c r="P29" s="137" t="s">
        <v>34</v>
      </c>
      <c r="Q29" s="142"/>
      <c r="R29" s="137" t="s">
        <v>43</v>
      </c>
      <c r="S29" s="143"/>
      <c r="T29" s="137" t="s">
        <v>41</v>
      </c>
      <c r="U29" s="138"/>
    </row>
    <row r="30" spans="2:23" s="9" customFormat="1" ht="20.100000000000001" customHeight="1" thickBot="1" x14ac:dyDescent="0.3">
      <c r="B30" s="257"/>
      <c r="C30" s="258"/>
      <c r="D30" s="258"/>
      <c r="E30" s="265" t="s">
        <v>30</v>
      </c>
      <c r="F30" s="266"/>
      <c r="G30"/>
      <c r="I30" s="54"/>
      <c r="J30" s="53"/>
      <c r="O30" s="82" t="s">
        <v>110</v>
      </c>
      <c r="P30" s="139" t="s">
        <v>113</v>
      </c>
      <c r="Q30" s="140"/>
      <c r="R30" s="139" t="s">
        <v>178</v>
      </c>
      <c r="S30" s="140"/>
      <c r="T30" s="139" t="s">
        <v>172</v>
      </c>
      <c r="U30" s="141"/>
    </row>
    <row r="31" spans="2:23" s="9" customFormat="1" ht="19.5" customHeight="1" thickBot="1" x14ac:dyDescent="0.3">
      <c r="B31"/>
      <c r="C31"/>
      <c r="D31"/>
      <c r="E31"/>
      <c r="F31"/>
      <c r="G31"/>
      <c r="H31"/>
      <c r="J31" s="53"/>
      <c r="O31" s="61">
        <f>O29+7</f>
        <v>45631</v>
      </c>
      <c r="P31" s="116" t="s">
        <v>34</v>
      </c>
      <c r="Q31" s="129" t="s">
        <v>45</v>
      </c>
      <c r="R31" s="130"/>
      <c r="S31" s="131" t="s">
        <v>44</v>
      </c>
      <c r="T31" s="132"/>
      <c r="U31" s="119" t="s">
        <v>41</v>
      </c>
    </row>
    <row r="32" spans="2:23" s="9" customFormat="1" ht="20.100000000000001" customHeight="1" thickBot="1" x14ac:dyDescent="0.35">
      <c r="B32" s="267" t="s">
        <v>94</v>
      </c>
      <c r="C32" s="268"/>
      <c r="D32" s="268"/>
      <c r="E32" s="145" t="s">
        <v>45</v>
      </c>
      <c r="F32" s="146"/>
      <c r="J32" s="53"/>
      <c r="O32" s="83" t="s">
        <v>110</v>
      </c>
      <c r="P32" s="115" t="s">
        <v>193</v>
      </c>
      <c r="Q32" s="281" t="s">
        <v>195</v>
      </c>
      <c r="R32" s="282"/>
      <c r="S32" s="283" t="s">
        <v>194</v>
      </c>
      <c r="T32" s="284"/>
      <c r="U32" s="117" t="s">
        <v>192</v>
      </c>
    </row>
    <row r="33" spans="2:21" ht="20.100000000000001" customHeight="1" x14ac:dyDescent="0.3">
      <c r="B33" s="269"/>
      <c r="C33" s="270"/>
      <c r="D33" s="270"/>
      <c r="E33" s="271" t="s">
        <v>32</v>
      </c>
      <c r="F33" s="272"/>
      <c r="O33" s="61">
        <f>O31+7</f>
        <v>45638</v>
      </c>
      <c r="P33" s="116" t="s">
        <v>34</v>
      </c>
      <c r="Q33" s="129" t="s">
        <v>45</v>
      </c>
      <c r="R33" s="130"/>
      <c r="S33" s="131" t="s">
        <v>44</v>
      </c>
      <c r="T33" s="132"/>
      <c r="U33" s="119" t="s">
        <v>41</v>
      </c>
    </row>
    <row r="34" spans="2:21" ht="20.100000000000001" customHeight="1" thickBot="1" x14ac:dyDescent="0.35">
      <c r="B34" s="247" t="s">
        <v>95</v>
      </c>
      <c r="C34" s="248"/>
      <c r="D34" s="248"/>
      <c r="E34" s="273" t="s">
        <v>28</v>
      </c>
      <c r="F34" s="276" t="s">
        <v>70</v>
      </c>
      <c r="O34" s="56"/>
      <c r="P34" s="115" t="s">
        <v>193</v>
      </c>
      <c r="Q34" s="133"/>
      <c r="R34" s="134"/>
      <c r="S34" s="135"/>
      <c r="T34" s="136"/>
      <c r="U34" s="117" t="s">
        <v>192</v>
      </c>
    </row>
    <row r="35" spans="2:21" ht="20.100000000000001" customHeight="1" x14ac:dyDescent="0.3">
      <c r="B35" s="249"/>
      <c r="C35" s="250"/>
      <c r="D35" s="250"/>
      <c r="E35" s="274"/>
      <c r="F35" s="277"/>
      <c r="O35" s="61">
        <f>O33+7</f>
        <v>45645</v>
      </c>
      <c r="P35" s="116" t="s">
        <v>34</v>
      </c>
      <c r="Q35" s="129" t="s">
        <v>45</v>
      </c>
      <c r="R35" s="130"/>
      <c r="S35" s="131" t="s">
        <v>44</v>
      </c>
      <c r="T35" s="132"/>
      <c r="U35" s="119" t="s">
        <v>41</v>
      </c>
    </row>
    <row r="36" spans="2:21" ht="20.100000000000001" customHeight="1" thickBot="1" x14ac:dyDescent="0.35">
      <c r="B36" s="249"/>
      <c r="C36" s="250"/>
      <c r="D36" s="250"/>
      <c r="E36" s="275"/>
      <c r="F36" s="278"/>
      <c r="O36" s="56"/>
      <c r="P36" s="115" t="s">
        <v>193</v>
      </c>
      <c r="Q36" s="133"/>
      <c r="R36" s="134"/>
      <c r="S36" s="135"/>
      <c r="T36" s="136"/>
      <c r="U36" s="117" t="s">
        <v>192</v>
      </c>
    </row>
    <row r="37" spans="2:21" ht="20.100000000000001" customHeight="1" x14ac:dyDescent="0.3">
      <c r="B37" s="249"/>
      <c r="C37" s="250"/>
      <c r="D37" s="250"/>
      <c r="E37" s="273" t="s">
        <v>72</v>
      </c>
      <c r="F37" s="276" t="s">
        <v>71</v>
      </c>
      <c r="O37" s="120">
        <f>O35+21</f>
        <v>45666</v>
      </c>
      <c r="P37" s="116" t="s">
        <v>34</v>
      </c>
      <c r="Q37" s="129" t="s">
        <v>45</v>
      </c>
      <c r="R37" s="130"/>
      <c r="S37" s="131" t="s">
        <v>44</v>
      </c>
      <c r="T37" s="132"/>
      <c r="U37" s="119" t="s">
        <v>41</v>
      </c>
    </row>
    <row r="38" spans="2:21" ht="19.5" customHeight="1" thickBot="1" x14ac:dyDescent="0.35">
      <c r="B38" s="249"/>
      <c r="C38" s="250"/>
      <c r="D38" s="250"/>
      <c r="E38" s="274"/>
      <c r="F38" s="277"/>
      <c r="O38" s="121"/>
      <c r="P38" s="115" t="s">
        <v>193</v>
      </c>
      <c r="Q38" s="133"/>
      <c r="R38" s="134"/>
      <c r="S38" s="135"/>
      <c r="T38" s="136"/>
      <c r="U38" s="117" t="s">
        <v>192</v>
      </c>
    </row>
    <row r="39" spans="2:21" ht="19.5" customHeight="1" thickBot="1" x14ac:dyDescent="0.35">
      <c r="B39" s="251"/>
      <c r="C39" s="252"/>
      <c r="D39" s="252"/>
      <c r="E39" s="279"/>
      <c r="F39" s="280"/>
      <c r="O39" s="120">
        <f>O37+7</f>
        <v>45673</v>
      </c>
      <c r="P39" s="182"/>
      <c r="Q39" s="183"/>
      <c r="R39" s="183"/>
      <c r="S39" s="183"/>
      <c r="T39" s="183"/>
      <c r="U39" s="184"/>
    </row>
    <row r="40" spans="2:21" ht="19.5" customHeight="1" thickBot="1" x14ac:dyDescent="0.35">
      <c r="B40" s="14"/>
      <c r="C40" s="14"/>
      <c r="D40" s="14"/>
      <c r="E40" s="50"/>
      <c r="F40" s="51"/>
      <c r="G40" s="51"/>
      <c r="H40" s="51"/>
      <c r="I40"/>
      <c r="L40"/>
      <c r="M40"/>
      <c r="N40"/>
      <c r="O40" s="121"/>
      <c r="P40" s="185"/>
      <c r="Q40" s="185"/>
      <c r="R40" s="185"/>
      <c r="S40" s="185"/>
      <c r="T40" s="185"/>
      <c r="U40" s="186"/>
    </row>
    <row r="41" spans="2:21" ht="19.5" customHeight="1" x14ac:dyDescent="0.3">
      <c r="O41" s="118">
        <f>O39+7</f>
        <v>45680</v>
      </c>
      <c r="P41" s="148" t="s">
        <v>75</v>
      </c>
      <c r="Q41" s="149"/>
      <c r="R41" s="149"/>
      <c r="S41" s="149"/>
      <c r="T41" s="149"/>
      <c r="U41" s="150"/>
    </row>
    <row r="42" spans="2:21" ht="19.5" customHeight="1" thickBot="1" x14ac:dyDescent="0.35">
      <c r="O42" s="114"/>
      <c r="P42" s="151"/>
      <c r="Q42" s="151"/>
      <c r="R42" s="151"/>
      <c r="S42" s="151"/>
      <c r="T42" s="151"/>
      <c r="U42" s="152"/>
    </row>
    <row r="43" spans="2:21" ht="5.0999999999999996" customHeight="1" thickBot="1" x14ac:dyDescent="0.35">
      <c r="C43" s="2"/>
      <c r="D43" s="2"/>
      <c r="E43" s="2"/>
      <c r="F43" s="2"/>
      <c r="G43" s="2"/>
      <c r="H43" s="2"/>
      <c r="I43" s="2"/>
      <c r="J43" s="2"/>
      <c r="K43" s="2"/>
      <c r="Q43" s="13"/>
      <c r="R43" s="8"/>
      <c r="S43" s="8"/>
      <c r="T43" s="7"/>
    </row>
    <row r="44" spans="2:21" ht="19.5" customHeight="1" thickBot="1" x14ac:dyDescent="0.35">
      <c r="B44" s="44" t="s">
        <v>5</v>
      </c>
      <c r="C44" s="45"/>
      <c r="D44" s="45"/>
      <c r="E44" s="45"/>
      <c r="F44" s="45"/>
      <c r="G44" s="46"/>
      <c r="H44" s="45"/>
      <c r="I44" s="45"/>
      <c r="J44" s="47"/>
      <c r="K44" s="45" t="s">
        <v>6</v>
      </c>
      <c r="L44" s="46"/>
      <c r="M44" s="46"/>
      <c r="N44" s="49" t="s">
        <v>7</v>
      </c>
      <c r="O44" s="45"/>
      <c r="P44" s="45"/>
      <c r="Q44" s="52"/>
      <c r="R44" s="45"/>
      <c r="S44" s="45"/>
      <c r="T44" s="45"/>
      <c r="U44" s="48"/>
    </row>
  </sheetData>
  <mergeCells count="155">
    <mergeCell ref="R28:S28"/>
    <mergeCell ref="T28:U28"/>
    <mergeCell ref="B34:D39"/>
    <mergeCell ref="B25:D30"/>
    <mergeCell ref="E25:F26"/>
    <mergeCell ref="E27:F27"/>
    <mergeCell ref="E28:F28"/>
    <mergeCell ref="E29:F29"/>
    <mergeCell ref="E30:F30"/>
    <mergeCell ref="B32:D33"/>
    <mergeCell ref="E33:F33"/>
    <mergeCell ref="E34:E36"/>
    <mergeCell ref="F34:F36"/>
    <mergeCell ref="E37:E39"/>
    <mergeCell ref="F37:F39"/>
    <mergeCell ref="P27:Q27"/>
    <mergeCell ref="P28:Q28"/>
    <mergeCell ref="Q31:R31"/>
    <mergeCell ref="Q32:R32"/>
    <mergeCell ref="S32:T32"/>
    <mergeCell ref="Q33:R33"/>
    <mergeCell ref="S33:T33"/>
    <mergeCell ref="P29:Q29"/>
    <mergeCell ref="R29:S29"/>
    <mergeCell ref="B23:D24"/>
    <mergeCell ref="P12:Q12"/>
    <mergeCell ref="R12:S12"/>
    <mergeCell ref="T12:U12"/>
    <mergeCell ref="E14:F14"/>
    <mergeCell ref="E15:F15"/>
    <mergeCell ref="B14:D15"/>
    <mergeCell ref="B16:D21"/>
    <mergeCell ref="K14:L14"/>
    <mergeCell ref="P14:Q14"/>
    <mergeCell ref="R14:S14"/>
    <mergeCell ref="T14:U14"/>
    <mergeCell ref="I14:J14"/>
    <mergeCell ref="I15:J15"/>
    <mergeCell ref="G14:H14"/>
    <mergeCell ref="G15:H15"/>
    <mergeCell ref="E16:E21"/>
    <mergeCell ref="F16:F21"/>
    <mergeCell ref="P15:Q15"/>
    <mergeCell ref="R15:S15"/>
    <mergeCell ref="K15:L15"/>
    <mergeCell ref="T15:U15"/>
    <mergeCell ref="P16:Q16"/>
    <mergeCell ref="R16:S16"/>
    <mergeCell ref="R9:S9"/>
    <mergeCell ref="T9:U9"/>
    <mergeCell ref="P7:Q7"/>
    <mergeCell ref="R7:S7"/>
    <mergeCell ref="T7:U7"/>
    <mergeCell ref="P8:Q8"/>
    <mergeCell ref="T8:U8"/>
    <mergeCell ref="E13:G13"/>
    <mergeCell ref="H13:I13"/>
    <mergeCell ref="P11:Q11"/>
    <mergeCell ref="R11:S11"/>
    <mergeCell ref="T11:U11"/>
    <mergeCell ref="P10:Q10"/>
    <mergeCell ref="T10:U10"/>
    <mergeCell ref="R8:S8"/>
    <mergeCell ref="R10:S10"/>
    <mergeCell ref="E7:E9"/>
    <mergeCell ref="F7:F9"/>
    <mergeCell ref="P13:Q13"/>
    <mergeCell ref="R13:S13"/>
    <mergeCell ref="T13:U13"/>
    <mergeCell ref="Q1:U1"/>
    <mergeCell ref="K7:K12"/>
    <mergeCell ref="I5:K5"/>
    <mergeCell ref="I6:K6"/>
    <mergeCell ref="I7:I12"/>
    <mergeCell ref="J7:J12"/>
    <mergeCell ref="G10:G12"/>
    <mergeCell ref="H10:H12"/>
    <mergeCell ref="G7:H9"/>
    <mergeCell ref="G5:H5"/>
    <mergeCell ref="G6:H6"/>
    <mergeCell ref="L5:M5"/>
    <mergeCell ref="L6:M6"/>
    <mergeCell ref="L7:M12"/>
    <mergeCell ref="B3:M3"/>
    <mergeCell ref="B5:D6"/>
    <mergeCell ref="B7:D12"/>
    <mergeCell ref="E10:E12"/>
    <mergeCell ref="F10:F12"/>
    <mergeCell ref="E5:F5"/>
    <mergeCell ref="E6:F6"/>
    <mergeCell ref="P5:U5"/>
    <mergeCell ref="P6:U6"/>
    <mergeCell ref="P9:Q9"/>
    <mergeCell ref="P41:U42"/>
    <mergeCell ref="J19:J21"/>
    <mergeCell ref="I20:I21"/>
    <mergeCell ref="E23:F23"/>
    <mergeCell ref="E24:F24"/>
    <mergeCell ref="G16:H18"/>
    <mergeCell ref="G19:G21"/>
    <mergeCell ref="H19:H21"/>
    <mergeCell ref="I16:I17"/>
    <mergeCell ref="J16:J18"/>
    <mergeCell ref="I18:I19"/>
    <mergeCell ref="K16:L21"/>
    <mergeCell ref="P19:Q19"/>
    <mergeCell ref="R19:S19"/>
    <mergeCell ref="T19:U19"/>
    <mergeCell ref="P20:Q20"/>
    <mergeCell ref="R20:S20"/>
    <mergeCell ref="T20:U20"/>
    <mergeCell ref="P21:Q21"/>
    <mergeCell ref="R21:S21"/>
    <mergeCell ref="T21:U21"/>
    <mergeCell ref="T16:U16"/>
    <mergeCell ref="R27:S27"/>
    <mergeCell ref="P39:U40"/>
    <mergeCell ref="P17:Q17"/>
    <mergeCell ref="R17:S17"/>
    <mergeCell ref="T17:U17"/>
    <mergeCell ref="P18:Q18"/>
    <mergeCell ref="E32:F32"/>
    <mergeCell ref="R18:S18"/>
    <mergeCell ref="T18:U18"/>
    <mergeCell ref="P22:Q22"/>
    <mergeCell ref="R22:S22"/>
    <mergeCell ref="T22:U22"/>
    <mergeCell ref="P23:Q23"/>
    <mergeCell ref="R23:S23"/>
    <mergeCell ref="T23:U23"/>
    <mergeCell ref="P24:Q24"/>
    <mergeCell ref="R24:S24"/>
    <mergeCell ref="T24:U24"/>
    <mergeCell ref="P25:Q25"/>
    <mergeCell ref="R25:S25"/>
    <mergeCell ref="T25:U25"/>
    <mergeCell ref="P26:Q26"/>
    <mergeCell ref="R26:S26"/>
    <mergeCell ref="T26:U26"/>
    <mergeCell ref="T27:U27"/>
    <mergeCell ref="S31:T31"/>
    <mergeCell ref="Q37:R37"/>
    <mergeCell ref="S37:T37"/>
    <mergeCell ref="Q38:R38"/>
    <mergeCell ref="S38:T38"/>
    <mergeCell ref="T29:U29"/>
    <mergeCell ref="P30:Q30"/>
    <mergeCell ref="R30:S30"/>
    <mergeCell ref="T30:U30"/>
    <mergeCell ref="Q34:R34"/>
    <mergeCell ref="S34:T34"/>
    <mergeCell ref="Q35:R35"/>
    <mergeCell ref="S35:T35"/>
    <mergeCell ref="Q36:R36"/>
    <mergeCell ref="S36:T36"/>
  </mergeCells>
  <phoneticPr fontId="20" type="noConversion"/>
  <conditionalFormatting sqref="O7 O9 O11 R39:U42">
    <cfRule type="expression" dxfId="12" priority="227">
      <formula>$O$7=#REF!</formula>
    </cfRule>
  </conditionalFormatting>
  <conditionalFormatting sqref="O13 O33:O42">
    <cfRule type="expression" dxfId="11" priority="14">
      <formula>$O$7=#REF!</formula>
    </cfRule>
  </conditionalFormatting>
  <conditionalFormatting sqref="O15">
    <cfRule type="expression" dxfId="10" priority="13">
      <formula>$O$7=#REF!</formula>
    </cfRule>
  </conditionalFormatting>
  <conditionalFormatting sqref="O17">
    <cfRule type="expression" dxfId="9" priority="12">
      <formula>$O$7=#REF!</formula>
    </cfRule>
  </conditionalFormatting>
  <conditionalFormatting sqref="O19">
    <cfRule type="expression" dxfId="8" priority="8">
      <formula>$O$7=#REF!</formula>
    </cfRule>
  </conditionalFormatting>
  <conditionalFormatting sqref="O21">
    <cfRule type="expression" dxfId="7" priority="7">
      <formula>$O$7=#REF!</formula>
    </cfRule>
  </conditionalFormatting>
  <conditionalFormatting sqref="O23">
    <cfRule type="expression" dxfId="6" priority="6">
      <formula>$O$7=#REF!</formula>
    </cfRule>
  </conditionalFormatting>
  <conditionalFormatting sqref="O25">
    <cfRule type="expression" dxfId="5" priority="5">
      <formula>$O$7=#REF!</formula>
    </cfRule>
  </conditionalFormatting>
  <conditionalFormatting sqref="O27">
    <cfRule type="expression" dxfId="4" priority="4">
      <formula>$O$7=#REF!</formula>
    </cfRule>
  </conditionalFormatting>
  <conditionalFormatting sqref="O29">
    <cfRule type="expression" dxfId="3" priority="2">
      <formula>$O$7=#REF!</formula>
    </cfRule>
  </conditionalFormatting>
  <conditionalFormatting sqref="O31">
    <cfRule type="expression" dxfId="2" priority="1">
      <formula>$O$7=#REF!</formula>
    </cfRule>
  </conditionalFormatting>
  <conditionalFormatting sqref="P39:P42">
    <cfRule type="expression" dxfId="1" priority="3">
      <formula>$O$7=#REF!</formula>
    </cfRule>
  </conditionalFormatting>
  <conditionalFormatting sqref="P6:S6">
    <cfRule type="expression" dxfId="0" priority="17">
      <formula>$O$7=#REF!</formula>
    </cfRule>
  </conditionalFormatting>
  <hyperlinks>
    <hyperlink ref="O6" r:id="rId1" xr:uid="{F19A06B9-D61C-4B59-B57B-BF2326478837}"/>
    <hyperlink ref="O8" r:id="rId2" xr:uid="{484A408C-5BFC-4751-8CDF-51E7B04D236A}"/>
    <hyperlink ref="O10" r:id="rId3" xr:uid="{D38E6AF8-63DD-4514-84A5-08641C19393D}"/>
    <hyperlink ref="O12" r:id="rId4" xr:uid="{C342F34D-3C81-43D1-BB57-B157592D1D4E}"/>
    <hyperlink ref="O14" r:id="rId5" xr:uid="{7E370520-94D0-48D5-A63B-D4734564F58A}"/>
    <hyperlink ref="O16" r:id="rId6" xr:uid="{6F33F885-A777-4D69-B18E-90EC205E10BA}"/>
    <hyperlink ref="O18" r:id="rId7" xr:uid="{18A280BB-EB75-4DD1-A45F-8173CBCF568E}"/>
    <hyperlink ref="O20" r:id="rId8" xr:uid="{FDBD7273-6594-4BEF-A220-35FAA2CFD575}"/>
    <hyperlink ref="O22" r:id="rId9" xr:uid="{C0C815AC-D633-4C4D-96D5-755D748D6E4E}"/>
    <hyperlink ref="O24" r:id="rId10" xr:uid="{268F57AB-89AB-4C16-A39E-20856E50F148}"/>
    <hyperlink ref="O26" r:id="rId11" xr:uid="{86D1BE3F-EA3D-4B41-BE21-D5BD10AA312D}"/>
    <hyperlink ref="O28" r:id="rId12" xr:uid="{A0125717-BD78-44B5-BC69-D3BB45B8C7A2}"/>
    <hyperlink ref="O30" r:id="rId13" xr:uid="{24B672B2-751F-4BBF-9F2D-5B155AFC89F7}"/>
    <hyperlink ref="O32" r:id="rId14" xr:uid="{F2A46FC6-2C32-48B4-9D8D-53E7D40F6963}"/>
  </hyperlinks>
  <pageMargins left="3.937007874015748E-2" right="3.937007874015748E-2" top="0.19685039370078741" bottom="0.19685039370078741" header="0" footer="0"/>
  <pageSetup paperSize="8" orientation="landscape" r:id="rId15"/>
  <headerFooter>
    <oddHeader xml:space="preserve">&amp;L
</oddHeader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6805-4E4C-4585-B1FE-98C215DE2840}">
  <dimension ref="B1:G47"/>
  <sheetViews>
    <sheetView showWhiteSpace="0" view="pageLayout" zoomScaleNormal="100" workbookViewId="0">
      <selection activeCell="G3" sqref="G3:G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300" t="s">
        <v>8</v>
      </c>
      <c r="C1" s="301"/>
      <c r="D1" s="301"/>
      <c r="E1" s="296">
        <f>Kompetenzraster!O5</f>
        <v>45519</v>
      </c>
      <c r="F1" s="297"/>
      <c r="G1" s="294">
        <v>1</v>
      </c>
    </row>
    <row r="2" spans="2:7" x14ac:dyDescent="0.25">
      <c r="B2" s="302"/>
      <c r="C2" s="303"/>
      <c r="D2" s="303"/>
      <c r="E2" s="298"/>
      <c r="F2" s="299"/>
      <c r="G2" s="295"/>
    </row>
    <row r="3" spans="2:7" ht="15.75" customHeight="1" x14ac:dyDescent="0.25">
      <c r="B3" s="304" t="s">
        <v>9</v>
      </c>
      <c r="C3" s="305"/>
      <c r="D3" s="305"/>
      <c r="E3" s="305"/>
      <c r="F3" s="306"/>
      <c r="G3" s="310">
        <v>1.1200000000000001</v>
      </c>
    </row>
    <row r="4" spans="2:7" x14ac:dyDescent="0.25">
      <c r="B4" s="307"/>
      <c r="C4" s="308"/>
      <c r="D4" s="308"/>
      <c r="E4" s="308"/>
      <c r="F4" s="309"/>
      <c r="G4" s="311"/>
    </row>
    <row r="5" spans="2:7" ht="15.75" x14ac:dyDescent="0.3">
      <c r="B5" s="312" t="s">
        <v>10</v>
      </c>
      <c r="C5" s="30" t="s">
        <v>11</v>
      </c>
      <c r="D5" s="31"/>
      <c r="E5" s="31"/>
      <c r="F5" s="31"/>
      <c r="G5" s="40" t="s">
        <v>12</v>
      </c>
    </row>
    <row r="6" spans="2:7" ht="15.75" x14ac:dyDescent="0.3">
      <c r="B6" s="313"/>
      <c r="C6" s="33" t="s">
        <v>13</v>
      </c>
      <c r="G6" s="37"/>
    </row>
    <row r="7" spans="2:7" ht="15.75" x14ac:dyDescent="0.3">
      <c r="B7" s="313"/>
      <c r="C7" s="33" t="s">
        <v>14</v>
      </c>
      <c r="G7" s="37"/>
    </row>
    <row r="8" spans="2:7" ht="15.75" x14ac:dyDescent="0.3">
      <c r="B8" s="313"/>
      <c r="C8" s="33" t="s">
        <v>15</v>
      </c>
      <c r="D8" s="28"/>
      <c r="E8" s="28"/>
      <c r="F8" s="28"/>
      <c r="G8" s="38"/>
    </row>
    <row r="9" spans="2:7" ht="15.75" x14ac:dyDescent="0.3">
      <c r="B9" s="313"/>
      <c r="C9" s="34"/>
      <c r="D9" s="23"/>
      <c r="E9" s="23"/>
      <c r="F9" s="23"/>
      <c r="G9" s="39"/>
    </row>
    <row r="10" spans="2:7" x14ac:dyDescent="0.25">
      <c r="B10" s="314"/>
      <c r="C10" s="322" t="s">
        <v>16</v>
      </c>
      <c r="D10" s="323"/>
      <c r="E10" s="323"/>
      <c r="F10" s="323"/>
      <c r="G10" s="324"/>
    </row>
    <row r="11" spans="2:7" ht="15.75" x14ac:dyDescent="0.3">
      <c r="B11" s="314"/>
      <c r="C11" s="35" t="s">
        <v>17</v>
      </c>
      <c r="G11" s="21"/>
    </row>
    <row r="12" spans="2:7" ht="15.75" x14ac:dyDescent="0.3">
      <c r="B12" s="314"/>
      <c r="C12" s="36" t="s">
        <v>18</v>
      </c>
      <c r="D12" s="28"/>
      <c r="E12" s="28"/>
      <c r="F12" s="28"/>
      <c r="G12" s="29"/>
    </row>
    <row r="13" spans="2:7" ht="15.75" x14ac:dyDescent="0.3">
      <c r="B13" s="314"/>
      <c r="C13" s="33"/>
      <c r="D13" s="28"/>
      <c r="E13" s="28"/>
      <c r="F13" s="28"/>
      <c r="G13" s="29"/>
    </row>
    <row r="14" spans="2:7" x14ac:dyDescent="0.25">
      <c r="B14" s="315"/>
      <c r="C14" s="22"/>
      <c r="D14" s="23"/>
      <c r="E14" s="23"/>
      <c r="F14" s="23"/>
      <c r="G14" s="24"/>
    </row>
    <row r="15" spans="2:7" x14ac:dyDescent="0.25">
      <c r="B15" s="316" t="s">
        <v>19</v>
      </c>
      <c r="C15" s="317"/>
      <c r="D15" s="317"/>
      <c r="E15" s="317"/>
      <c r="F15" s="317"/>
      <c r="G15" s="318"/>
    </row>
    <row r="16" spans="2:7" x14ac:dyDescent="0.25">
      <c r="B16" s="319"/>
      <c r="C16" s="320"/>
      <c r="D16" s="320"/>
      <c r="E16" s="320"/>
      <c r="F16" s="320"/>
      <c r="G16" s="321"/>
    </row>
    <row r="17" spans="2:7" ht="15.75" customHeight="1" x14ac:dyDescent="0.25">
      <c r="B17" s="304" t="s">
        <v>9</v>
      </c>
      <c r="C17" s="305"/>
      <c r="D17" s="305"/>
      <c r="E17" s="305"/>
      <c r="F17" s="305"/>
      <c r="G17" s="326">
        <v>1.1200000000000001</v>
      </c>
    </row>
    <row r="18" spans="2:7" x14ac:dyDescent="0.25">
      <c r="B18" s="307"/>
      <c r="C18" s="325"/>
      <c r="D18" s="325"/>
      <c r="E18" s="325"/>
      <c r="F18" s="325"/>
      <c r="G18" s="327"/>
    </row>
    <row r="19" spans="2:7" ht="15.75" customHeight="1" x14ac:dyDescent="0.3">
      <c r="B19" s="328" t="s">
        <v>20</v>
      </c>
      <c r="C19" s="30" t="s">
        <v>21</v>
      </c>
      <c r="D19" s="31"/>
      <c r="E19" s="31"/>
      <c r="F19" s="32"/>
      <c r="G19" s="40"/>
    </row>
    <row r="20" spans="2:7" ht="15.75" customHeight="1" x14ac:dyDescent="0.3">
      <c r="B20" s="313"/>
      <c r="C20" s="33" t="s">
        <v>46</v>
      </c>
      <c r="F20" s="21"/>
      <c r="G20" s="37"/>
    </row>
    <row r="21" spans="2:7" ht="15.75" x14ac:dyDescent="0.3">
      <c r="B21" s="313"/>
      <c r="C21" s="33" t="s">
        <v>22</v>
      </c>
      <c r="D21" s="28"/>
      <c r="E21" s="28"/>
      <c r="F21" s="29"/>
      <c r="G21" s="38"/>
    </row>
    <row r="22" spans="2:7" ht="15.75" customHeight="1" x14ac:dyDescent="0.3">
      <c r="B22" s="313"/>
      <c r="C22" s="33"/>
      <c r="F22" s="21"/>
      <c r="G22" s="37"/>
    </row>
    <row r="23" spans="2:7" ht="15.75" customHeight="1" x14ac:dyDescent="0.3">
      <c r="B23" s="313"/>
      <c r="C23" s="34"/>
      <c r="D23" s="41"/>
      <c r="E23" s="41"/>
      <c r="F23" s="42"/>
      <c r="G23" s="38"/>
    </row>
    <row r="24" spans="2:7" ht="15.75" customHeight="1" x14ac:dyDescent="0.25">
      <c r="B24" s="314"/>
      <c r="C24" s="322" t="s">
        <v>16</v>
      </c>
      <c r="D24" s="323"/>
      <c r="E24" s="323"/>
      <c r="F24" s="323"/>
      <c r="G24" s="324"/>
    </row>
    <row r="25" spans="2:7" ht="15.75" customHeight="1" x14ac:dyDescent="0.3">
      <c r="B25" s="314"/>
      <c r="C25" s="33" t="s">
        <v>23</v>
      </c>
      <c r="D25" s="28"/>
      <c r="E25" s="28"/>
      <c r="F25" s="28"/>
      <c r="G25" s="29"/>
    </row>
    <row r="26" spans="2:7" ht="15.75" customHeight="1" x14ac:dyDescent="0.3">
      <c r="B26" s="314"/>
      <c r="C26" s="33" t="s">
        <v>24</v>
      </c>
      <c r="G26" s="21"/>
    </row>
    <row r="27" spans="2:7" ht="15.75" customHeight="1" x14ac:dyDescent="0.25">
      <c r="B27" s="329"/>
      <c r="C27" s="22"/>
      <c r="D27" s="23"/>
      <c r="E27" s="23"/>
      <c r="F27" s="23"/>
      <c r="G27" s="24"/>
    </row>
    <row r="28" spans="2:7" ht="15.75" customHeight="1" x14ac:dyDescent="0.25">
      <c r="B28" s="288" t="s">
        <v>25</v>
      </c>
      <c r="C28" s="289"/>
      <c r="D28" s="289"/>
      <c r="E28" s="288" t="s">
        <v>26</v>
      </c>
      <c r="F28" s="289"/>
      <c r="G28" s="292"/>
    </row>
    <row r="29" spans="2:7" ht="15.75" customHeight="1" x14ac:dyDescent="0.25">
      <c r="B29" s="290"/>
      <c r="C29" s="291"/>
      <c r="D29" s="291"/>
      <c r="E29" s="290"/>
      <c r="F29" s="291"/>
      <c r="G29" s="293"/>
    </row>
    <row r="30" spans="2:7" ht="15.75" customHeight="1" x14ac:dyDescent="0.25">
      <c r="B30" s="25"/>
      <c r="C30" s="26"/>
      <c r="D30" s="27"/>
      <c r="E30" s="25"/>
      <c r="F30" s="26"/>
      <c r="G30" s="27"/>
    </row>
    <row r="31" spans="2:7" ht="15.75" customHeight="1" x14ac:dyDescent="0.3">
      <c r="B31" s="20"/>
      <c r="C31" s="28"/>
      <c r="D31" s="21"/>
      <c r="E31" s="285" t="s">
        <v>27</v>
      </c>
      <c r="F31" s="286"/>
      <c r="G31" s="287"/>
    </row>
    <row r="32" spans="2:7" ht="15.75" customHeight="1" x14ac:dyDescent="0.25">
      <c r="B32" s="20"/>
      <c r="D32" s="21"/>
      <c r="E32" s="20"/>
      <c r="G32" s="21"/>
    </row>
    <row r="33" spans="2:7" ht="15.75" customHeight="1" x14ac:dyDescent="0.25">
      <c r="B33" s="20"/>
      <c r="D33" s="21"/>
      <c r="E33" s="20"/>
      <c r="F33" s="43"/>
      <c r="G33" s="21"/>
    </row>
    <row r="34" spans="2:7" ht="15.75" customHeight="1" x14ac:dyDescent="0.25">
      <c r="B34" s="20"/>
      <c r="D34" s="21"/>
      <c r="E34" s="20"/>
      <c r="G34" s="21"/>
    </row>
    <row r="35" spans="2:7" ht="15.75" customHeight="1" x14ac:dyDescent="0.25">
      <c r="B35" s="20"/>
      <c r="D35" s="21"/>
      <c r="E35" s="20"/>
      <c r="G35" s="21"/>
    </row>
    <row r="36" spans="2:7" ht="15.75" customHeight="1" x14ac:dyDescent="0.25">
      <c r="B36" s="20"/>
      <c r="D36" s="21"/>
      <c r="E36" s="20"/>
      <c r="G36" s="21"/>
    </row>
    <row r="37" spans="2:7" ht="15.75" customHeight="1" x14ac:dyDescent="0.25">
      <c r="B37" s="20"/>
      <c r="D37" s="21"/>
      <c r="E37" s="20"/>
      <c r="G37" s="21"/>
    </row>
    <row r="38" spans="2:7" ht="15.75" customHeight="1" x14ac:dyDescent="0.25">
      <c r="B38" s="20"/>
      <c r="D38" s="21"/>
      <c r="E38" s="20"/>
      <c r="G38" s="21"/>
    </row>
    <row r="39" spans="2:7" ht="15.75" customHeight="1" x14ac:dyDescent="0.25">
      <c r="B39" s="20"/>
      <c r="D39" s="21"/>
      <c r="E39" s="20"/>
      <c r="G39" s="21"/>
    </row>
    <row r="40" spans="2:7" ht="15.75" customHeight="1" x14ac:dyDescent="0.25">
      <c r="B40" s="20"/>
      <c r="D40" s="21"/>
      <c r="E40" s="20"/>
      <c r="G40" s="21"/>
    </row>
    <row r="41" spans="2:7" ht="15.75" customHeight="1" x14ac:dyDescent="0.25">
      <c r="B41" s="20"/>
      <c r="D41" s="21"/>
      <c r="E41" s="20"/>
      <c r="G41" s="21"/>
    </row>
    <row r="42" spans="2:7" ht="15.75" customHeight="1" x14ac:dyDescent="0.25">
      <c r="B42" s="20"/>
      <c r="D42" s="21"/>
      <c r="E42" s="20"/>
      <c r="G42" s="21"/>
    </row>
    <row r="43" spans="2:7" ht="15.75" customHeight="1" x14ac:dyDescent="0.25">
      <c r="B43" s="20"/>
      <c r="D43" s="21"/>
      <c r="E43" s="20"/>
      <c r="G43" s="21"/>
    </row>
    <row r="44" spans="2:7" ht="15.75" customHeight="1" x14ac:dyDescent="0.25">
      <c r="B44" s="20"/>
      <c r="D44" s="21"/>
      <c r="E44" s="20"/>
      <c r="G44" s="21"/>
    </row>
    <row r="45" spans="2:7" ht="15.75" customHeight="1" x14ac:dyDescent="0.25">
      <c r="B45" s="20"/>
      <c r="D45" s="21"/>
      <c r="E45" s="20"/>
      <c r="G45" s="21"/>
    </row>
    <row r="46" spans="2:7" ht="15.75" customHeight="1" x14ac:dyDescent="0.25">
      <c r="B46" s="20"/>
      <c r="D46" s="21"/>
      <c r="E46" s="20"/>
      <c r="G46" s="21"/>
    </row>
    <row r="47" spans="2:7" x14ac:dyDescent="0.25">
      <c r="B47" s="22"/>
      <c r="C47" s="23"/>
      <c r="D47" s="24"/>
      <c r="E47" s="22"/>
      <c r="F47" s="23"/>
      <c r="G47" s="24"/>
    </row>
  </sheetData>
  <mergeCells count="15">
    <mergeCell ref="E31:G31"/>
    <mergeCell ref="B28:D29"/>
    <mergeCell ref="E28:G29"/>
    <mergeCell ref="G1:G2"/>
    <mergeCell ref="E1:F2"/>
    <mergeCell ref="B1:D2"/>
    <mergeCell ref="B3:F4"/>
    <mergeCell ref="G3:G4"/>
    <mergeCell ref="B5:B14"/>
    <mergeCell ref="B15:G16"/>
    <mergeCell ref="C10:G10"/>
    <mergeCell ref="B17:F18"/>
    <mergeCell ref="G17:G18"/>
    <mergeCell ref="B19:B27"/>
    <mergeCell ref="C24:G2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4EC5-05E5-4D2A-ACD8-770D96FB4C77}">
  <dimension ref="B1:G49"/>
  <sheetViews>
    <sheetView showWhiteSpace="0" view="pageLayout" zoomScaleNormal="100" workbookViewId="0">
      <selection activeCell="N29" sqref="N2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Kompetenzraster!O7</f>
        <v>45526</v>
      </c>
      <c r="F1" s="297"/>
      <c r="G1" s="294">
        <v>2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.75" customHeight="1" x14ac:dyDescent="0.3">
      <c r="B5" s="338" t="s">
        <v>10</v>
      </c>
      <c r="C5" s="81" t="s">
        <v>109</v>
      </c>
      <c r="D5" s="78"/>
      <c r="E5" s="78"/>
      <c r="F5" s="79"/>
      <c r="G5" s="64" t="s">
        <v>12</v>
      </c>
    </row>
    <row r="6" spans="2:7" x14ac:dyDescent="0.25">
      <c r="B6" s="339"/>
      <c r="C6" s="20"/>
      <c r="D6" s="65"/>
      <c r="E6" s="65"/>
      <c r="F6" s="21"/>
      <c r="G6" s="21"/>
    </row>
    <row r="7" spans="2:7" x14ac:dyDescent="0.25">
      <c r="B7" s="339"/>
      <c r="C7" s="72" t="s">
        <v>96</v>
      </c>
      <c r="F7" s="21"/>
      <c r="G7" s="21"/>
    </row>
    <row r="8" spans="2:7" ht="15.75" x14ac:dyDescent="0.3">
      <c r="B8" s="339"/>
      <c r="C8" s="33" t="s">
        <v>97</v>
      </c>
      <c r="D8" s="28"/>
      <c r="E8" s="28"/>
      <c r="F8" s="29"/>
      <c r="G8" s="29"/>
    </row>
    <row r="9" spans="2:7" ht="15.75" x14ac:dyDescent="0.3">
      <c r="B9" s="339"/>
      <c r="C9" s="33" t="s">
        <v>98</v>
      </c>
      <c r="D9" s="67"/>
      <c r="E9" s="67"/>
      <c r="F9" s="68"/>
      <c r="G9" s="21"/>
    </row>
    <row r="10" spans="2:7" x14ac:dyDescent="0.25">
      <c r="B10" s="339"/>
      <c r="C10" s="69"/>
      <c r="D10" s="70"/>
      <c r="E10" s="70"/>
      <c r="F10" s="71"/>
      <c r="G10" s="21"/>
    </row>
    <row r="11" spans="2:7" x14ac:dyDescent="0.25">
      <c r="B11" s="339"/>
      <c r="C11" s="22"/>
      <c r="D11" s="23"/>
      <c r="E11" s="23"/>
      <c r="F11" s="24"/>
      <c r="G11" s="24"/>
    </row>
    <row r="12" spans="2:7" x14ac:dyDescent="0.25">
      <c r="B12" s="340"/>
      <c r="C12" s="342" t="s">
        <v>16</v>
      </c>
      <c r="D12" s="343"/>
      <c r="E12" s="343"/>
      <c r="F12" s="343"/>
      <c r="G12" s="324"/>
    </row>
    <row r="13" spans="2:7" ht="15.75" x14ac:dyDescent="0.3">
      <c r="B13" s="340"/>
      <c r="C13" s="33" t="s">
        <v>122</v>
      </c>
      <c r="D13" s="28"/>
      <c r="E13" s="28"/>
      <c r="F13" s="28"/>
      <c r="G13" s="21"/>
    </row>
    <row r="14" spans="2:7" ht="15" customHeight="1" x14ac:dyDescent="0.3">
      <c r="B14" s="341"/>
      <c r="C14" s="28"/>
      <c r="D14" s="28"/>
      <c r="E14" s="28"/>
      <c r="F14" s="28"/>
      <c r="G14" s="29"/>
    </row>
    <row r="15" spans="2:7" ht="15" customHeight="1" x14ac:dyDescent="0.25">
      <c r="B15" s="316" t="s">
        <v>19</v>
      </c>
      <c r="C15" s="317"/>
      <c r="D15" s="317"/>
      <c r="E15" s="317"/>
      <c r="F15" s="317"/>
      <c r="G15" s="318"/>
    </row>
    <row r="16" spans="2:7" ht="15" customHeight="1" x14ac:dyDescent="0.25">
      <c r="B16" s="319"/>
      <c r="C16" s="320"/>
      <c r="D16" s="320"/>
      <c r="E16" s="320"/>
      <c r="F16" s="320"/>
      <c r="G16" s="321"/>
    </row>
    <row r="17" spans="2:7" ht="15" customHeight="1" x14ac:dyDescent="0.25">
      <c r="B17" s="330" t="s">
        <v>74</v>
      </c>
      <c r="C17" s="344"/>
      <c r="D17" s="344"/>
      <c r="E17" s="344"/>
      <c r="F17" s="345"/>
      <c r="G17" s="349">
        <v>1.3</v>
      </c>
    </row>
    <row r="18" spans="2:7" ht="15" customHeight="1" x14ac:dyDescent="0.25">
      <c r="B18" s="346"/>
      <c r="C18" s="347"/>
      <c r="D18" s="347"/>
      <c r="E18" s="347"/>
      <c r="F18" s="348"/>
      <c r="G18" s="350"/>
    </row>
    <row r="19" spans="2:7" ht="15.75" customHeight="1" x14ac:dyDescent="0.3">
      <c r="B19" s="351" t="s">
        <v>20</v>
      </c>
      <c r="C19" s="30" t="s">
        <v>100</v>
      </c>
      <c r="D19" s="31"/>
      <c r="E19" s="31"/>
      <c r="F19" s="32"/>
      <c r="G19" s="64" t="s">
        <v>12</v>
      </c>
    </row>
    <row r="20" spans="2:7" x14ac:dyDescent="0.25">
      <c r="B20" s="338"/>
      <c r="C20" s="72" t="s">
        <v>96</v>
      </c>
      <c r="F20" s="73"/>
      <c r="G20" s="21"/>
    </row>
    <row r="21" spans="2:7" ht="15.75" x14ac:dyDescent="0.3">
      <c r="B21" s="339"/>
      <c r="C21" s="33" t="s">
        <v>101</v>
      </c>
      <c r="F21" s="21"/>
      <c r="G21" s="21"/>
    </row>
    <row r="22" spans="2:7" ht="15.75" x14ac:dyDescent="0.3">
      <c r="B22" s="339"/>
      <c r="C22" s="33"/>
      <c r="F22" s="21"/>
      <c r="G22" s="21"/>
    </row>
    <row r="23" spans="2:7" x14ac:dyDescent="0.25">
      <c r="B23" s="339"/>
      <c r="C23" s="66" t="s">
        <v>99</v>
      </c>
      <c r="D23" s="74"/>
      <c r="E23" s="74"/>
      <c r="F23" s="21"/>
      <c r="G23" s="21"/>
    </row>
    <row r="24" spans="2:7" ht="15.75" x14ac:dyDescent="0.3">
      <c r="B24" s="339"/>
      <c r="C24" s="66" t="s">
        <v>102</v>
      </c>
      <c r="D24" s="75"/>
      <c r="E24" s="75"/>
      <c r="F24" s="21"/>
      <c r="G24" s="29"/>
    </row>
    <row r="25" spans="2:7" ht="15.75" x14ac:dyDescent="0.3">
      <c r="B25" s="339"/>
      <c r="C25" s="34"/>
      <c r="D25" s="41"/>
      <c r="E25" s="41"/>
      <c r="F25" s="42"/>
      <c r="G25" s="24"/>
    </row>
    <row r="26" spans="2:7" x14ac:dyDescent="0.25">
      <c r="B26" s="340"/>
      <c r="C26" s="342" t="s">
        <v>16</v>
      </c>
      <c r="D26" s="343"/>
      <c r="E26" s="343"/>
      <c r="F26" s="343"/>
      <c r="G26" s="324"/>
    </row>
    <row r="27" spans="2:7" ht="15.75" x14ac:dyDescent="0.3">
      <c r="B27" s="340"/>
      <c r="C27" s="33" t="s">
        <v>121</v>
      </c>
      <c r="D27" s="28"/>
      <c r="E27" s="28"/>
      <c r="F27" s="28"/>
      <c r="G27" s="29"/>
    </row>
    <row r="28" spans="2:7" ht="15.75" x14ac:dyDescent="0.3">
      <c r="B28" s="340"/>
      <c r="C28" s="33"/>
      <c r="G28" s="21"/>
    </row>
    <row r="29" spans="2:7" x14ac:dyDescent="0.25">
      <c r="B29" s="352"/>
      <c r="C29" s="22"/>
      <c r="D29" s="23"/>
      <c r="E29" s="23"/>
      <c r="F29" s="23"/>
      <c r="G29" s="24"/>
    </row>
    <row r="30" spans="2:7" ht="15" customHeight="1" x14ac:dyDescent="0.25">
      <c r="B30" s="288" t="s">
        <v>25</v>
      </c>
      <c r="C30" s="289"/>
      <c r="D30" s="289"/>
      <c r="E30" s="288" t="s">
        <v>26</v>
      </c>
      <c r="F30" s="289"/>
      <c r="G30" s="292"/>
    </row>
    <row r="31" spans="2:7" ht="15" customHeight="1" x14ac:dyDescent="0.25">
      <c r="B31" s="290"/>
      <c r="C31" s="291"/>
      <c r="D31" s="291"/>
      <c r="E31" s="290"/>
      <c r="F31" s="291"/>
      <c r="G31" s="293"/>
    </row>
    <row r="32" spans="2:7" x14ac:dyDescent="0.25">
      <c r="B32" s="25"/>
      <c r="C32" s="26"/>
      <c r="D32" s="27"/>
      <c r="E32" s="25"/>
      <c r="F32" s="26"/>
      <c r="G32" s="27"/>
    </row>
    <row r="33" spans="2:7" ht="15.75" x14ac:dyDescent="0.3">
      <c r="B33" s="20"/>
      <c r="C33" s="76"/>
      <c r="D33" s="77"/>
      <c r="E33" s="20"/>
      <c r="G33" s="21"/>
    </row>
    <row r="34" spans="2:7" x14ac:dyDescent="0.25">
      <c r="B34" s="20"/>
      <c r="D34" s="21"/>
      <c r="E34" s="20"/>
      <c r="G34" s="21"/>
    </row>
    <row r="35" spans="2:7" x14ac:dyDescent="0.25">
      <c r="B35" s="20"/>
      <c r="D35" s="21"/>
      <c r="E35" s="20"/>
      <c r="G35" s="21"/>
    </row>
    <row r="36" spans="2:7" x14ac:dyDescent="0.25">
      <c r="B36" s="20"/>
      <c r="D36" s="21"/>
      <c r="E36" s="20"/>
      <c r="G36" s="21"/>
    </row>
    <row r="37" spans="2:7" x14ac:dyDescent="0.25">
      <c r="B37" s="20"/>
      <c r="D37" s="21"/>
      <c r="E37" s="20"/>
      <c r="G37" s="21"/>
    </row>
    <row r="38" spans="2:7" x14ac:dyDescent="0.25">
      <c r="B38" s="20"/>
      <c r="D38" s="21"/>
      <c r="E38" s="20"/>
      <c r="G38" s="21"/>
    </row>
    <row r="39" spans="2:7" x14ac:dyDescent="0.25">
      <c r="B39" s="20"/>
      <c r="D39" s="21"/>
      <c r="E39" s="20"/>
      <c r="G39" s="21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4">
    <mergeCell ref="B30:D31"/>
    <mergeCell ref="E30:G31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9"/>
    <mergeCell ref="C26:G26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77E6-5752-487B-B32C-7D8A0CA6A40D}">
  <dimension ref="B1:G49"/>
  <sheetViews>
    <sheetView showWhiteSpace="0" view="pageLayout" zoomScaleNormal="100" workbookViewId="0">
      <selection activeCell="F43" sqref="F43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Kompetenzraster!O9</f>
        <v>45533</v>
      </c>
      <c r="F1" s="297"/>
      <c r="G1" s="294">
        <v>3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3">
      <c r="B5" s="338" t="s">
        <v>107</v>
      </c>
      <c r="C5" s="63" t="s">
        <v>99</v>
      </c>
      <c r="D5" s="31"/>
      <c r="E5" s="31"/>
      <c r="F5" s="32"/>
      <c r="G5" s="64" t="s">
        <v>12</v>
      </c>
    </row>
    <row r="6" spans="2:7" ht="15" customHeight="1" x14ac:dyDescent="0.3">
      <c r="B6" s="339"/>
      <c r="C6" s="33" t="s">
        <v>104</v>
      </c>
      <c r="D6" s="65"/>
      <c r="E6" s="65"/>
      <c r="F6" s="21"/>
      <c r="G6" s="21"/>
    </row>
    <row r="7" spans="2:7" ht="15" customHeight="1" x14ac:dyDescent="0.3">
      <c r="B7" s="339"/>
      <c r="C7" s="33" t="s">
        <v>105</v>
      </c>
      <c r="F7" s="21"/>
      <c r="G7" s="21"/>
    </row>
    <row r="8" spans="2:7" ht="15" customHeight="1" x14ac:dyDescent="0.25">
      <c r="B8" s="339"/>
      <c r="C8" s="22"/>
      <c r="D8" s="23"/>
      <c r="E8" s="23"/>
      <c r="F8" s="24"/>
      <c r="G8" s="24"/>
    </row>
    <row r="9" spans="2:7" ht="15" customHeight="1" x14ac:dyDescent="0.25">
      <c r="B9" s="340"/>
      <c r="C9" s="342" t="s">
        <v>16</v>
      </c>
      <c r="D9" s="343"/>
      <c r="E9" s="343"/>
      <c r="F9" s="343"/>
      <c r="G9" s="324"/>
    </row>
    <row r="10" spans="2:7" ht="15" customHeight="1" x14ac:dyDescent="0.3">
      <c r="B10" s="340"/>
      <c r="C10" s="33" t="s">
        <v>103</v>
      </c>
      <c r="D10" s="65"/>
      <c r="E10" s="65"/>
      <c r="F10" s="65"/>
      <c r="G10" s="21"/>
    </row>
    <row r="11" spans="2:7" ht="15" customHeight="1" x14ac:dyDescent="0.3">
      <c r="B11" s="353"/>
      <c r="C11" s="28"/>
      <c r="D11" s="28"/>
      <c r="E11" s="28"/>
      <c r="F11" s="28"/>
      <c r="G11" s="29"/>
    </row>
    <row r="12" spans="2:7" ht="15" customHeight="1" x14ac:dyDescent="0.25">
      <c r="B12" s="330" t="s">
        <v>115</v>
      </c>
      <c r="C12" s="331"/>
      <c r="D12" s="331"/>
      <c r="E12" s="331"/>
      <c r="F12" s="332"/>
      <c r="G12" s="336">
        <v>1.5</v>
      </c>
    </row>
    <row r="13" spans="2:7" ht="15" customHeight="1" x14ac:dyDescent="0.25">
      <c r="B13" s="333"/>
      <c r="C13" s="357"/>
      <c r="D13" s="357"/>
      <c r="E13" s="357"/>
      <c r="F13" s="358"/>
      <c r="G13" s="337"/>
    </row>
    <row r="14" spans="2:7" ht="15" customHeight="1" x14ac:dyDescent="0.3">
      <c r="B14" s="351" t="s">
        <v>108</v>
      </c>
      <c r="C14" s="63" t="s">
        <v>96</v>
      </c>
      <c r="D14" s="31"/>
      <c r="F14" s="21"/>
      <c r="G14" s="84" t="s">
        <v>12</v>
      </c>
    </row>
    <row r="15" spans="2:7" ht="15.75" x14ac:dyDescent="0.3">
      <c r="B15" s="339"/>
      <c r="C15" s="33" t="s">
        <v>118</v>
      </c>
      <c r="D15" s="65"/>
      <c r="E15" s="28"/>
      <c r="F15" s="29"/>
      <c r="G15" s="29"/>
    </row>
    <row r="16" spans="2:7" ht="15.75" x14ac:dyDescent="0.3">
      <c r="B16" s="339"/>
      <c r="C16" s="33" t="s">
        <v>119</v>
      </c>
      <c r="E16" s="28"/>
      <c r="F16" s="29"/>
      <c r="G16" s="29"/>
    </row>
    <row r="17" spans="2:7" x14ac:dyDescent="0.25">
      <c r="B17" s="339"/>
      <c r="C17" s="66"/>
      <c r="D17" s="67"/>
      <c r="E17" s="67"/>
      <c r="F17" s="68"/>
      <c r="G17" s="21"/>
    </row>
    <row r="18" spans="2:7" x14ac:dyDescent="0.25">
      <c r="B18" s="339"/>
      <c r="C18" s="69"/>
      <c r="D18" s="70"/>
      <c r="E18" s="70"/>
      <c r="F18" s="71"/>
      <c r="G18" s="21"/>
    </row>
    <row r="19" spans="2:7" x14ac:dyDescent="0.25">
      <c r="B19" s="339"/>
      <c r="C19" s="22"/>
      <c r="D19" s="23"/>
      <c r="E19" s="23"/>
      <c r="F19" s="24"/>
      <c r="G19" s="24"/>
    </row>
    <row r="20" spans="2:7" x14ac:dyDescent="0.25">
      <c r="B20" s="354"/>
      <c r="C20" s="342" t="s">
        <v>16</v>
      </c>
      <c r="D20" s="343"/>
      <c r="E20" s="343"/>
      <c r="F20" s="343"/>
      <c r="G20" s="324"/>
    </row>
    <row r="21" spans="2:7" ht="15.75" x14ac:dyDescent="0.3">
      <c r="B21" s="355"/>
      <c r="C21" s="30" t="s">
        <v>120</v>
      </c>
      <c r="D21" s="91"/>
      <c r="E21" s="91"/>
      <c r="F21" s="91"/>
      <c r="G21" s="27"/>
    </row>
    <row r="22" spans="2:7" ht="15.75" x14ac:dyDescent="0.3">
      <c r="B22" s="356"/>
      <c r="C22" s="34"/>
      <c r="D22" s="41"/>
      <c r="E22" s="41"/>
      <c r="F22" s="41"/>
      <c r="G22" s="42"/>
    </row>
    <row r="23" spans="2:7" ht="15" customHeight="1" x14ac:dyDescent="0.25">
      <c r="B23" s="316" t="s">
        <v>19</v>
      </c>
      <c r="C23" s="317"/>
      <c r="D23" s="317"/>
      <c r="E23" s="317"/>
      <c r="F23" s="317"/>
      <c r="G23" s="318"/>
    </row>
    <row r="24" spans="2:7" ht="15" customHeight="1" x14ac:dyDescent="0.25">
      <c r="B24" s="319"/>
      <c r="C24" s="320"/>
      <c r="D24" s="320"/>
      <c r="E24" s="320"/>
      <c r="F24" s="320"/>
      <c r="G24" s="321"/>
    </row>
    <row r="25" spans="2:7" ht="15" customHeight="1" x14ac:dyDescent="0.25">
      <c r="B25" s="330" t="s">
        <v>74</v>
      </c>
      <c r="C25" s="344"/>
      <c r="D25" s="344"/>
      <c r="E25" s="344"/>
      <c r="F25" s="345"/>
      <c r="G25" s="349">
        <v>1.3</v>
      </c>
    </row>
    <row r="26" spans="2:7" ht="15" customHeight="1" x14ac:dyDescent="0.25">
      <c r="B26" s="346"/>
      <c r="C26" s="347"/>
      <c r="D26" s="347"/>
      <c r="E26" s="347"/>
      <c r="F26" s="348"/>
      <c r="G26" s="350"/>
    </row>
    <row r="27" spans="2:7" ht="15.75" customHeight="1" x14ac:dyDescent="0.3">
      <c r="B27" s="351" t="s">
        <v>20</v>
      </c>
      <c r="C27" s="30"/>
      <c r="D27" s="31"/>
      <c r="E27" s="31"/>
      <c r="F27" s="32"/>
      <c r="G27" s="64" t="s">
        <v>12</v>
      </c>
    </row>
    <row r="28" spans="2:7" x14ac:dyDescent="0.25">
      <c r="B28" s="338"/>
      <c r="C28" s="72" t="s">
        <v>99</v>
      </c>
      <c r="F28" s="73"/>
      <c r="G28" s="21"/>
    </row>
    <row r="29" spans="2:7" ht="15.75" x14ac:dyDescent="0.3">
      <c r="B29" s="339"/>
      <c r="C29" s="33" t="s">
        <v>106</v>
      </c>
      <c r="F29" s="21"/>
      <c r="G29" s="21"/>
    </row>
    <row r="30" spans="2:7" ht="15.75" x14ac:dyDescent="0.3">
      <c r="B30" s="339"/>
      <c r="C30" s="33"/>
      <c r="F30" s="21"/>
      <c r="G30" s="21"/>
    </row>
    <row r="31" spans="2:7" ht="15.75" x14ac:dyDescent="0.3">
      <c r="B31" s="339"/>
      <c r="C31" s="34"/>
      <c r="D31" s="41"/>
      <c r="E31" s="41"/>
      <c r="F31" s="42"/>
      <c r="G31" s="24"/>
    </row>
    <row r="32" spans="2:7" x14ac:dyDescent="0.25">
      <c r="B32" s="340"/>
      <c r="C32" s="342" t="s">
        <v>16</v>
      </c>
      <c r="D32" s="343"/>
      <c r="E32" s="343"/>
      <c r="F32" s="343"/>
      <c r="G32" s="324"/>
    </row>
    <row r="33" spans="2:7" ht="15.75" x14ac:dyDescent="0.3">
      <c r="B33" s="340"/>
      <c r="C33" s="33" t="s">
        <v>121</v>
      </c>
      <c r="D33" s="28"/>
      <c r="E33" s="28"/>
      <c r="F33" s="28"/>
      <c r="G33" s="29"/>
    </row>
    <row r="34" spans="2:7" ht="15.75" x14ac:dyDescent="0.3">
      <c r="B34" s="340"/>
      <c r="C34" s="33"/>
      <c r="G34" s="21"/>
    </row>
    <row r="35" spans="2:7" x14ac:dyDescent="0.25">
      <c r="B35" s="352"/>
      <c r="C35" s="22"/>
      <c r="D35" s="23"/>
      <c r="E35" s="23"/>
      <c r="F35" s="23"/>
      <c r="G35" s="24"/>
    </row>
    <row r="36" spans="2:7" ht="15" customHeight="1" x14ac:dyDescent="0.25">
      <c r="B36" s="288" t="s">
        <v>25</v>
      </c>
      <c r="C36" s="289"/>
      <c r="D36" s="289"/>
      <c r="E36" s="288" t="s">
        <v>26</v>
      </c>
      <c r="F36" s="289"/>
      <c r="G36" s="292"/>
    </row>
    <row r="37" spans="2:7" ht="15" customHeight="1" x14ac:dyDescent="0.25">
      <c r="B37" s="290"/>
      <c r="C37" s="291"/>
      <c r="D37" s="291"/>
      <c r="E37" s="290"/>
      <c r="F37" s="291"/>
      <c r="G37" s="293"/>
    </row>
    <row r="38" spans="2:7" x14ac:dyDescent="0.25">
      <c r="B38" s="25"/>
      <c r="C38" s="26"/>
      <c r="D38" s="27"/>
      <c r="E38" s="25"/>
      <c r="F38" s="26"/>
      <c r="G38" s="27"/>
    </row>
    <row r="39" spans="2:7" x14ac:dyDescent="0.25">
      <c r="B39" s="20"/>
      <c r="D39" s="21"/>
      <c r="E39" s="20"/>
      <c r="G39" s="21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8">
    <mergeCell ref="B12:F13"/>
    <mergeCell ref="G12:G13"/>
    <mergeCell ref="B36:D37"/>
    <mergeCell ref="E36:G37"/>
    <mergeCell ref="B27:B35"/>
    <mergeCell ref="C32:G32"/>
    <mergeCell ref="B1:D2"/>
    <mergeCell ref="E1:F2"/>
    <mergeCell ref="G1:G2"/>
    <mergeCell ref="B3:F4"/>
    <mergeCell ref="G3:G4"/>
    <mergeCell ref="B5:B11"/>
    <mergeCell ref="C9:G9"/>
    <mergeCell ref="C20:G20"/>
    <mergeCell ref="B23:G24"/>
    <mergeCell ref="B25:F26"/>
    <mergeCell ref="G25:G26"/>
    <mergeCell ref="B14:B22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0AD3-82D7-4C69-A670-2D2A2B1995BC}">
  <dimension ref="B1:G49"/>
  <sheetViews>
    <sheetView showWhiteSpace="0" view="pageLayout" zoomScaleNormal="100" workbookViewId="0">
      <selection activeCell="D15" sqref="D1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Kompetenzraster!O11</f>
        <v>45540</v>
      </c>
      <c r="F1" s="297"/>
      <c r="G1" s="294">
        <v>4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3">
      <c r="B5" s="338" t="s">
        <v>107</v>
      </c>
      <c r="C5" s="63" t="s">
        <v>99</v>
      </c>
      <c r="D5" s="31"/>
      <c r="E5" s="31"/>
      <c r="F5" s="32"/>
      <c r="G5" s="64" t="s">
        <v>12</v>
      </c>
    </row>
    <row r="6" spans="2:7" ht="15" customHeight="1" x14ac:dyDescent="0.3">
      <c r="B6" s="339"/>
      <c r="C6" s="33" t="s">
        <v>131</v>
      </c>
      <c r="D6" s="65"/>
      <c r="E6" s="65"/>
      <c r="F6" s="21"/>
      <c r="G6" s="21"/>
    </row>
    <row r="7" spans="2:7" ht="15" customHeight="1" x14ac:dyDescent="0.3">
      <c r="B7" s="339"/>
      <c r="C7" s="33" t="s">
        <v>130</v>
      </c>
      <c r="F7" s="21"/>
      <c r="G7" s="21"/>
    </row>
    <row r="8" spans="2:7" ht="15" customHeight="1" x14ac:dyDescent="0.25">
      <c r="B8" s="339"/>
      <c r="C8" s="22"/>
      <c r="D8" s="23"/>
      <c r="E8" s="23"/>
      <c r="F8" s="24"/>
      <c r="G8" s="24"/>
    </row>
    <row r="9" spans="2:7" ht="15" customHeight="1" x14ac:dyDescent="0.25">
      <c r="B9" s="340"/>
      <c r="C9" s="342" t="s">
        <v>16</v>
      </c>
      <c r="D9" s="343"/>
      <c r="E9" s="343"/>
      <c r="F9" s="343"/>
      <c r="G9" s="324"/>
    </row>
    <row r="10" spans="2:7" ht="15" customHeight="1" x14ac:dyDescent="0.3">
      <c r="B10" s="340"/>
      <c r="C10" s="33" t="s">
        <v>103</v>
      </c>
      <c r="D10" s="65"/>
      <c r="E10" s="65"/>
      <c r="F10" s="65"/>
      <c r="G10" s="21"/>
    </row>
    <row r="11" spans="2:7" ht="15" customHeight="1" x14ac:dyDescent="0.3">
      <c r="B11" s="353"/>
      <c r="C11" s="28"/>
      <c r="D11" s="28"/>
      <c r="E11" s="28"/>
      <c r="F11" s="28"/>
      <c r="G11" s="29"/>
    </row>
    <row r="12" spans="2:7" ht="15" customHeight="1" x14ac:dyDescent="0.25">
      <c r="B12" s="330" t="s">
        <v>115</v>
      </c>
      <c r="C12" s="331"/>
      <c r="D12" s="331"/>
      <c r="E12" s="331"/>
      <c r="F12" s="332"/>
      <c r="G12" s="336">
        <v>1.5</v>
      </c>
    </row>
    <row r="13" spans="2:7" ht="15" customHeight="1" x14ac:dyDescent="0.25">
      <c r="B13" s="333"/>
      <c r="C13" s="334"/>
      <c r="D13" s="334"/>
      <c r="E13" s="334"/>
      <c r="F13" s="335"/>
      <c r="G13" s="337"/>
    </row>
    <row r="14" spans="2:7" ht="15" customHeight="1" x14ac:dyDescent="0.3">
      <c r="B14" s="351" t="s">
        <v>108</v>
      </c>
      <c r="C14" s="63" t="s">
        <v>123</v>
      </c>
      <c r="D14" s="31"/>
      <c r="E14" s="26"/>
      <c r="F14" s="27"/>
      <c r="G14" s="84" t="s">
        <v>12</v>
      </c>
    </row>
    <row r="15" spans="2:7" ht="15.75" x14ac:dyDescent="0.3">
      <c r="B15" s="339"/>
      <c r="C15" s="33" t="s">
        <v>124</v>
      </c>
      <c r="D15" s="65"/>
      <c r="E15" s="28"/>
      <c r="F15" s="29"/>
      <c r="G15" s="29"/>
    </row>
    <row r="16" spans="2:7" ht="15.75" x14ac:dyDescent="0.3">
      <c r="B16" s="339"/>
      <c r="C16" s="33" t="s">
        <v>125</v>
      </c>
      <c r="E16" s="28"/>
      <c r="F16" s="29"/>
      <c r="G16" s="29"/>
    </row>
    <row r="17" spans="2:7" x14ac:dyDescent="0.25">
      <c r="B17" s="339"/>
      <c r="C17" s="72" t="s">
        <v>126</v>
      </c>
      <c r="D17" s="67"/>
      <c r="E17" s="67"/>
      <c r="F17" s="68"/>
      <c r="G17" s="21"/>
    </row>
    <row r="18" spans="2:7" ht="15.75" x14ac:dyDescent="0.3">
      <c r="B18" s="339"/>
      <c r="C18" s="33" t="s">
        <v>127</v>
      </c>
      <c r="D18" s="70"/>
      <c r="E18" s="70"/>
      <c r="F18" s="71"/>
      <c r="G18" s="21"/>
    </row>
    <row r="19" spans="2:7" x14ac:dyDescent="0.25">
      <c r="B19" s="339"/>
      <c r="C19" s="22"/>
      <c r="D19" s="23"/>
      <c r="E19" s="23"/>
      <c r="F19" s="24"/>
      <c r="G19" s="24"/>
    </row>
    <row r="20" spans="2:7" x14ac:dyDescent="0.25">
      <c r="B20" s="354"/>
      <c r="C20" s="342" t="s">
        <v>16</v>
      </c>
      <c r="D20" s="343"/>
      <c r="E20" s="343"/>
      <c r="F20" s="343"/>
      <c r="G20" s="324"/>
    </row>
    <row r="21" spans="2:7" ht="15.75" x14ac:dyDescent="0.3">
      <c r="B21" s="355"/>
      <c r="C21" s="30" t="s">
        <v>120</v>
      </c>
      <c r="D21" s="91"/>
      <c r="E21" s="91"/>
      <c r="F21" s="91"/>
      <c r="G21" s="27"/>
    </row>
    <row r="22" spans="2:7" ht="15.75" x14ac:dyDescent="0.3">
      <c r="B22" s="356"/>
      <c r="C22" s="34"/>
      <c r="D22" s="41"/>
      <c r="E22" s="41"/>
      <c r="F22" s="41"/>
      <c r="G22" s="42"/>
    </row>
    <row r="23" spans="2:7" ht="15" customHeight="1" x14ac:dyDescent="0.25">
      <c r="B23" s="316" t="s">
        <v>19</v>
      </c>
      <c r="C23" s="317"/>
      <c r="D23" s="317"/>
      <c r="E23" s="317"/>
      <c r="F23" s="317"/>
      <c r="G23" s="318"/>
    </row>
    <row r="24" spans="2:7" ht="15" customHeight="1" x14ac:dyDescent="0.25">
      <c r="B24" s="319"/>
      <c r="C24" s="320"/>
      <c r="D24" s="320"/>
      <c r="E24" s="320"/>
      <c r="F24" s="320"/>
      <c r="G24" s="321"/>
    </row>
    <row r="25" spans="2:7" ht="15" customHeight="1" x14ac:dyDescent="0.25">
      <c r="B25" s="330" t="s">
        <v>74</v>
      </c>
      <c r="C25" s="344"/>
      <c r="D25" s="344"/>
      <c r="E25" s="344"/>
      <c r="F25" s="345"/>
      <c r="G25" s="349">
        <v>1.3</v>
      </c>
    </row>
    <row r="26" spans="2:7" ht="15" customHeight="1" x14ac:dyDescent="0.25">
      <c r="B26" s="346"/>
      <c r="C26" s="347"/>
      <c r="D26" s="347"/>
      <c r="E26" s="347"/>
      <c r="F26" s="348"/>
      <c r="G26" s="350"/>
    </row>
    <row r="27" spans="2:7" ht="15.75" customHeight="1" x14ac:dyDescent="0.3">
      <c r="B27" s="351" t="s">
        <v>20</v>
      </c>
      <c r="C27" s="30"/>
      <c r="D27" s="31"/>
      <c r="E27" s="31"/>
      <c r="F27" s="32"/>
      <c r="G27" s="64" t="s">
        <v>12</v>
      </c>
    </row>
    <row r="28" spans="2:7" x14ac:dyDescent="0.25">
      <c r="B28" s="338"/>
      <c r="C28" s="72" t="s">
        <v>99</v>
      </c>
      <c r="F28" s="73"/>
      <c r="G28" s="21"/>
    </row>
    <row r="29" spans="2:7" ht="15.75" x14ac:dyDescent="0.3">
      <c r="B29" s="339"/>
      <c r="C29" s="33" t="s">
        <v>128</v>
      </c>
      <c r="F29" s="21"/>
      <c r="G29" s="21"/>
    </row>
    <row r="30" spans="2:7" ht="15.75" x14ac:dyDescent="0.3">
      <c r="B30" s="339"/>
      <c r="C30" s="33"/>
      <c r="F30" s="21"/>
      <c r="G30" s="21"/>
    </row>
    <row r="31" spans="2:7" ht="15.75" x14ac:dyDescent="0.3">
      <c r="B31" s="339"/>
      <c r="C31" s="34"/>
      <c r="D31" s="41"/>
      <c r="E31" s="41"/>
      <c r="F31" s="42"/>
      <c r="G31" s="24"/>
    </row>
    <row r="32" spans="2:7" x14ac:dyDescent="0.25">
      <c r="B32" s="340"/>
      <c r="C32" s="342" t="s">
        <v>16</v>
      </c>
      <c r="D32" s="343"/>
      <c r="E32" s="343"/>
      <c r="F32" s="343"/>
      <c r="G32" s="324"/>
    </row>
    <row r="33" spans="2:7" ht="15.75" x14ac:dyDescent="0.3">
      <c r="B33" s="340"/>
      <c r="C33" s="33" t="s">
        <v>121</v>
      </c>
      <c r="D33" s="28"/>
      <c r="E33" s="28"/>
      <c r="F33" s="28"/>
      <c r="G33" s="29"/>
    </row>
    <row r="34" spans="2:7" ht="15.75" x14ac:dyDescent="0.3">
      <c r="B34" s="340"/>
      <c r="C34" s="33"/>
      <c r="G34" s="21"/>
    </row>
    <row r="35" spans="2:7" x14ac:dyDescent="0.25">
      <c r="B35" s="352"/>
      <c r="C35" s="22"/>
      <c r="D35" s="23"/>
      <c r="E35" s="23"/>
      <c r="F35" s="23"/>
      <c r="G35" s="24"/>
    </row>
    <row r="36" spans="2:7" ht="15" customHeight="1" x14ac:dyDescent="0.25">
      <c r="B36" s="288" t="s">
        <v>25</v>
      </c>
      <c r="C36" s="289"/>
      <c r="D36" s="289"/>
      <c r="E36" s="288" t="s">
        <v>26</v>
      </c>
      <c r="F36" s="289"/>
      <c r="G36" s="292"/>
    </row>
    <row r="37" spans="2:7" ht="15" customHeight="1" x14ac:dyDescent="0.25">
      <c r="B37" s="290"/>
      <c r="C37" s="291"/>
      <c r="D37" s="291"/>
      <c r="E37" s="290"/>
      <c r="F37" s="291"/>
      <c r="G37" s="293"/>
    </row>
    <row r="38" spans="2:7" x14ac:dyDescent="0.25">
      <c r="B38" s="25"/>
      <c r="C38" s="26"/>
      <c r="D38" s="27"/>
      <c r="E38" s="25"/>
      <c r="F38" s="26"/>
      <c r="G38" s="27"/>
    </row>
    <row r="39" spans="2:7" x14ac:dyDescent="0.25">
      <c r="B39" s="20"/>
      <c r="D39" s="21"/>
      <c r="E39" s="20"/>
      <c r="G39" s="21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8">
    <mergeCell ref="B27:B35"/>
    <mergeCell ref="C32:G32"/>
    <mergeCell ref="B36:D37"/>
    <mergeCell ref="E36:G37"/>
    <mergeCell ref="B12:F13"/>
    <mergeCell ref="G12:G13"/>
    <mergeCell ref="B14:B22"/>
    <mergeCell ref="C20:G20"/>
    <mergeCell ref="B23:G24"/>
    <mergeCell ref="B25:F26"/>
    <mergeCell ref="G25:G26"/>
    <mergeCell ref="B5:B11"/>
    <mergeCell ref="C9:G9"/>
    <mergeCell ref="B1:D2"/>
    <mergeCell ref="E1:F2"/>
    <mergeCell ref="G1:G2"/>
    <mergeCell ref="B3:F4"/>
    <mergeCell ref="G3:G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2EA1-9D6C-42AE-8FB9-3F7485E9233D}">
  <dimension ref="B1:G49"/>
  <sheetViews>
    <sheetView showWhiteSpace="0" view="pageLayout" zoomScaleNormal="100" workbookViewId="0">
      <selection activeCell="E18" sqref="E1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v>45533</v>
      </c>
      <c r="F1" s="297"/>
      <c r="G1" s="294">
        <v>4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92" t="s">
        <v>132</v>
      </c>
      <c r="D5" s="93"/>
      <c r="E5" s="93"/>
      <c r="F5" s="94"/>
      <c r="G5" s="64" t="s">
        <v>12</v>
      </c>
    </row>
    <row r="6" spans="2:7" ht="15" customHeight="1" x14ac:dyDescent="0.25">
      <c r="B6" s="339"/>
      <c r="C6" s="72" t="s">
        <v>133</v>
      </c>
      <c r="D6" s="65"/>
      <c r="E6" s="65"/>
      <c r="F6" s="21"/>
      <c r="G6" s="21"/>
    </row>
    <row r="7" spans="2:7" ht="15" customHeight="1" x14ac:dyDescent="0.3">
      <c r="B7" s="339"/>
      <c r="C7" s="33" t="s">
        <v>134</v>
      </c>
      <c r="F7" s="21"/>
      <c r="G7" s="21"/>
    </row>
    <row r="8" spans="2:7" ht="15" customHeight="1" x14ac:dyDescent="0.3">
      <c r="B8" s="339"/>
      <c r="C8" s="34" t="s">
        <v>135</v>
      </c>
      <c r="D8" s="23"/>
      <c r="E8" s="23"/>
      <c r="F8" s="24"/>
      <c r="G8" s="24"/>
    </row>
    <row r="9" spans="2:7" ht="15" customHeight="1" x14ac:dyDescent="0.25">
      <c r="B9" s="340"/>
      <c r="C9" s="342" t="s">
        <v>16</v>
      </c>
      <c r="D9" s="343"/>
      <c r="E9" s="343"/>
      <c r="F9" s="343"/>
      <c r="G9" s="324"/>
    </row>
    <row r="10" spans="2:7" ht="15" customHeight="1" x14ac:dyDescent="0.3">
      <c r="B10" s="340"/>
      <c r="C10" s="33" t="s">
        <v>136</v>
      </c>
      <c r="D10" s="28"/>
      <c r="E10" s="28"/>
      <c r="F10" s="65"/>
      <c r="G10" s="95"/>
    </row>
    <row r="11" spans="2:7" ht="15" customHeight="1" x14ac:dyDescent="0.3">
      <c r="B11" s="340"/>
      <c r="C11" s="28"/>
      <c r="D11" s="65"/>
      <c r="E11" s="65"/>
      <c r="F11" s="65"/>
      <c r="G11" s="37"/>
    </row>
    <row r="12" spans="2:7" ht="15" customHeight="1" x14ac:dyDescent="0.3">
      <c r="B12" s="353"/>
      <c r="C12" s="28"/>
      <c r="D12" s="28"/>
      <c r="E12" s="28"/>
      <c r="F12" s="28"/>
      <c r="G12" s="39"/>
    </row>
    <row r="13" spans="2:7" ht="15" customHeight="1" x14ac:dyDescent="0.25">
      <c r="B13" s="330" t="s">
        <v>115</v>
      </c>
      <c r="C13" s="331"/>
      <c r="D13" s="331"/>
      <c r="E13" s="331"/>
      <c r="F13" s="332"/>
      <c r="G13" s="336">
        <v>1.5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63" t="s">
        <v>133</v>
      </c>
      <c r="D15" s="31"/>
      <c r="E15" s="26"/>
      <c r="F15" s="27"/>
      <c r="G15" s="84" t="s">
        <v>12</v>
      </c>
    </row>
    <row r="16" spans="2:7" ht="15.75" x14ac:dyDescent="0.3">
      <c r="B16" s="339"/>
      <c r="C16" s="33" t="s">
        <v>137</v>
      </c>
      <c r="D16" s="65"/>
      <c r="E16" s="28"/>
      <c r="F16" s="29"/>
      <c r="G16" s="29"/>
    </row>
    <row r="17" spans="2:7" ht="15.75" x14ac:dyDescent="0.3">
      <c r="B17" s="339"/>
      <c r="C17" s="33"/>
      <c r="E17" s="28"/>
      <c r="F17" s="29"/>
      <c r="G17" s="29"/>
    </row>
    <row r="18" spans="2:7" x14ac:dyDescent="0.25">
      <c r="B18" s="339"/>
      <c r="C18" s="72"/>
      <c r="D18" s="67"/>
      <c r="E18" s="67"/>
      <c r="F18" s="68"/>
      <c r="G18" s="21"/>
    </row>
    <row r="19" spans="2:7" ht="15.75" x14ac:dyDescent="0.3">
      <c r="B19" s="339"/>
      <c r="C19" s="33"/>
      <c r="D19" s="70"/>
      <c r="E19" s="70"/>
      <c r="F19" s="7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139</v>
      </c>
      <c r="C26" s="344"/>
      <c r="D26" s="344"/>
      <c r="E26" s="344"/>
      <c r="F26" s="345"/>
      <c r="G26" s="349">
        <v>1.3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63" t="s">
        <v>96</v>
      </c>
      <c r="D28" s="31"/>
      <c r="E28" s="31"/>
      <c r="F28" s="32"/>
      <c r="G28" s="64" t="s">
        <v>12</v>
      </c>
    </row>
    <row r="29" spans="2:7" ht="15.75" x14ac:dyDescent="0.3">
      <c r="B29" s="338"/>
      <c r="C29" s="33" t="s">
        <v>140</v>
      </c>
      <c r="F29" s="73"/>
      <c r="G29" s="21"/>
    </row>
    <row r="30" spans="2:7" x14ac:dyDescent="0.25">
      <c r="B30" s="339"/>
      <c r="C30" s="96" t="s">
        <v>99</v>
      </c>
      <c r="D30" s="97"/>
      <c r="F30" s="21"/>
      <c r="G30" s="21"/>
    </row>
    <row r="31" spans="2:7" ht="15.75" x14ac:dyDescent="0.3">
      <c r="B31" s="339"/>
      <c r="C31" s="98" t="s">
        <v>141</v>
      </c>
      <c r="D31" s="97"/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8">
    <mergeCell ref="B5:B12"/>
    <mergeCell ref="C9:G9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A269-765A-480A-A351-64DFC1F225F6}">
  <dimension ref="B1:G49"/>
  <sheetViews>
    <sheetView showWhiteSpace="0" view="pageLayout" zoomScaleNormal="100" workbookViewId="0">
      <selection activeCell="E41" sqref="E4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v>45554</v>
      </c>
      <c r="F1" s="297"/>
      <c r="G1" s="294">
        <v>6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 t="s">
        <v>133</v>
      </c>
      <c r="D5" s="91"/>
      <c r="E5" s="99"/>
      <c r="F5" s="100"/>
      <c r="G5" s="40" t="s">
        <v>12</v>
      </c>
    </row>
    <row r="6" spans="2:7" ht="15" customHeight="1" x14ac:dyDescent="0.3">
      <c r="B6" s="339"/>
      <c r="C6" s="33" t="s">
        <v>142</v>
      </c>
      <c r="E6" s="65"/>
      <c r="F6" s="21"/>
      <c r="G6" s="37"/>
    </row>
    <row r="7" spans="2:7" ht="15" customHeight="1" x14ac:dyDescent="0.3">
      <c r="B7" s="339"/>
      <c r="C7" s="33" t="s">
        <v>135</v>
      </c>
      <c r="F7" s="21"/>
      <c r="G7" s="37"/>
    </row>
    <row r="8" spans="2:7" ht="15" customHeight="1" x14ac:dyDescent="0.3">
      <c r="B8" s="339"/>
      <c r="C8" s="33" t="s">
        <v>143</v>
      </c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3" t="s">
        <v>136</v>
      </c>
      <c r="D11" s="28"/>
      <c r="E11" s="28"/>
      <c r="F11" s="65"/>
      <c r="G11" s="95"/>
    </row>
    <row r="12" spans="2:7" ht="15" customHeight="1" x14ac:dyDescent="0.3">
      <c r="B12" s="353"/>
      <c r="C12" s="28"/>
      <c r="D12" s="28"/>
      <c r="E12" s="28"/>
      <c r="F12" s="28"/>
      <c r="G12" s="39"/>
    </row>
    <row r="13" spans="2:7" ht="15" customHeight="1" x14ac:dyDescent="0.25">
      <c r="B13" s="330" t="s">
        <v>115</v>
      </c>
      <c r="C13" s="331"/>
      <c r="D13" s="331"/>
      <c r="E13" s="331"/>
      <c r="F13" s="332"/>
      <c r="G13" s="336">
        <v>1.5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63" t="s">
        <v>133</v>
      </c>
      <c r="D15" s="31"/>
      <c r="E15" s="26"/>
      <c r="F15" s="27"/>
      <c r="G15" s="84" t="s">
        <v>12</v>
      </c>
    </row>
    <row r="16" spans="2:7" ht="15.75" x14ac:dyDescent="0.3">
      <c r="B16" s="339"/>
      <c r="C16" s="33" t="s">
        <v>144</v>
      </c>
      <c r="D16" s="65"/>
      <c r="E16" s="28"/>
      <c r="F16" s="29"/>
      <c r="G16" s="29"/>
    </row>
    <row r="17" spans="2:7" ht="15.75" x14ac:dyDescent="0.3">
      <c r="B17" s="339"/>
      <c r="C17" s="20"/>
      <c r="E17" s="28"/>
      <c r="F17" s="29"/>
      <c r="G17" s="29"/>
    </row>
    <row r="18" spans="2:7" x14ac:dyDescent="0.25">
      <c r="B18" s="339"/>
      <c r="C18" s="72" t="s">
        <v>145</v>
      </c>
      <c r="D18" s="67"/>
      <c r="E18" s="67"/>
      <c r="F18" s="68"/>
      <c r="G18" s="21"/>
    </row>
    <row r="19" spans="2:7" ht="15.75" x14ac:dyDescent="0.3">
      <c r="B19" s="339"/>
      <c r="C19" s="33" t="s">
        <v>146</v>
      </c>
      <c r="D19" s="70"/>
      <c r="E19" s="70"/>
      <c r="F19" s="7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139</v>
      </c>
      <c r="C26" s="344"/>
      <c r="D26" s="344"/>
      <c r="E26" s="344"/>
      <c r="F26" s="345"/>
      <c r="G26" s="349">
        <v>1.2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63" t="s">
        <v>99</v>
      </c>
      <c r="D28" s="31"/>
      <c r="E28" s="31"/>
      <c r="F28" s="32"/>
      <c r="G28" s="64" t="s">
        <v>12</v>
      </c>
    </row>
    <row r="29" spans="2:7" ht="15.75" x14ac:dyDescent="0.3">
      <c r="B29" s="338"/>
      <c r="C29" s="33" t="s">
        <v>147</v>
      </c>
      <c r="F29" s="73"/>
      <c r="G29" s="21"/>
    </row>
    <row r="30" spans="2:7" x14ac:dyDescent="0.25">
      <c r="B30" s="339"/>
      <c r="C30" s="96"/>
      <c r="D30" s="97"/>
      <c r="F30" s="21"/>
      <c r="G30" s="21"/>
    </row>
    <row r="31" spans="2:7" ht="15.75" x14ac:dyDescent="0.3">
      <c r="B31" s="339"/>
      <c r="C31" s="98"/>
      <c r="D31" s="97"/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8">
    <mergeCell ref="B5:B12"/>
    <mergeCell ref="C10:G10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0F27-A793-4F3B-A487-B6B951652453}">
  <dimension ref="B1:G49"/>
  <sheetViews>
    <sheetView showWhiteSpace="0" view="pageLayout" zoomScaleNormal="100" workbookViewId="0">
      <selection activeCell="G18" sqref="G18:G2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v>45561</v>
      </c>
      <c r="F1" s="297"/>
      <c r="G1" s="294">
        <v>6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148</v>
      </c>
      <c r="D6" s="65"/>
      <c r="E6" s="28"/>
      <c r="F6" s="29"/>
      <c r="G6" s="37"/>
    </row>
    <row r="7" spans="2:7" ht="15" customHeight="1" x14ac:dyDescent="0.3">
      <c r="B7" s="339"/>
      <c r="C7" s="33" t="s">
        <v>149</v>
      </c>
      <c r="E7" s="28"/>
      <c r="F7" s="29"/>
      <c r="G7" s="37"/>
    </row>
    <row r="8" spans="2:7" ht="15" customHeight="1" x14ac:dyDescent="0.3">
      <c r="B8" s="339"/>
      <c r="C8" s="33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3" t="s">
        <v>136</v>
      </c>
      <c r="D11" s="28"/>
      <c r="E11" s="28"/>
      <c r="F11" s="65"/>
      <c r="G11" s="95"/>
    </row>
    <row r="12" spans="2:7" ht="15" customHeight="1" x14ac:dyDescent="0.3">
      <c r="B12" s="353"/>
      <c r="C12" s="28"/>
      <c r="D12" s="28"/>
      <c r="E12" s="28"/>
      <c r="F12" s="28"/>
      <c r="G12" s="39"/>
    </row>
    <row r="13" spans="2:7" ht="15" customHeight="1" x14ac:dyDescent="0.25">
      <c r="B13" s="330" t="s">
        <v>115</v>
      </c>
      <c r="C13" s="331"/>
      <c r="D13" s="331"/>
      <c r="E13" s="331"/>
      <c r="F13" s="332"/>
      <c r="G13" s="336">
        <v>1.5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63"/>
      <c r="D15" s="31"/>
      <c r="E15" s="26"/>
      <c r="F15" s="27"/>
      <c r="G15" s="84" t="s">
        <v>12</v>
      </c>
    </row>
    <row r="16" spans="2:7" ht="15.75" x14ac:dyDescent="0.3">
      <c r="B16" s="339"/>
      <c r="C16" s="72" t="s">
        <v>145</v>
      </c>
      <c r="D16" s="65"/>
      <c r="E16" s="28"/>
      <c r="F16" s="29"/>
      <c r="G16" s="29"/>
    </row>
    <row r="17" spans="2:7" ht="15.75" x14ac:dyDescent="0.3">
      <c r="B17" s="339"/>
      <c r="C17" s="33" t="s">
        <v>146</v>
      </c>
      <c r="E17" s="28"/>
      <c r="F17" s="29"/>
      <c r="G17" s="29"/>
    </row>
    <row r="18" spans="2:7" ht="15.75" x14ac:dyDescent="0.3">
      <c r="B18" s="339"/>
      <c r="C18" s="33" t="s">
        <v>150</v>
      </c>
      <c r="D18" s="67"/>
      <c r="E18" s="67"/>
      <c r="F18" s="68"/>
      <c r="G18" s="95" t="s">
        <v>151</v>
      </c>
    </row>
    <row r="19" spans="2:7" ht="15.75" x14ac:dyDescent="0.3">
      <c r="B19" s="339"/>
      <c r="C19" s="20"/>
      <c r="E19" s="28"/>
      <c r="F19" s="71"/>
      <c r="G19" s="37"/>
    </row>
    <row r="20" spans="2:7" x14ac:dyDescent="0.25">
      <c r="B20" s="339"/>
      <c r="C20" s="22"/>
      <c r="D20" s="23"/>
      <c r="E20" s="23"/>
      <c r="F20" s="24"/>
      <c r="G20" s="39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139</v>
      </c>
      <c r="C26" s="344"/>
      <c r="D26" s="344"/>
      <c r="E26" s="344"/>
      <c r="F26" s="345"/>
      <c r="G26" s="349">
        <v>1.2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63" t="s">
        <v>123</v>
      </c>
      <c r="D28" s="31"/>
      <c r="E28" s="31"/>
      <c r="F28" s="32"/>
      <c r="G28" s="64" t="s">
        <v>12</v>
      </c>
    </row>
    <row r="29" spans="2:7" ht="15.75" x14ac:dyDescent="0.3">
      <c r="B29" s="338"/>
      <c r="C29" s="33" t="s">
        <v>152</v>
      </c>
      <c r="F29" s="73"/>
      <c r="G29" s="21"/>
    </row>
    <row r="30" spans="2:7" x14ac:dyDescent="0.25">
      <c r="B30" s="339"/>
      <c r="C30" s="96"/>
      <c r="D30" s="97"/>
      <c r="F30" s="21"/>
      <c r="G30" s="21"/>
    </row>
    <row r="31" spans="2:7" ht="15.75" x14ac:dyDescent="0.3">
      <c r="B31" s="339"/>
      <c r="C31" s="98"/>
      <c r="D31" s="97"/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18">
    <mergeCell ref="B5:B12"/>
    <mergeCell ref="C10:G10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0967-991A-4344-A484-521C7E8D7251}">
  <dimension ref="B1:G49"/>
  <sheetViews>
    <sheetView showWhiteSpace="0" view="pageLayout" zoomScaleNormal="100" workbookViewId="0">
      <selection activeCell="C15" sqref="C15:F1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Kompetenzraster!O19</f>
        <v>45589</v>
      </c>
      <c r="F1" s="297"/>
      <c r="G1" s="294">
        <v>8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153</v>
      </c>
      <c r="D6" s="65"/>
      <c r="E6" s="28"/>
      <c r="F6" s="29"/>
      <c r="G6" s="37"/>
    </row>
    <row r="7" spans="2:7" ht="15" customHeight="1" x14ac:dyDescent="0.3">
      <c r="B7" s="339"/>
      <c r="C7" s="33" t="s">
        <v>154</v>
      </c>
      <c r="E7" s="28"/>
      <c r="F7" s="29"/>
      <c r="G7" s="37"/>
    </row>
    <row r="8" spans="2:7" ht="15" customHeight="1" x14ac:dyDescent="0.3">
      <c r="B8" s="339"/>
      <c r="C8" s="33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/>
      <c r="C13" s="331"/>
      <c r="D13" s="331"/>
      <c r="E13" s="331"/>
      <c r="F13" s="332"/>
      <c r="G13" s="336">
        <v>1.4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25">
      <c r="B15" s="351" t="s">
        <v>108</v>
      </c>
      <c r="C15" s="92" t="s">
        <v>157</v>
      </c>
      <c r="D15" s="93"/>
      <c r="E15" s="93"/>
      <c r="F15" s="94"/>
      <c r="G15" s="84" t="s">
        <v>12</v>
      </c>
    </row>
    <row r="16" spans="2:7" ht="15.75" x14ac:dyDescent="0.3">
      <c r="B16" s="339"/>
      <c r="C16" s="72"/>
      <c r="D16" s="65"/>
      <c r="E16" s="28"/>
      <c r="F16" s="29"/>
      <c r="G16" s="29"/>
    </row>
    <row r="17" spans="2:7" ht="15.75" x14ac:dyDescent="0.3">
      <c r="B17" s="339"/>
      <c r="C17" s="72" t="s">
        <v>158</v>
      </c>
      <c r="D17" s="65"/>
      <c r="E17" s="28"/>
      <c r="F17" s="29"/>
      <c r="G17" s="29"/>
    </row>
    <row r="18" spans="2:7" ht="15.75" x14ac:dyDescent="0.3">
      <c r="B18" s="339"/>
      <c r="C18" s="33" t="s">
        <v>159</v>
      </c>
      <c r="E18" s="28"/>
      <c r="F18" s="68"/>
      <c r="G18" s="95"/>
    </row>
    <row r="19" spans="2:7" ht="15.75" x14ac:dyDescent="0.3">
      <c r="B19" s="339"/>
      <c r="C19" s="33" t="s">
        <v>160</v>
      </c>
      <c r="E19" s="28"/>
      <c r="F19" s="71"/>
      <c r="G19" s="37"/>
    </row>
    <row r="20" spans="2:7" x14ac:dyDescent="0.25">
      <c r="B20" s="339"/>
      <c r="C20" s="22"/>
      <c r="D20" s="23"/>
      <c r="E20" s="23"/>
      <c r="F20" s="24"/>
      <c r="G20" s="39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139</v>
      </c>
      <c r="C26" s="344"/>
      <c r="D26" s="344"/>
      <c r="E26" s="344"/>
      <c r="F26" s="345"/>
      <c r="G26" s="349">
        <v>1.2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63" t="s">
        <v>123</v>
      </c>
      <c r="D28" s="31"/>
      <c r="E28" s="31"/>
      <c r="F28" s="32"/>
      <c r="G28" s="64" t="s">
        <v>12</v>
      </c>
    </row>
    <row r="29" spans="2:7" ht="15.75" x14ac:dyDescent="0.3">
      <c r="B29" s="338"/>
      <c r="C29" s="33" t="s">
        <v>152</v>
      </c>
      <c r="F29" s="73"/>
      <c r="G29" s="21"/>
    </row>
    <row r="30" spans="2:7" x14ac:dyDescent="0.25">
      <c r="B30" s="339"/>
      <c r="C30" s="96"/>
      <c r="D30" s="97"/>
      <c r="F30" s="21"/>
      <c r="G30" s="21"/>
    </row>
    <row r="31" spans="2:7" ht="15.75" x14ac:dyDescent="0.3">
      <c r="B31" s="339"/>
      <c r="C31" s="98"/>
      <c r="D31" s="97"/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5:B12"/>
    <mergeCell ref="C10:G10"/>
    <mergeCell ref="C11:F11"/>
    <mergeCell ref="C12:F12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C558-EE60-4FD6-90D8-60ED2C61564D}">
  <dimension ref="B1:G49"/>
  <sheetViews>
    <sheetView showWhiteSpace="0" view="pageLayout" zoomScaleNormal="100" workbookViewId="0">
      <selection activeCell="B3" sqref="B3:F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Kompetenzraster!O21</f>
        <v>45596</v>
      </c>
      <c r="F1" s="297"/>
      <c r="G1" s="294">
        <v>8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167</v>
      </c>
      <c r="D6" s="65"/>
      <c r="E6" s="28"/>
      <c r="F6" s="29"/>
      <c r="G6" s="37"/>
    </row>
    <row r="7" spans="2:7" ht="15" customHeight="1" x14ac:dyDescent="0.3">
      <c r="B7" s="339"/>
      <c r="C7" s="33" t="s">
        <v>168</v>
      </c>
      <c r="E7" s="28"/>
      <c r="F7" s="29"/>
      <c r="G7" s="37"/>
    </row>
    <row r="8" spans="2:7" ht="15" customHeight="1" x14ac:dyDescent="0.3">
      <c r="B8" s="339"/>
      <c r="C8" s="33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 t="s">
        <v>161</v>
      </c>
      <c r="C13" s="331"/>
      <c r="D13" s="331"/>
      <c r="E13" s="331"/>
      <c r="F13" s="332"/>
      <c r="G13" s="336">
        <v>1.4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63" t="s">
        <v>96</v>
      </c>
      <c r="D15" s="31"/>
      <c r="E15" s="31"/>
      <c r="F15" s="32"/>
      <c r="G15" s="84" t="s">
        <v>12</v>
      </c>
    </row>
    <row r="16" spans="2:7" ht="15.75" x14ac:dyDescent="0.3">
      <c r="B16" s="339"/>
      <c r="C16" s="33" t="s">
        <v>171</v>
      </c>
      <c r="F16" s="21"/>
      <c r="G16" s="29"/>
    </row>
    <row r="17" spans="2:7" ht="15.75" x14ac:dyDescent="0.3">
      <c r="B17" s="339"/>
      <c r="C17" s="33" t="s">
        <v>169</v>
      </c>
      <c r="F17" s="21"/>
      <c r="G17" s="29"/>
    </row>
    <row r="18" spans="2:7" ht="15.75" x14ac:dyDescent="0.3">
      <c r="B18" s="339"/>
      <c r="C18" s="72" t="s">
        <v>99</v>
      </c>
      <c r="D18" s="28"/>
      <c r="E18" s="28"/>
      <c r="F18" s="29"/>
      <c r="G18" s="101"/>
    </row>
    <row r="19" spans="2:7" ht="15.75" x14ac:dyDescent="0.3">
      <c r="B19" s="339"/>
      <c r="C19" s="33" t="s">
        <v>170</v>
      </c>
      <c r="F19" s="2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166</v>
      </c>
      <c r="C26" s="344"/>
      <c r="D26" s="344"/>
      <c r="E26" s="344"/>
      <c r="F26" s="345"/>
      <c r="G26" s="349">
        <v>1.6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63" t="s">
        <v>162</v>
      </c>
      <c r="D28" s="31"/>
      <c r="E28" s="31"/>
      <c r="F28" s="32"/>
      <c r="G28" s="64" t="s">
        <v>12</v>
      </c>
    </row>
    <row r="29" spans="2:7" ht="15.75" x14ac:dyDescent="0.3">
      <c r="B29" s="338"/>
      <c r="C29" s="38" t="s">
        <v>163</v>
      </c>
      <c r="F29" s="73"/>
      <c r="G29" s="21"/>
    </row>
    <row r="30" spans="2:7" ht="15.75" x14ac:dyDescent="0.3">
      <c r="B30" s="339"/>
      <c r="C30" s="38" t="s">
        <v>164</v>
      </c>
      <c r="F30" s="21"/>
      <c r="G30" s="21"/>
    </row>
    <row r="31" spans="2:7" ht="15.75" x14ac:dyDescent="0.3">
      <c r="B31" s="339"/>
      <c r="C31" s="38" t="s">
        <v>165</v>
      </c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  <mergeCell ref="B5:B12"/>
    <mergeCell ref="C10:G10"/>
    <mergeCell ref="C11:F11"/>
    <mergeCell ref="C12:F12"/>
    <mergeCell ref="B1:D2"/>
    <mergeCell ref="E1:F2"/>
    <mergeCell ref="G1:G2"/>
    <mergeCell ref="B3:F4"/>
    <mergeCell ref="G3:G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CC7C-D1E9-4526-B012-64BA31A82CBF}">
  <dimension ref="B1:G49"/>
  <sheetViews>
    <sheetView showWhiteSpace="0" view="pageLayout" zoomScaleNormal="100" workbookViewId="0">
      <selection activeCell="B3" sqref="B3:F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Kompetenzraster!O23</f>
        <v>45603</v>
      </c>
      <c r="F1" s="297"/>
      <c r="G1" s="294">
        <v>10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123</v>
      </c>
      <c r="D6" s="65"/>
      <c r="E6" s="28"/>
      <c r="F6" s="29"/>
      <c r="G6" s="37"/>
    </row>
    <row r="7" spans="2:7" ht="15" customHeight="1" x14ac:dyDescent="0.3">
      <c r="B7" s="339"/>
      <c r="C7" s="33" t="s">
        <v>173</v>
      </c>
      <c r="E7" s="28"/>
      <c r="F7" s="29"/>
      <c r="G7" s="37"/>
    </row>
    <row r="8" spans="2:7" ht="15" customHeight="1" x14ac:dyDescent="0.25">
      <c r="B8" s="339"/>
      <c r="C8" s="20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 t="s">
        <v>161</v>
      </c>
      <c r="C13" s="331"/>
      <c r="D13" s="331"/>
      <c r="E13" s="331"/>
      <c r="F13" s="332"/>
      <c r="G13" s="336">
        <v>1.4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25"/>
      <c r="D15" s="31"/>
      <c r="E15" s="31"/>
      <c r="F15" s="32"/>
      <c r="G15" s="84" t="s">
        <v>12</v>
      </c>
    </row>
    <row r="16" spans="2:7" ht="15.75" x14ac:dyDescent="0.3">
      <c r="B16" s="339"/>
      <c r="C16" s="72" t="s">
        <v>99</v>
      </c>
      <c r="F16" s="21"/>
      <c r="G16" s="29"/>
    </row>
    <row r="17" spans="2:7" ht="15.75" x14ac:dyDescent="0.3">
      <c r="B17" s="339"/>
      <c r="C17" s="33" t="s">
        <v>174</v>
      </c>
      <c r="F17" s="21"/>
      <c r="G17" s="29"/>
    </row>
    <row r="18" spans="2:7" ht="15.75" x14ac:dyDescent="0.3">
      <c r="B18" s="339"/>
      <c r="C18" s="33" t="s">
        <v>175</v>
      </c>
      <c r="D18" s="28"/>
      <c r="E18" s="28"/>
      <c r="F18" s="29"/>
      <c r="G18" s="101"/>
    </row>
    <row r="19" spans="2:7" x14ac:dyDescent="0.25">
      <c r="B19" s="339"/>
      <c r="C19" s="20"/>
      <c r="F19" s="2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138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166</v>
      </c>
      <c r="C26" s="344"/>
      <c r="D26" s="344"/>
      <c r="E26" s="344"/>
      <c r="F26" s="345"/>
      <c r="G26" s="349">
        <v>1.6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25"/>
      <c r="D28" s="31"/>
      <c r="E28" s="31"/>
      <c r="F28" s="32"/>
      <c r="G28" s="64" t="s">
        <v>12</v>
      </c>
    </row>
    <row r="29" spans="2:7" x14ac:dyDescent="0.25">
      <c r="B29" s="338"/>
      <c r="C29" s="72" t="s">
        <v>99</v>
      </c>
      <c r="F29" s="73"/>
      <c r="G29" s="21"/>
    </row>
    <row r="30" spans="2:7" ht="15.75" x14ac:dyDescent="0.3">
      <c r="B30" s="339"/>
      <c r="C30" s="38" t="s">
        <v>176</v>
      </c>
      <c r="F30" s="21"/>
      <c r="G30" s="21"/>
    </row>
    <row r="31" spans="2:7" ht="15.75" x14ac:dyDescent="0.3">
      <c r="B31" s="339"/>
      <c r="C31" s="33" t="s">
        <v>177</v>
      </c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5:B12"/>
    <mergeCell ref="C10:G10"/>
    <mergeCell ref="C11:F11"/>
    <mergeCell ref="C12:F12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3438-1239-4ADA-AC9B-CE9C7F3F43B2}">
  <dimension ref="B1:G49"/>
  <sheetViews>
    <sheetView showWhiteSpace="0" view="pageLayout" zoomScaleNormal="100" workbookViewId="0">
      <selection activeCell="G1" sqref="G1:G2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Kompetenzraster!O25</f>
        <v>45610</v>
      </c>
      <c r="F1" s="297"/>
      <c r="G1" s="294">
        <v>11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123</v>
      </c>
      <c r="D6" s="65"/>
      <c r="E6" s="28"/>
      <c r="F6" s="29"/>
      <c r="G6" s="37"/>
    </row>
    <row r="7" spans="2:7" ht="15" customHeight="1" x14ac:dyDescent="0.3">
      <c r="B7" s="339"/>
      <c r="C7" s="33" t="s">
        <v>179</v>
      </c>
      <c r="E7" s="28"/>
      <c r="F7" s="29"/>
      <c r="G7" s="37"/>
    </row>
    <row r="8" spans="2:7" ht="15" customHeight="1" x14ac:dyDescent="0.25">
      <c r="B8" s="339"/>
      <c r="C8" s="20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 t="s">
        <v>178</v>
      </c>
      <c r="C13" s="331"/>
      <c r="D13" s="331"/>
      <c r="E13" s="331"/>
      <c r="F13" s="332"/>
      <c r="G13" s="336">
        <v>1.7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25"/>
      <c r="D15" s="31"/>
      <c r="E15" s="31"/>
      <c r="F15" s="32"/>
      <c r="G15" s="84" t="s">
        <v>12</v>
      </c>
    </row>
    <row r="16" spans="2:7" ht="15.75" x14ac:dyDescent="0.3">
      <c r="B16" s="339"/>
      <c r="C16" s="72" t="s">
        <v>96</v>
      </c>
      <c r="F16" s="21"/>
      <c r="G16" s="29"/>
    </row>
    <row r="17" spans="2:7" ht="15.75" x14ac:dyDescent="0.3">
      <c r="B17" s="339"/>
      <c r="C17" s="33" t="s">
        <v>180</v>
      </c>
      <c r="F17" s="21"/>
      <c r="G17" s="29"/>
    </row>
    <row r="18" spans="2:7" ht="15.75" x14ac:dyDescent="0.3">
      <c r="B18" s="339"/>
      <c r="C18" s="33" t="s">
        <v>183</v>
      </c>
      <c r="D18" s="28"/>
      <c r="E18" s="28"/>
      <c r="F18" s="29"/>
      <c r="G18" s="101"/>
    </row>
    <row r="19" spans="2:7" ht="15.75" x14ac:dyDescent="0.3">
      <c r="B19" s="339"/>
      <c r="C19" s="33" t="s">
        <v>184</v>
      </c>
      <c r="F19" s="2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182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166</v>
      </c>
      <c r="C26" s="344"/>
      <c r="D26" s="344"/>
      <c r="E26" s="344"/>
      <c r="F26" s="345"/>
      <c r="G26" s="349">
        <v>1.6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25"/>
      <c r="D28" s="31"/>
      <c r="E28" s="31"/>
      <c r="F28" s="32"/>
      <c r="G28" s="64" t="s">
        <v>12</v>
      </c>
    </row>
    <row r="29" spans="2:7" x14ac:dyDescent="0.25">
      <c r="B29" s="338"/>
      <c r="C29" s="72" t="s">
        <v>99</v>
      </c>
      <c r="F29" s="73"/>
      <c r="G29" s="21"/>
    </row>
    <row r="30" spans="2:7" ht="15.75" x14ac:dyDescent="0.3">
      <c r="B30" s="339"/>
      <c r="C30" s="38" t="s">
        <v>176</v>
      </c>
      <c r="F30" s="21"/>
      <c r="G30" s="21"/>
    </row>
    <row r="31" spans="2:7" ht="15.75" x14ac:dyDescent="0.3">
      <c r="B31" s="339"/>
      <c r="C31" s="33" t="s">
        <v>181</v>
      </c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  <mergeCell ref="B5:B12"/>
    <mergeCell ref="C10:G10"/>
    <mergeCell ref="C11:F11"/>
    <mergeCell ref="C12:F12"/>
    <mergeCell ref="B1:D2"/>
    <mergeCell ref="E1:F2"/>
    <mergeCell ref="G1:G2"/>
    <mergeCell ref="B3:F4"/>
    <mergeCell ref="G3:G4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6F22-4FBD-45D9-9747-28CA64F17E44}">
  <dimension ref="B1:G49"/>
  <sheetViews>
    <sheetView showWhiteSpace="0" view="pageLayout" zoomScaleNormal="100" workbookViewId="0">
      <selection activeCell="B3" sqref="B3:F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Kompetenzraster!O27</f>
        <v>45617</v>
      </c>
      <c r="F1" s="297"/>
      <c r="G1" s="294">
        <v>12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123</v>
      </c>
      <c r="D6" s="65"/>
      <c r="E6" s="28"/>
      <c r="F6" s="29"/>
      <c r="G6" s="37"/>
    </row>
    <row r="7" spans="2:7" ht="15" customHeight="1" x14ac:dyDescent="0.3">
      <c r="B7" s="339"/>
      <c r="C7" s="33" t="s">
        <v>179</v>
      </c>
      <c r="E7" s="28"/>
      <c r="F7" s="29"/>
      <c r="G7" s="37"/>
    </row>
    <row r="8" spans="2:7" ht="15" customHeight="1" x14ac:dyDescent="0.25">
      <c r="B8" s="339"/>
      <c r="C8" s="20"/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 t="s">
        <v>178</v>
      </c>
      <c r="C13" s="331"/>
      <c r="D13" s="331"/>
      <c r="E13" s="331"/>
      <c r="F13" s="332"/>
      <c r="G13" s="336">
        <v>1.7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25"/>
      <c r="D15" s="31"/>
      <c r="E15" s="31"/>
      <c r="F15" s="32"/>
      <c r="G15" s="84" t="s">
        <v>12</v>
      </c>
    </row>
    <row r="16" spans="2:7" ht="15.75" x14ac:dyDescent="0.3">
      <c r="B16" s="339"/>
      <c r="C16" s="72" t="s">
        <v>96</v>
      </c>
      <c r="F16" s="21"/>
      <c r="G16" s="29"/>
    </row>
    <row r="17" spans="2:7" ht="15.75" x14ac:dyDescent="0.3">
      <c r="B17" s="339"/>
      <c r="C17" s="33" t="s">
        <v>186</v>
      </c>
      <c r="F17" s="21"/>
      <c r="G17" s="29"/>
    </row>
    <row r="18" spans="2:7" ht="15.75" x14ac:dyDescent="0.3">
      <c r="B18" s="339"/>
      <c r="C18" s="33" t="s">
        <v>187</v>
      </c>
      <c r="D18" s="28"/>
      <c r="E18" s="28"/>
      <c r="F18" s="29"/>
      <c r="G18" s="101"/>
    </row>
    <row r="19" spans="2:7" ht="15.75" x14ac:dyDescent="0.3">
      <c r="B19" s="339"/>
      <c r="C19" s="33"/>
      <c r="F19" s="21"/>
      <c r="G19" s="21"/>
    </row>
    <row r="20" spans="2:7" x14ac:dyDescent="0.25">
      <c r="B20" s="339"/>
      <c r="C20" s="22"/>
      <c r="D20" s="23"/>
      <c r="E20" s="23"/>
      <c r="F20" s="24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182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166</v>
      </c>
      <c r="C26" s="344"/>
      <c r="D26" s="344"/>
      <c r="E26" s="344"/>
      <c r="F26" s="345"/>
      <c r="G26" s="349">
        <v>1.6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25"/>
      <c r="D28" s="31"/>
      <c r="E28" s="31"/>
      <c r="F28" s="32"/>
      <c r="G28" s="64" t="s">
        <v>12</v>
      </c>
    </row>
    <row r="29" spans="2:7" x14ac:dyDescent="0.25">
      <c r="B29" s="338"/>
      <c r="C29" s="72" t="s">
        <v>123</v>
      </c>
      <c r="F29" s="73"/>
      <c r="G29" s="21"/>
    </row>
    <row r="30" spans="2:7" ht="15.75" x14ac:dyDescent="0.3">
      <c r="B30" s="339"/>
      <c r="C30" s="38" t="s">
        <v>185</v>
      </c>
      <c r="F30" s="21"/>
      <c r="G30" s="21"/>
    </row>
    <row r="31" spans="2:7" ht="15.75" x14ac:dyDescent="0.3">
      <c r="B31" s="339"/>
      <c r="C31" s="33" t="s">
        <v>188</v>
      </c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5:B12"/>
    <mergeCell ref="C10:G10"/>
    <mergeCell ref="C11:F11"/>
    <mergeCell ref="C12:F12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93C2-9A21-497A-A128-F348EB3E2E70}">
  <dimension ref="B1:G49"/>
  <sheetViews>
    <sheetView showWhiteSpace="0" view="pageLayout" zoomScaleNormal="100" workbookViewId="0">
      <selection activeCell="J13" sqref="J13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Kompetenzraster!O29</f>
        <v>45624</v>
      </c>
      <c r="F1" s="297"/>
      <c r="G1" s="294">
        <v>13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63"/>
      <c r="D5" s="91"/>
      <c r="E5" s="99"/>
      <c r="F5" s="100"/>
      <c r="G5" s="40" t="s">
        <v>12</v>
      </c>
    </row>
    <row r="6" spans="2:7" ht="15" customHeight="1" x14ac:dyDescent="0.3">
      <c r="B6" s="339"/>
      <c r="C6" s="72" t="s">
        <v>123</v>
      </c>
      <c r="D6" s="65"/>
      <c r="E6" s="28"/>
      <c r="F6" s="29"/>
      <c r="G6" s="37"/>
    </row>
    <row r="7" spans="2:7" ht="15" customHeight="1" x14ac:dyDescent="0.3">
      <c r="B7" s="339"/>
      <c r="C7" s="33" t="s">
        <v>179</v>
      </c>
      <c r="E7" s="28"/>
      <c r="F7" s="29"/>
      <c r="G7" s="95" t="s">
        <v>151</v>
      </c>
    </row>
    <row r="8" spans="2:7" ht="15" customHeight="1" x14ac:dyDescent="0.3">
      <c r="B8" s="339"/>
      <c r="C8" s="33" t="s">
        <v>201</v>
      </c>
      <c r="F8" s="21"/>
      <c r="G8" s="37"/>
    </row>
    <row r="9" spans="2:7" ht="15" customHeight="1" x14ac:dyDescent="0.25">
      <c r="B9" s="339"/>
      <c r="C9" s="22"/>
      <c r="D9" s="23"/>
      <c r="E9" s="23"/>
      <c r="F9" s="24"/>
      <c r="G9" s="39"/>
    </row>
    <row r="10" spans="2:7" ht="15" customHeight="1" x14ac:dyDescent="0.25">
      <c r="B10" s="340"/>
      <c r="C10" s="342" t="s">
        <v>16</v>
      </c>
      <c r="D10" s="343"/>
      <c r="E10" s="343"/>
      <c r="F10" s="343"/>
      <c r="G10" s="359"/>
    </row>
    <row r="11" spans="2:7" ht="15" customHeight="1" x14ac:dyDescent="0.3">
      <c r="B11" s="340"/>
      <c r="C11" s="360" t="s">
        <v>155</v>
      </c>
      <c r="D11" s="361"/>
      <c r="E11" s="361"/>
      <c r="F11" s="362"/>
      <c r="G11" s="95"/>
    </row>
    <row r="12" spans="2:7" ht="15" customHeight="1" x14ac:dyDescent="0.3">
      <c r="B12" s="353"/>
      <c r="C12" s="363" t="s">
        <v>156</v>
      </c>
      <c r="D12" s="364"/>
      <c r="E12" s="364"/>
      <c r="F12" s="365"/>
      <c r="G12" s="39"/>
    </row>
    <row r="13" spans="2:7" ht="15" customHeight="1" x14ac:dyDescent="0.25">
      <c r="B13" s="330" t="s">
        <v>178</v>
      </c>
      <c r="C13" s="331"/>
      <c r="D13" s="331"/>
      <c r="E13" s="331"/>
      <c r="F13" s="332"/>
      <c r="G13" s="336">
        <v>1.7</v>
      </c>
    </row>
    <row r="14" spans="2:7" ht="15" customHeight="1" x14ac:dyDescent="0.25">
      <c r="B14" s="333"/>
      <c r="C14" s="334"/>
      <c r="D14" s="334"/>
      <c r="E14" s="334"/>
      <c r="F14" s="335"/>
      <c r="G14" s="337"/>
    </row>
    <row r="15" spans="2:7" ht="15" customHeight="1" x14ac:dyDescent="0.3">
      <c r="B15" s="351" t="s">
        <v>108</v>
      </c>
      <c r="C15" s="102"/>
      <c r="D15" s="103"/>
      <c r="E15" s="103"/>
      <c r="F15" s="104"/>
      <c r="G15" s="84" t="s">
        <v>12</v>
      </c>
    </row>
    <row r="16" spans="2:7" ht="15.75" x14ac:dyDescent="0.3">
      <c r="B16" s="339"/>
      <c r="C16" s="105" t="s">
        <v>96</v>
      </c>
      <c r="D16" s="111"/>
      <c r="E16" s="111"/>
      <c r="F16" s="106"/>
      <c r="G16" s="29"/>
    </row>
    <row r="17" spans="2:7" ht="15.75" x14ac:dyDescent="0.3">
      <c r="B17" s="339"/>
      <c r="C17" s="107" t="s">
        <v>190</v>
      </c>
      <c r="D17" s="111"/>
      <c r="E17" s="111"/>
      <c r="F17" s="106"/>
      <c r="G17" s="29"/>
    </row>
    <row r="18" spans="2:7" ht="15.75" x14ac:dyDescent="0.3">
      <c r="B18" s="339"/>
      <c r="C18" s="105" t="s">
        <v>99</v>
      </c>
      <c r="D18" s="112"/>
      <c r="E18" s="112"/>
      <c r="F18" s="108"/>
      <c r="G18" s="101"/>
    </row>
    <row r="19" spans="2:7" ht="15.75" x14ac:dyDescent="0.3">
      <c r="B19" s="339"/>
      <c r="C19" s="107" t="s">
        <v>191</v>
      </c>
      <c r="D19" s="111"/>
      <c r="E19" s="111"/>
      <c r="F19" s="106"/>
      <c r="G19" s="21"/>
    </row>
    <row r="20" spans="2:7" x14ac:dyDescent="0.25">
      <c r="B20" s="339"/>
      <c r="C20" s="113"/>
      <c r="D20" s="109"/>
      <c r="E20" s="109"/>
      <c r="F20" s="110"/>
      <c r="G20" s="24"/>
    </row>
    <row r="21" spans="2:7" x14ac:dyDescent="0.25">
      <c r="B21" s="354"/>
      <c r="C21" s="342" t="s">
        <v>16</v>
      </c>
      <c r="D21" s="343"/>
      <c r="E21" s="343"/>
      <c r="F21" s="343"/>
      <c r="G21" s="324"/>
    </row>
    <row r="22" spans="2:7" ht="15.75" x14ac:dyDescent="0.3">
      <c r="B22" s="355"/>
      <c r="C22" s="30" t="s">
        <v>182</v>
      </c>
      <c r="D22" s="91"/>
      <c r="E22" s="91"/>
      <c r="F22" s="91"/>
      <c r="G22" s="27"/>
    </row>
    <row r="23" spans="2:7" ht="15.75" x14ac:dyDescent="0.3">
      <c r="B23" s="356"/>
      <c r="C23" s="34"/>
      <c r="D23" s="41"/>
      <c r="E23" s="41"/>
      <c r="F23" s="41"/>
      <c r="G23" s="42"/>
    </row>
    <row r="24" spans="2:7" ht="15" customHeight="1" x14ac:dyDescent="0.25">
      <c r="B24" s="316" t="s">
        <v>19</v>
      </c>
      <c r="C24" s="317"/>
      <c r="D24" s="317"/>
      <c r="E24" s="317"/>
      <c r="F24" s="317"/>
      <c r="G24" s="318"/>
    </row>
    <row r="25" spans="2:7" ht="15" customHeight="1" x14ac:dyDescent="0.25">
      <c r="B25" s="319"/>
      <c r="C25" s="320"/>
      <c r="D25" s="320"/>
      <c r="E25" s="320"/>
      <c r="F25" s="320"/>
      <c r="G25" s="321"/>
    </row>
    <row r="26" spans="2:7" ht="15" customHeight="1" x14ac:dyDescent="0.25">
      <c r="B26" s="330" t="s">
        <v>166</v>
      </c>
      <c r="C26" s="344"/>
      <c r="D26" s="344"/>
      <c r="E26" s="344"/>
      <c r="F26" s="345"/>
      <c r="G26" s="349">
        <v>1.6</v>
      </c>
    </row>
    <row r="27" spans="2:7" ht="15" customHeight="1" x14ac:dyDescent="0.25">
      <c r="B27" s="346"/>
      <c r="C27" s="347"/>
      <c r="D27" s="347"/>
      <c r="E27" s="347"/>
      <c r="F27" s="348"/>
      <c r="G27" s="350"/>
    </row>
    <row r="28" spans="2:7" ht="15.75" customHeight="1" x14ac:dyDescent="0.3">
      <c r="B28" s="351" t="s">
        <v>20</v>
      </c>
      <c r="C28" s="25"/>
      <c r="D28" s="31"/>
      <c r="E28" s="31"/>
      <c r="F28" s="32"/>
      <c r="G28" s="64" t="s">
        <v>12</v>
      </c>
    </row>
    <row r="29" spans="2:7" x14ac:dyDescent="0.25">
      <c r="B29" s="338"/>
      <c r="C29" s="72" t="s">
        <v>123</v>
      </c>
      <c r="F29" s="73"/>
      <c r="G29" s="21"/>
    </row>
    <row r="30" spans="2:7" ht="15.75" x14ac:dyDescent="0.3">
      <c r="B30" s="339"/>
      <c r="C30" s="38" t="s">
        <v>189</v>
      </c>
      <c r="F30" s="21"/>
      <c r="G30" s="21"/>
    </row>
    <row r="31" spans="2:7" ht="15.75" x14ac:dyDescent="0.3">
      <c r="B31" s="339"/>
      <c r="C31" s="33" t="s">
        <v>188</v>
      </c>
      <c r="F31" s="21"/>
      <c r="G31" s="21"/>
    </row>
    <row r="32" spans="2:7" ht="15.75" x14ac:dyDescent="0.3">
      <c r="B32" s="339"/>
      <c r="C32" s="34"/>
      <c r="D32" s="41"/>
      <c r="E32" s="41"/>
      <c r="F32" s="42"/>
      <c r="G32" s="24"/>
    </row>
    <row r="33" spans="2:7" x14ac:dyDescent="0.25">
      <c r="B33" s="340"/>
      <c r="C33" s="342" t="s">
        <v>16</v>
      </c>
      <c r="D33" s="343"/>
      <c r="E33" s="343"/>
      <c r="F33" s="343"/>
      <c r="G33" s="324"/>
    </row>
    <row r="34" spans="2:7" ht="15.75" x14ac:dyDescent="0.3">
      <c r="B34" s="340"/>
      <c r="C34" s="33" t="s">
        <v>121</v>
      </c>
      <c r="D34" s="28"/>
      <c r="E34" s="28"/>
      <c r="F34" s="28"/>
      <c r="G34" s="29"/>
    </row>
    <row r="35" spans="2:7" ht="15.75" x14ac:dyDescent="0.3">
      <c r="B35" s="340"/>
      <c r="C35" s="33"/>
      <c r="G35" s="21"/>
    </row>
    <row r="36" spans="2:7" x14ac:dyDescent="0.25">
      <c r="B36" s="352"/>
      <c r="C36" s="22"/>
      <c r="D36" s="23"/>
      <c r="E36" s="23"/>
      <c r="F36" s="23"/>
      <c r="G36" s="24"/>
    </row>
    <row r="37" spans="2:7" ht="15" customHeight="1" x14ac:dyDescent="0.25">
      <c r="B37" s="288" t="s">
        <v>25</v>
      </c>
      <c r="C37" s="289"/>
      <c r="D37" s="289"/>
      <c r="E37" s="288" t="s">
        <v>26</v>
      </c>
      <c r="F37" s="289"/>
      <c r="G37" s="292"/>
    </row>
    <row r="38" spans="2:7" ht="15" customHeight="1" x14ac:dyDescent="0.25">
      <c r="B38" s="290"/>
      <c r="C38" s="291"/>
      <c r="D38" s="291"/>
      <c r="E38" s="290"/>
      <c r="F38" s="291"/>
      <c r="G38" s="293"/>
    </row>
    <row r="39" spans="2:7" x14ac:dyDescent="0.25">
      <c r="B39" s="25"/>
      <c r="C39" s="26"/>
      <c r="D39" s="27"/>
      <c r="E39" s="25"/>
      <c r="F39" s="26"/>
      <c r="G39" s="27"/>
    </row>
    <row r="40" spans="2:7" x14ac:dyDescent="0.25">
      <c r="B40" s="20"/>
      <c r="D40" s="21"/>
      <c r="E40" s="20"/>
      <c r="G40" s="21"/>
    </row>
    <row r="41" spans="2:7" x14ac:dyDescent="0.25">
      <c r="B41" s="20"/>
      <c r="D41" s="21"/>
      <c r="E41" s="20"/>
      <c r="G41" s="21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0"/>
      <c r="D48" s="21"/>
      <c r="E48" s="20"/>
      <c r="G48" s="21"/>
    </row>
    <row r="49" spans="2:7" x14ac:dyDescent="0.25">
      <c r="B49" s="22"/>
      <c r="C49" s="23"/>
      <c r="D49" s="24"/>
      <c r="E49" s="22"/>
      <c r="F49" s="23"/>
      <c r="G49" s="24"/>
    </row>
  </sheetData>
  <mergeCells count="20">
    <mergeCell ref="B5:B12"/>
    <mergeCell ref="C10:G10"/>
    <mergeCell ref="C11:F11"/>
    <mergeCell ref="C12:F12"/>
    <mergeCell ref="B1:D2"/>
    <mergeCell ref="E1:F2"/>
    <mergeCell ref="G1:G2"/>
    <mergeCell ref="B3:F4"/>
    <mergeCell ref="G3:G4"/>
    <mergeCell ref="B28:B36"/>
    <mergeCell ref="C33:G33"/>
    <mergeCell ref="B37:D38"/>
    <mergeCell ref="E37:G38"/>
    <mergeCell ref="B13:F14"/>
    <mergeCell ref="G13:G14"/>
    <mergeCell ref="B15:B23"/>
    <mergeCell ref="C21:G21"/>
    <mergeCell ref="B24:G25"/>
    <mergeCell ref="B26:F27"/>
    <mergeCell ref="G26:G27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D742-5E21-466D-B5F7-E875A84B7D91}">
  <dimension ref="B1:G48"/>
  <sheetViews>
    <sheetView showWhiteSpace="0" view="pageLayout" zoomScaleNormal="100" workbookViewId="0">
      <selection activeCell="K33" sqref="K33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300" t="s">
        <v>8</v>
      </c>
      <c r="C1" s="301"/>
      <c r="D1" s="301"/>
      <c r="E1" s="296">
        <f>Kompetenzraster!O29</f>
        <v>45624</v>
      </c>
      <c r="F1" s="297"/>
      <c r="G1" s="294">
        <v>13</v>
      </c>
    </row>
    <row r="2" spans="2:7" ht="15" customHeight="1" x14ac:dyDescent="0.25">
      <c r="B2" s="302"/>
      <c r="C2" s="303"/>
      <c r="D2" s="303"/>
      <c r="E2" s="298"/>
      <c r="F2" s="299"/>
      <c r="G2" s="295"/>
    </row>
    <row r="3" spans="2:7" ht="15" customHeight="1" x14ac:dyDescent="0.25">
      <c r="B3" s="330" t="s">
        <v>73</v>
      </c>
      <c r="C3" s="331"/>
      <c r="D3" s="331"/>
      <c r="E3" s="331"/>
      <c r="F3" s="332"/>
      <c r="G3" s="336">
        <v>1.1000000000000001</v>
      </c>
    </row>
    <row r="4" spans="2:7" ht="15" customHeight="1" x14ac:dyDescent="0.25">
      <c r="B4" s="333"/>
      <c r="C4" s="334"/>
      <c r="D4" s="334"/>
      <c r="E4" s="334"/>
      <c r="F4" s="335"/>
      <c r="G4" s="337"/>
    </row>
    <row r="5" spans="2:7" ht="15" customHeight="1" x14ac:dyDescent="0.25">
      <c r="B5" s="338" t="s">
        <v>107</v>
      </c>
      <c r="C5" s="92" t="s">
        <v>200</v>
      </c>
      <c r="D5" s="93"/>
      <c r="E5" s="93"/>
      <c r="F5" s="94"/>
      <c r="G5" s="40" t="s">
        <v>12</v>
      </c>
    </row>
    <row r="6" spans="2:7" ht="15" customHeight="1" x14ac:dyDescent="0.3">
      <c r="B6" s="339"/>
      <c r="C6" s="72" t="s">
        <v>34</v>
      </c>
      <c r="D6" s="65"/>
      <c r="E6" s="28"/>
      <c r="F6" s="29"/>
      <c r="G6" s="37"/>
    </row>
    <row r="7" spans="2:7" ht="15" customHeight="1" x14ac:dyDescent="0.3">
      <c r="B7" s="339"/>
      <c r="C7" s="33" t="s">
        <v>202</v>
      </c>
      <c r="E7" s="28"/>
      <c r="F7" s="29"/>
      <c r="G7" s="37"/>
    </row>
    <row r="8" spans="2:7" ht="15" customHeight="1" x14ac:dyDescent="0.25">
      <c r="B8" s="339"/>
      <c r="C8" s="22"/>
      <c r="D8" s="23"/>
      <c r="E8" s="23"/>
      <c r="F8" s="24"/>
      <c r="G8" s="39"/>
    </row>
    <row r="9" spans="2:7" ht="15" customHeight="1" x14ac:dyDescent="0.25">
      <c r="B9" s="340"/>
      <c r="C9" s="342" t="s">
        <v>16</v>
      </c>
      <c r="D9" s="343"/>
      <c r="E9" s="343"/>
      <c r="F9" s="343"/>
      <c r="G9" s="359"/>
    </row>
    <row r="10" spans="2:7" ht="15" customHeight="1" x14ac:dyDescent="0.3">
      <c r="B10" s="340"/>
      <c r="C10" s="360" t="s">
        <v>155</v>
      </c>
      <c r="D10" s="361"/>
      <c r="E10" s="361"/>
      <c r="F10" s="362"/>
      <c r="G10" s="95"/>
    </row>
    <row r="11" spans="2:7" ht="15" customHeight="1" x14ac:dyDescent="0.3">
      <c r="B11" s="353"/>
      <c r="C11" s="363" t="s">
        <v>156</v>
      </c>
      <c r="D11" s="364"/>
      <c r="E11" s="364"/>
      <c r="F11" s="365"/>
      <c r="G11" s="39"/>
    </row>
    <row r="12" spans="2:7" ht="15" customHeight="1" x14ac:dyDescent="0.25">
      <c r="B12" s="122"/>
      <c r="C12" s="367" t="s">
        <v>197</v>
      </c>
      <c r="D12" s="368"/>
      <c r="E12" s="371" t="s">
        <v>198</v>
      </c>
      <c r="F12" s="372"/>
      <c r="G12" s="375" t="s">
        <v>199</v>
      </c>
    </row>
    <row r="13" spans="2:7" ht="15" customHeight="1" x14ac:dyDescent="0.25">
      <c r="B13" s="123"/>
      <c r="C13" s="369"/>
      <c r="D13" s="370"/>
      <c r="E13" s="373"/>
      <c r="F13" s="374"/>
      <c r="G13" s="376"/>
    </row>
    <row r="14" spans="2:7" ht="15" customHeight="1" x14ac:dyDescent="0.3">
      <c r="B14" s="351" t="s">
        <v>108</v>
      </c>
      <c r="C14" s="102"/>
      <c r="D14" s="104"/>
      <c r="E14" s="125"/>
      <c r="F14" s="104"/>
      <c r="G14" s="84" t="s">
        <v>12</v>
      </c>
    </row>
    <row r="15" spans="2:7" ht="15.75" x14ac:dyDescent="0.3">
      <c r="B15" s="339"/>
      <c r="C15" s="105"/>
      <c r="D15" s="106"/>
      <c r="E15" s="126"/>
      <c r="F15" s="106"/>
      <c r="G15" s="29"/>
    </row>
    <row r="16" spans="2:7" ht="15.75" x14ac:dyDescent="0.3">
      <c r="B16" s="339"/>
      <c r="C16" s="107"/>
      <c r="D16" s="106"/>
      <c r="E16" s="126"/>
      <c r="F16" s="106"/>
      <c r="G16" s="29"/>
    </row>
    <row r="17" spans="2:7" ht="15.75" x14ac:dyDescent="0.3">
      <c r="B17" s="339"/>
      <c r="C17" s="20"/>
      <c r="D17" s="108"/>
      <c r="E17" s="107"/>
      <c r="F17" s="108"/>
      <c r="G17" s="101"/>
    </row>
    <row r="18" spans="2:7" x14ac:dyDescent="0.25">
      <c r="B18" s="339"/>
      <c r="C18" s="105"/>
      <c r="D18" s="106"/>
      <c r="E18" s="126"/>
      <c r="F18" s="106"/>
      <c r="G18" s="21"/>
    </row>
    <row r="19" spans="2:7" ht="15.75" x14ac:dyDescent="0.3">
      <c r="B19" s="339"/>
      <c r="C19" s="107"/>
      <c r="D19" s="106"/>
      <c r="E19" s="126"/>
      <c r="F19" s="106"/>
      <c r="G19" s="21"/>
    </row>
    <row r="20" spans="2:7" ht="15.75" x14ac:dyDescent="0.3">
      <c r="B20" s="339"/>
      <c r="C20" s="107"/>
      <c r="D20" s="106"/>
      <c r="E20" s="126"/>
      <c r="F20" s="106"/>
      <c r="G20" s="21"/>
    </row>
    <row r="21" spans="2:7" ht="15.75" x14ac:dyDescent="0.3">
      <c r="B21" s="339"/>
      <c r="C21" s="107"/>
      <c r="D21" s="106"/>
      <c r="E21" s="126"/>
      <c r="F21" s="106"/>
      <c r="G21" s="21"/>
    </row>
    <row r="22" spans="2:7" x14ac:dyDescent="0.25">
      <c r="B22" s="339"/>
      <c r="C22" s="113"/>
      <c r="D22" s="110"/>
      <c r="E22" s="113"/>
      <c r="F22" s="110"/>
      <c r="G22" s="24"/>
    </row>
    <row r="23" spans="2:7" x14ac:dyDescent="0.25">
      <c r="B23" s="354"/>
      <c r="C23" s="322" t="s">
        <v>16</v>
      </c>
      <c r="D23" s="366"/>
      <c r="E23" s="322" t="s">
        <v>16</v>
      </c>
      <c r="F23" s="366"/>
      <c r="G23" s="124"/>
    </row>
    <row r="24" spans="2:7" ht="15.75" x14ac:dyDescent="0.3">
      <c r="B24" s="355"/>
      <c r="C24" s="30" t="s">
        <v>196</v>
      </c>
      <c r="D24" s="128"/>
      <c r="E24" s="127"/>
      <c r="F24" s="128"/>
      <c r="G24" s="27"/>
    </row>
    <row r="25" spans="2:7" ht="15.75" x14ac:dyDescent="0.3">
      <c r="B25" s="356"/>
      <c r="C25" s="34"/>
      <c r="D25" s="42"/>
      <c r="E25" s="34"/>
      <c r="F25" s="42"/>
      <c r="G25" s="42"/>
    </row>
    <row r="26" spans="2:7" ht="15" customHeight="1" x14ac:dyDescent="0.25">
      <c r="B26" s="316" t="s">
        <v>19</v>
      </c>
      <c r="C26" s="317"/>
      <c r="D26" s="317"/>
      <c r="E26" s="317"/>
      <c r="F26" s="317"/>
      <c r="G26" s="318"/>
    </row>
    <row r="27" spans="2:7" ht="15" customHeight="1" x14ac:dyDescent="0.25">
      <c r="B27" s="319"/>
      <c r="C27" s="320"/>
      <c r="D27" s="320"/>
      <c r="E27" s="320"/>
      <c r="F27" s="320"/>
      <c r="G27" s="321"/>
    </row>
    <row r="28" spans="2:7" ht="15" customHeight="1" x14ac:dyDescent="0.25">
      <c r="B28" s="330" t="s">
        <v>166</v>
      </c>
      <c r="C28" s="344"/>
      <c r="D28" s="344"/>
      <c r="E28" s="344"/>
      <c r="F28" s="345"/>
      <c r="G28" s="349">
        <v>1.6</v>
      </c>
    </row>
    <row r="29" spans="2:7" ht="15" customHeight="1" x14ac:dyDescent="0.25">
      <c r="B29" s="346"/>
      <c r="C29" s="347"/>
      <c r="D29" s="347"/>
      <c r="E29" s="347"/>
      <c r="F29" s="348"/>
      <c r="G29" s="350"/>
    </row>
    <row r="30" spans="2:7" ht="15.75" customHeight="1" x14ac:dyDescent="0.3">
      <c r="B30" s="351" t="s">
        <v>20</v>
      </c>
      <c r="C30" s="25"/>
      <c r="D30" s="31"/>
      <c r="E30" s="31"/>
      <c r="F30" s="32"/>
      <c r="G30" s="64" t="s">
        <v>12</v>
      </c>
    </row>
    <row r="31" spans="2:7" x14ac:dyDescent="0.25">
      <c r="B31" s="338"/>
      <c r="C31" s="72" t="s">
        <v>123</v>
      </c>
      <c r="F31" s="73"/>
      <c r="G31" s="21"/>
    </row>
    <row r="32" spans="2:7" ht="15.75" x14ac:dyDescent="0.3">
      <c r="B32" s="339"/>
      <c r="C32" s="38" t="s">
        <v>189</v>
      </c>
      <c r="F32" s="21"/>
      <c r="G32" s="21"/>
    </row>
    <row r="33" spans="2:7" ht="15.75" x14ac:dyDescent="0.3">
      <c r="B33" s="339"/>
      <c r="C33" s="33" t="s">
        <v>188</v>
      </c>
      <c r="F33" s="21"/>
      <c r="G33" s="21"/>
    </row>
    <row r="34" spans="2:7" ht="15.75" x14ac:dyDescent="0.3">
      <c r="B34" s="339"/>
      <c r="C34" s="34"/>
      <c r="D34" s="41"/>
      <c r="E34" s="41"/>
      <c r="F34" s="42"/>
      <c r="G34" s="24"/>
    </row>
    <row r="35" spans="2:7" x14ac:dyDescent="0.25">
      <c r="B35" s="340"/>
      <c r="C35" s="342" t="s">
        <v>16</v>
      </c>
      <c r="D35" s="343"/>
      <c r="E35" s="343"/>
      <c r="F35" s="343"/>
      <c r="G35" s="324"/>
    </row>
    <row r="36" spans="2:7" ht="15.75" x14ac:dyDescent="0.3">
      <c r="B36" s="340"/>
      <c r="C36" s="33" t="s">
        <v>121</v>
      </c>
      <c r="D36" s="28"/>
      <c r="E36" s="28"/>
      <c r="F36" s="28"/>
      <c r="G36" s="29"/>
    </row>
    <row r="37" spans="2:7" ht="15.75" x14ac:dyDescent="0.3">
      <c r="B37" s="340"/>
      <c r="C37" s="33"/>
      <c r="G37" s="21"/>
    </row>
    <row r="38" spans="2:7" x14ac:dyDescent="0.25">
      <c r="B38" s="352"/>
      <c r="C38" s="22"/>
      <c r="D38" s="23"/>
      <c r="E38" s="23"/>
      <c r="F38" s="23"/>
      <c r="G38" s="24"/>
    </row>
    <row r="39" spans="2:7" ht="15" customHeight="1" x14ac:dyDescent="0.25">
      <c r="B39" s="288" t="s">
        <v>25</v>
      </c>
      <c r="C39" s="289"/>
      <c r="D39" s="289"/>
      <c r="E39" s="288" t="s">
        <v>26</v>
      </c>
      <c r="F39" s="289"/>
      <c r="G39" s="292"/>
    </row>
    <row r="40" spans="2:7" ht="15" customHeight="1" x14ac:dyDescent="0.25">
      <c r="B40" s="290"/>
      <c r="C40" s="291"/>
      <c r="D40" s="291"/>
      <c r="E40" s="290"/>
      <c r="F40" s="291"/>
      <c r="G40" s="293"/>
    </row>
    <row r="41" spans="2:7" x14ac:dyDescent="0.25">
      <c r="B41" s="25"/>
      <c r="C41" s="26"/>
      <c r="D41" s="27"/>
      <c r="E41" s="25"/>
      <c r="F41" s="26"/>
      <c r="G41" s="27"/>
    </row>
    <row r="42" spans="2:7" x14ac:dyDescent="0.25">
      <c r="B42" s="20"/>
      <c r="D42" s="21"/>
      <c r="E42" s="20"/>
      <c r="G42" s="21"/>
    </row>
    <row r="43" spans="2:7" x14ac:dyDescent="0.25">
      <c r="B43" s="20"/>
      <c r="D43" s="21"/>
      <c r="E43" s="20"/>
      <c r="G43" s="21"/>
    </row>
    <row r="44" spans="2:7" x14ac:dyDescent="0.25">
      <c r="B44" s="20"/>
      <c r="D44" s="21"/>
      <c r="E44" s="20"/>
      <c r="G44" s="21"/>
    </row>
    <row r="45" spans="2:7" x14ac:dyDescent="0.25">
      <c r="B45" s="20"/>
      <c r="D45" s="21"/>
      <c r="E45" s="20"/>
      <c r="G45" s="21"/>
    </row>
    <row r="46" spans="2:7" x14ac:dyDescent="0.25">
      <c r="B46" s="20"/>
      <c r="D46" s="21"/>
      <c r="E46" s="20"/>
      <c r="G46" s="21"/>
    </row>
    <row r="47" spans="2:7" x14ac:dyDescent="0.25">
      <c r="B47" s="20"/>
      <c r="D47" s="21"/>
      <c r="E47" s="20"/>
      <c r="G47" s="21"/>
    </row>
    <row r="48" spans="2:7" x14ac:dyDescent="0.25">
      <c r="B48" s="22"/>
      <c r="C48" s="23"/>
      <c r="D48" s="24"/>
      <c r="E48" s="22"/>
      <c r="F48" s="23"/>
      <c r="G48" s="24"/>
    </row>
  </sheetData>
  <mergeCells count="22">
    <mergeCell ref="C12:D13"/>
    <mergeCell ref="E12:F13"/>
    <mergeCell ref="G12:G13"/>
    <mergeCell ref="B1:D2"/>
    <mergeCell ref="E1:F2"/>
    <mergeCell ref="G1:G2"/>
    <mergeCell ref="B3:F4"/>
    <mergeCell ref="G3:G4"/>
    <mergeCell ref="B5:B11"/>
    <mergeCell ref="C9:G9"/>
    <mergeCell ref="C10:F10"/>
    <mergeCell ref="C11:F11"/>
    <mergeCell ref="B30:B38"/>
    <mergeCell ref="C35:G35"/>
    <mergeCell ref="B39:D40"/>
    <mergeCell ref="E39:G40"/>
    <mergeCell ref="C23:D23"/>
    <mergeCell ref="E23:F23"/>
    <mergeCell ref="B14:B25"/>
    <mergeCell ref="B26:G27"/>
    <mergeCell ref="B28:F29"/>
    <mergeCell ref="G28:G29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DD5E-2F88-48CD-8513-917197678EC1}">
  <dimension ref="B1:K117"/>
  <sheetViews>
    <sheetView workbookViewId="0">
      <selection activeCell="M83" sqref="M83"/>
    </sheetView>
  </sheetViews>
  <sheetFormatPr baseColWidth="10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04" t="s">
        <v>78</v>
      </c>
      <c r="C1" s="405"/>
      <c r="D1" s="405"/>
      <c r="E1" s="406"/>
      <c r="F1" s="407"/>
    </row>
    <row r="2" spans="2:6" x14ac:dyDescent="0.25">
      <c r="B2" s="408"/>
      <c r="C2" s="409"/>
      <c r="D2" s="409"/>
      <c r="E2" s="410"/>
      <c r="F2" s="411"/>
    </row>
    <row r="3" spans="2:6" x14ac:dyDescent="0.25">
      <c r="C3" s="57"/>
      <c r="D3" s="57"/>
      <c r="E3" s="57"/>
      <c r="F3" s="57"/>
    </row>
    <row r="4" spans="2:6" x14ac:dyDescent="0.25">
      <c r="B4" s="377" t="s">
        <v>34</v>
      </c>
      <c r="C4" s="379" t="s">
        <v>83</v>
      </c>
      <c r="D4" s="380"/>
      <c r="E4" s="380"/>
      <c r="F4" s="381"/>
    </row>
    <row r="5" spans="2:6" x14ac:dyDescent="0.25">
      <c r="B5" s="378"/>
      <c r="C5" s="382"/>
      <c r="D5" s="383"/>
      <c r="E5" s="383"/>
      <c r="F5" s="384"/>
    </row>
    <row r="6" spans="2:6" x14ac:dyDescent="0.25">
      <c r="B6" s="58" t="s">
        <v>79</v>
      </c>
      <c r="C6" s="382"/>
      <c r="D6" s="383"/>
      <c r="E6" s="383"/>
      <c r="F6" s="384"/>
    </row>
    <row r="7" spans="2:6" x14ac:dyDescent="0.25">
      <c r="B7" s="59">
        <v>0</v>
      </c>
      <c r="C7" s="382"/>
      <c r="D7" s="383"/>
      <c r="E7" s="383"/>
      <c r="F7" s="384"/>
    </row>
    <row r="8" spans="2:6" x14ac:dyDescent="0.25">
      <c r="B8" s="388"/>
      <c r="C8" s="382"/>
      <c r="D8" s="383"/>
      <c r="E8" s="383"/>
      <c r="F8" s="384"/>
    </row>
    <row r="9" spans="2:6" x14ac:dyDescent="0.25">
      <c r="B9" s="389"/>
      <c r="C9" s="382"/>
      <c r="D9" s="383"/>
      <c r="E9" s="383"/>
      <c r="F9" s="384"/>
    </row>
    <row r="10" spans="2:6" x14ac:dyDescent="0.25">
      <c r="B10" s="389"/>
      <c r="C10" s="382"/>
      <c r="D10" s="383"/>
      <c r="E10" s="383"/>
      <c r="F10" s="384"/>
    </row>
    <row r="11" spans="2:6" x14ac:dyDescent="0.25">
      <c r="B11" s="389"/>
      <c r="C11" s="382"/>
      <c r="D11" s="383"/>
      <c r="E11" s="383"/>
      <c r="F11" s="384"/>
    </row>
    <row r="12" spans="2:6" x14ac:dyDescent="0.25">
      <c r="B12" s="389"/>
      <c r="C12" s="382"/>
      <c r="D12" s="383"/>
      <c r="E12" s="383"/>
      <c r="F12" s="384"/>
    </row>
    <row r="13" spans="2:6" x14ac:dyDescent="0.25">
      <c r="B13" s="389"/>
      <c r="C13" s="382"/>
      <c r="D13" s="383"/>
      <c r="E13" s="383"/>
      <c r="F13" s="384"/>
    </row>
    <row r="14" spans="2:6" x14ac:dyDescent="0.25">
      <c r="B14" s="389"/>
      <c r="C14" s="382"/>
      <c r="D14" s="383"/>
      <c r="E14" s="383"/>
      <c r="F14" s="384"/>
    </row>
    <row r="15" spans="2:6" x14ac:dyDescent="0.25">
      <c r="B15" s="389"/>
      <c r="C15" s="382"/>
      <c r="D15" s="383"/>
      <c r="E15" s="383"/>
      <c r="F15" s="384"/>
    </row>
    <row r="16" spans="2:6" x14ac:dyDescent="0.25">
      <c r="B16" s="390"/>
      <c r="C16" s="385"/>
      <c r="D16" s="386"/>
      <c r="E16" s="386"/>
      <c r="F16" s="387"/>
    </row>
    <row r="17" spans="2:6" x14ac:dyDescent="0.25">
      <c r="B17" s="377" t="s">
        <v>39</v>
      </c>
      <c r="C17" s="379" t="s">
        <v>84</v>
      </c>
      <c r="D17" s="380"/>
      <c r="E17" s="380"/>
      <c r="F17" s="381"/>
    </row>
    <row r="18" spans="2:6" x14ac:dyDescent="0.25">
      <c r="B18" s="378"/>
      <c r="C18" s="382"/>
      <c r="D18" s="383"/>
      <c r="E18" s="383"/>
      <c r="F18" s="384"/>
    </row>
    <row r="19" spans="2:6" x14ac:dyDescent="0.25">
      <c r="B19" s="58" t="s">
        <v>79</v>
      </c>
      <c r="C19" s="382"/>
      <c r="D19" s="383"/>
      <c r="E19" s="383"/>
      <c r="F19" s="384"/>
    </row>
    <row r="20" spans="2:6" x14ac:dyDescent="0.25">
      <c r="B20" s="59">
        <v>2</v>
      </c>
      <c r="C20" s="382"/>
      <c r="D20" s="383"/>
      <c r="E20" s="383"/>
      <c r="F20" s="384"/>
    </row>
    <row r="21" spans="2:6" x14ac:dyDescent="0.25">
      <c r="B21" s="388"/>
      <c r="C21" s="382"/>
      <c r="D21" s="383"/>
      <c r="E21" s="383"/>
      <c r="F21" s="384"/>
    </row>
    <row r="22" spans="2:6" x14ac:dyDescent="0.25">
      <c r="B22" s="389"/>
      <c r="C22" s="382"/>
      <c r="D22" s="383"/>
      <c r="E22" s="383"/>
      <c r="F22" s="384"/>
    </row>
    <row r="23" spans="2:6" x14ac:dyDescent="0.25">
      <c r="B23" s="389"/>
      <c r="C23" s="382"/>
      <c r="D23" s="383"/>
      <c r="E23" s="383"/>
      <c r="F23" s="384"/>
    </row>
    <row r="24" spans="2:6" x14ac:dyDescent="0.25">
      <c r="B24" s="389"/>
      <c r="C24" s="382"/>
      <c r="D24" s="383"/>
      <c r="E24" s="383"/>
      <c r="F24" s="384"/>
    </row>
    <row r="25" spans="2:6" x14ac:dyDescent="0.25">
      <c r="B25" s="389"/>
      <c r="C25" s="382"/>
      <c r="D25" s="383"/>
      <c r="E25" s="383"/>
      <c r="F25" s="384"/>
    </row>
    <row r="26" spans="2:6" x14ac:dyDescent="0.25">
      <c r="B26" s="389"/>
      <c r="C26" s="382"/>
      <c r="D26" s="383"/>
      <c r="E26" s="383"/>
      <c r="F26" s="384"/>
    </row>
    <row r="27" spans="2:6" x14ac:dyDescent="0.25">
      <c r="B27" s="389"/>
      <c r="C27" s="382"/>
      <c r="D27" s="383"/>
      <c r="E27" s="383"/>
      <c r="F27" s="384"/>
    </row>
    <row r="28" spans="2:6" x14ac:dyDescent="0.25">
      <c r="B28" s="389"/>
      <c r="C28" s="382"/>
      <c r="D28" s="383"/>
      <c r="E28" s="383"/>
      <c r="F28" s="384"/>
    </row>
    <row r="29" spans="2:6" x14ac:dyDescent="0.25">
      <c r="B29" s="390"/>
      <c r="C29" s="385"/>
      <c r="D29" s="386"/>
      <c r="E29" s="386"/>
      <c r="F29" s="387"/>
    </row>
    <row r="30" spans="2:6" x14ac:dyDescent="0.25">
      <c r="B30" s="403" t="s">
        <v>38</v>
      </c>
      <c r="C30" s="379" t="s">
        <v>85</v>
      </c>
      <c r="D30" s="380"/>
      <c r="E30" s="380"/>
      <c r="F30" s="381"/>
    </row>
    <row r="31" spans="2:6" x14ac:dyDescent="0.25">
      <c r="B31" s="378"/>
      <c r="C31" s="382"/>
      <c r="D31" s="383"/>
      <c r="E31" s="383"/>
      <c r="F31" s="384"/>
    </row>
    <row r="32" spans="2:6" x14ac:dyDescent="0.25">
      <c r="B32" s="58" t="s">
        <v>79</v>
      </c>
      <c r="C32" s="382"/>
      <c r="D32" s="383"/>
      <c r="E32" s="383"/>
      <c r="F32" s="384"/>
    </row>
    <row r="33" spans="2:6" x14ac:dyDescent="0.25">
      <c r="B33" s="59">
        <v>2</v>
      </c>
      <c r="C33" s="382"/>
      <c r="D33" s="383"/>
      <c r="E33" s="383"/>
      <c r="F33" s="384"/>
    </row>
    <row r="34" spans="2:6" x14ac:dyDescent="0.25">
      <c r="B34" s="388"/>
      <c r="C34" s="382"/>
      <c r="D34" s="383"/>
      <c r="E34" s="383"/>
      <c r="F34" s="384"/>
    </row>
    <row r="35" spans="2:6" x14ac:dyDescent="0.25">
      <c r="B35" s="389"/>
      <c r="C35" s="382"/>
      <c r="D35" s="383"/>
      <c r="E35" s="383"/>
      <c r="F35" s="384"/>
    </row>
    <row r="36" spans="2:6" x14ac:dyDescent="0.25">
      <c r="B36" s="389"/>
      <c r="C36" s="382"/>
      <c r="D36" s="383"/>
      <c r="E36" s="383"/>
      <c r="F36" s="384"/>
    </row>
    <row r="37" spans="2:6" x14ac:dyDescent="0.25">
      <c r="B37" s="389"/>
      <c r="C37" s="382"/>
      <c r="D37" s="383"/>
      <c r="E37" s="383"/>
      <c r="F37" s="384"/>
    </row>
    <row r="38" spans="2:6" x14ac:dyDescent="0.25">
      <c r="B38" s="389"/>
      <c r="C38" s="382"/>
      <c r="D38" s="383"/>
      <c r="E38" s="383"/>
      <c r="F38" s="384"/>
    </row>
    <row r="39" spans="2:6" x14ac:dyDescent="0.25">
      <c r="B39" s="389"/>
      <c r="C39" s="382"/>
      <c r="D39" s="383"/>
      <c r="E39" s="383"/>
      <c r="F39" s="384"/>
    </row>
    <row r="40" spans="2:6" x14ac:dyDescent="0.25">
      <c r="B40" s="390"/>
      <c r="C40" s="385"/>
      <c r="D40" s="386"/>
      <c r="E40" s="386"/>
      <c r="F40" s="387"/>
    </row>
    <row r="41" spans="2:6" x14ac:dyDescent="0.25">
      <c r="B41" s="403" t="s">
        <v>35</v>
      </c>
      <c r="C41" s="379" t="s">
        <v>86</v>
      </c>
      <c r="D41" s="380"/>
      <c r="E41" s="380"/>
      <c r="F41" s="381"/>
    </row>
    <row r="42" spans="2:6" x14ac:dyDescent="0.25">
      <c r="B42" s="378"/>
      <c r="C42" s="382"/>
      <c r="D42" s="383"/>
      <c r="E42" s="383"/>
      <c r="F42" s="384"/>
    </row>
    <row r="43" spans="2:6" x14ac:dyDescent="0.25">
      <c r="B43" s="58" t="s">
        <v>79</v>
      </c>
      <c r="C43" s="382"/>
      <c r="D43" s="383"/>
      <c r="E43" s="383"/>
      <c r="F43" s="384"/>
    </row>
    <row r="44" spans="2:6" x14ac:dyDescent="0.25">
      <c r="B44" s="59">
        <v>1</v>
      </c>
      <c r="C44" s="382"/>
      <c r="D44" s="383"/>
      <c r="E44" s="383"/>
      <c r="F44" s="384"/>
    </row>
    <row r="45" spans="2:6" x14ac:dyDescent="0.25">
      <c r="B45" s="388"/>
      <c r="C45" s="382"/>
      <c r="D45" s="383"/>
      <c r="E45" s="383"/>
      <c r="F45" s="384"/>
    </row>
    <row r="46" spans="2:6" x14ac:dyDescent="0.25">
      <c r="B46" s="389"/>
      <c r="C46" s="382"/>
      <c r="D46" s="383"/>
      <c r="E46" s="383"/>
      <c r="F46" s="384"/>
    </row>
    <row r="47" spans="2:6" x14ac:dyDescent="0.25">
      <c r="B47" s="389"/>
      <c r="C47" s="382"/>
      <c r="D47" s="383"/>
      <c r="E47" s="383"/>
      <c r="F47" s="384"/>
    </row>
    <row r="48" spans="2:6" x14ac:dyDescent="0.25">
      <c r="B48" s="389"/>
      <c r="C48" s="382"/>
      <c r="D48" s="383"/>
      <c r="E48" s="383"/>
      <c r="F48" s="384"/>
    </row>
    <row r="49" spans="2:6" x14ac:dyDescent="0.25">
      <c r="B49" s="389"/>
      <c r="C49" s="382"/>
      <c r="D49" s="383"/>
      <c r="E49" s="383"/>
      <c r="F49" s="384"/>
    </row>
    <row r="50" spans="2:6" x14ac:dyDescent="0.25">
      <c r="B50" s="389"/>
      <c r="C50" s="382"/>
      <c r="D50" s="383"/>
      <c r="E50" s="383"/>
      <c r="F50" s="384"/>
    </row>
    <row r="51" spans="2:6" x14ac:dyDescent="0.25">
      <c r="B51" s="389"/>
      <c r="C51" s="382"/>
      <c r="D51" s="383"/>
      <c r="E51" s="383"/>
      <c r="F51" s="384"/>
    </row>
    <row r="52" spans="2:6" x14ac:dyDescent="0.25">
      <c r="B52" s="389"/>
      <c r="C52" s="382"/>
      <c r="D52" s="383"/>
      <c r="E52" s="383"/>
      <c r="F52" s="384"/>
    </row>
    <row r="53" spans="2:6" x14ac:dyDescent="0.25">
      <c r="B53" s="390"/>
      <c r="C53" s="385"/>
      <c r="D53" s="386"/>
      <c r="E53" s="386"/>
      <c r="F53" s="387"/>
    </row>
    <row r="54" spans="2:6" x14ac:dyDescent="0.25">
      <c r="B54" s="391" t="s">
        <v>40</v>
      </c>
      <c r="C54" s="379" t="s">
        <v>80</v>
      </c>
      <c r="D54" s="393"/>
      <c r="E54" s="393"/>
      <c r="F54" s="394"/>
    </row>
    <row r="55" spans="2:6" x14ac:dyDescent="0.25">
      <c r="B55" s="392"/>
      <c r="C55" s="395"/>
      <c r="D55" s="396"/>
      <c r="E55" s="396"/>
      <c r="F55" s="397"/>
    </row>
    <row r="56" spans="2:6" x14ac:dyDescent="0.25">
      <c r="B56" s="58" t="s">
        <v>79</v>
      </c>
      <c r="C56" s="395"/>
      <c r="D56" s="396"/>
      <c r="E56" s="396"/>
      <c r="F56" s="397"/>
    </row>
    <row r="57" spans="2:6" x14ac:dyDescent="0.25">
      <c r="B57" s="59">
        <v>2</v>
      </c>
      <c r="C57" s="395"/>
      <c r="D57" s="396"/>
      <c r="E57" s="396"/>
      <c r="F57" s="397"/>
    </row>
    <row r="58" spans="2:6" x14ac:dyDescent="0.25">
      <c r="B58" s="388"/>
      <c r="C58" s="395"/>
      <c r="D58" s="396"/>
      <c r="E58" s="396"/>
      <c r="F58" s="397"/>
    </row>
    <row r="59" spans="2:6" x14ac:dyDescent="0.25">
      <c r="B59" s="401"/>
      <c r="C59" s="395"/>
      <c r="D59" s="396"/>
      <c r="E59" s="396"/>
      <c r="F59" s="397"/>
    </row>
    <row r="60" spans="2:6" x14ac:dyDescent="0.25">
      <c r="B60" s="401"/>
      <c r="C60" s="395"/>
      <c r="D60" s="396"/>
      <c r="E60" s="396"/>
      <c r="F60" s="397"/>
    </row>
    <row r="61" spans="2:6" x14ac:dyDescent="0.25">
      <c r="B61" s="401"/>
      <c r="C61" s="395"/>
      <c r="D61" s="396"/>
      <c r="E61" s="396"/>
      <c r="F61" s="397"/>
    </row>
    <row r="62" spans="2:6" x14ac:dyDescent="0.25">
      <c r="B62" s="401"/>
      <c r="C62" s="395"/>
      <c r="D62" s="396"/>
      <c r="E62" s="396"/>
      <c r="F62" s="397"/>
    </row>
    <row r="63" spans="2:6" x14ac:dyDescent="0.25">
      <c r="B63" s="401"/>
      <c r="C63" s="395"/>
      <c r="D63" s="396"/>
      <c r="E63" s="396"/>
      <c r="F63" s="397"/>
    </row>
    <row r="64" spans="2:6" x14ac:dyDescent="0.25">
      <c r="B64" s="401"/>
      <c r="C64" s="395"/>
      <c r="D64" s="396"/>
      <c r="E64" s="396"/>
      <c r="F64" s="397"/>
    </row>
    <row r="65" spans="2:6" x14ac:dyDescent="0.25">
      <c r="B65" s="401"/>
      <c r="C65" s="395"/>
      <c r="D65" s="396"/>
      <c r="E65" s="396"/>
      <c r="F65" s="397"/>
    </row>
    <row r="66" spans="2:6" x14ac:dyDescent="0.25">
      <c r="B66" s="401"/>
      <c r="C66" s="395"/>
      <c r="D66" s="396"/>
      <c r="E66" s="396"/>
      <c r="F66" s="397"/>
    </row>
    <row r="67" spans="2:6" x14ac:dyDescent="0.25">
      <c r="B67" s="402"/>
      <c r="C67" s="398"/>
      <c r="D67" s="399"/>
      <c r="E67" s="399"/>
      <c r="F67" s="400"/>
    </row>
    <row r="68" spans="2:6" x14ac:dyDescent="0.25">
      <c r="B68" s="403" t="s">
        <v>41</v>
      </c>
      <c r="C68" s="379" t="s">
        <v>87</v>
      </c>
      <c r="D68" s="380"/>
      <c r="E68" s="380"/>
      <c r="F68" s="381"/>
    </row>
    <row r="69" spans="2:6" x14ac:dyDescent="0.25">
      <c r="B69" s="378"/>
      <c r="C69" s="382"/>
      <c r="D69" s="383"/>
      <c r="E69" s="383"/>
      <c r="F69" s="384"/>
    </row>
    <row r="70" spans="2:6" x14ac:dyDescent="0.25">
      <c r="B70" s="58" t="s">
        <v>79</v>
      </c>
      <c r="C70" s="382"/>
      <c r="D70" s="383"/>
      <c r="E70" s="383"/>
      <c r="F70" s="384"/>
    </row>
    <row r="71" spans="2:6" x14ac:dyDescent="0.25">
      <c r="B71" s="59">
        <v>0</v>
      </c>
      <c r="C71" s="382"/>
      <c r="D71" s="383"/>
      <c r="E71" s="383"/>
      <c r="F71" s="384"/>
    </row>
    <row r="72" spans="2:6" x14ac:dyDescent="0.25">
      <c r="B72" s="388"/>
      <c r="C72" s="382"/>
      <c r="D72" s="383"/>
      <c r="E72" s="383"/>
      <c r="F72" s="384"/>
    </row>
    <row r="73" spans="2:6" x14ac:dyDescent="0.25">
      <c r="B73" s="389"/>
      <c r="C73" s="382"/>
      <c r="D73" s="383"/>
      <c r="E73" s="383"/>
      <c r="F73" s="384"/>
    </row>
    <row r="74" spans="2:6" x14ac:dyDescent="0.25">
      <c r="B74" s="389"/>
      <c r="C74" s="382"/>
      <c r="D74" s="383"/>
      <c r="E74" s="383"/>
      <c r="F74" s="384"/>
    </row>
    <row r="75" spans="2:6" x14ac:dyDescent="0.25">
      <c r="B75" s="389"/>
      <c r="C75" s="382"/>
      <c r="D75" s="383"/>
      <c r="E75" s="383"/>
      <c r="F75" s="384"/>
    </row>
    <row r="76" spans="2:6" x14ac:dyDescent="0.25">
      <c r="B76" s="389"/>
      <c r="C76" s="382"/>
      <c r="D76" s="383"/>
      <c r="E76" s="383"/>
      <c r="F76" s="384"/>
    </row>
    <row r="77" spans="2:6" x14ac:dyDescent="0.25">
      <c r="B77" s="389"/>
      <c r="C77" s="382"/>
      <c r="D77" s="383"/>
      <c r="E77" s="383"/>
      <c r="F77" s="384"/>
    </row>
    <row r="78" spans="2:6" x14ac:dyDescent="0.25">
      <c r="B78" s="389"/>
      <c r="C78" s="382"/>
      <c r="D78" s="383"/>
      <c r="E78" s="383"/>
      <c r="F78" s="384"/>
    </row>
    <row r="79" spans="2:6" x14ac:dyDescent="0.25">
      <c r="B79" s="389"/>
      <c r="C79" s="382"/>
      <c r="D79" s="383"/>
      <c r="E79" s="383"/>
      <c r="F79" s="384"/>
    </row>
    <row r="80" spans="2:6" x14ac:dyDescent="0.25">
      <c r="B80" s="389"/>
      <c r="C80" s="382"/>
      <c r="D80" s="383"/>
      <c r="E80" s="383"/>
      <c r="F80" s="384"/>
    </row>
    <row r="81" spans="2:11" x14ac:dyDescent="0.25">
      <c r="B81" s="389"/>
      <c r="C81" s="382"/>
      <c r="D81" s="383"/>
      <c r="E81" s="383"/>
      <c r="F81" s="384"/>
    </row>
    <row r="82" spans="2:11" x14ac:dyDescent="0.25">
      <c r="B82" s="390"/>
      <c r="C82" s="385"/>
      <c r="D82" s="386"/>
      <c r="E82" s="386"/>
      <c r="F82" s="387"/>
    </row>
    <row r="83" spans="2:11" x14ac:dyDescent="0.25">
      <c r="B83" s="391" t="s">
        <v>44</v>
      </c>
      <c r="C83" s="379" t="s">
        <v>91</v>
      </c>
      <c r="D83" s="393"/>
      <c r="E83" s="393"/>
      <c r="F83" s="394"/>
    </row>
    <row r="84" spans="2:11" x14ac:dyDescent="0.25">
      <c r="B84" s="392"/>
      <c r="C84" s="395"/>
      <c r="D84" s="396"/>
      <c r="E84" s="396"/>
      <c r="F84" s="397"/>
      <c r="K84" s="60"/>
    </row>
    <row r="85" spans="2:11" x14ac:dyDescent="0.25">
      <c r="B85" s="58" t="s">
        <v>79</v>
      </c>
      <c r="C85" s="395"/>
      <c r="D85" s="396"/>
      <c r="E85" s="396"/>
      <c r="F85" s="397"/>
    </row>
    <row r="86" spans="2:11" x14ac:dyDescent="0.25">
      <c r="B86" s="62" t="s">
        <v>90</v>
      </c>
      <c r="C86" s="395"/>
      <c r="D86" s="396"/>
      <c r="E86" s="396"/>
      <c r="F86" s="397"/>
    </row>
    <row r="87" spans="2:11" x14ac:dyDescent="0.25">
      <c r="B87" s="388"/>
      <c r="C87" s="395"/>
      <c r="D87" s="396"/>
      <c r="E87" s="396"/>
      <c r="F87" s="397"/>
    </row>
    <row r="88" spans="2:11" x14ac:dyDescent="0.25">
      <c r="B88" s="401"/>
      <c r="C88" s="395"/>
      <c r="D88" s="396"/>
      <c r="E88" s="396"/>
      <c r="F88" s="397"/>
    </row>
    <row r="89" spans="2:11" x14ac:dyDescent="0.25">
      <c r="B89" s="401"/>
      <c r="C89" s="395"/>
      <c r="D89" s="396"/>
      <c r="E89" s="396"/>
      <c r="F89" s="397"/>
    </row>
    <row r="90" spans="2:11" x14ac:dyDescent="0.25">
      <c r="B90" s="401"/>
      <c r="C90" s="395"/>
      <c r="D90" s="396"/>
      <c r="E90" s="396"/>
      <c r="F90" s="397"/>
    </row>
    <row r="91" spans="2:11" x14ac:dyDescent="0.25">
      <c r="B91" s="401"/>
      <c r="C91" s="395"/>
      <c r="D91" s="396"/>
      <c r="E91" s="396"/>
      <c r="F91" s="397"/>
    </row>
    <row r="92" spans="2:11" x14ac:dyDescent="0.25">
      <c r="B92" s="401"/>
      <c r="C92" s="395"/>
      <c r="D92" s="396"/>
      <c r="E92" s="396"/>
      <c r="F92" s="397"/>
    </row>
    <row r="93" spans="2:11" x14ac:dyDescent="0.25">
      <c r="B93" s="402"/>
      <c r="C93" s="398"/>
      <c r="D93" s="399"/>
      <c r="E93" s="399"/>
      <c r="F93" s="400"/>
    </row>
    <row r="94" spans="2:11" ht="15" customHeight="1" x14ac:dyDescent="0.25">
      <c r="B94" s="391" t="s">
        <v>45</v>
      </c>
      <c r="C94" s="379" t="s">
        <v>81</v>
      </c>
      <c r="D94" s="393"/>
      <c r="E94" s="393"/>
      <c r="F94" s="394"/>
    </row>
    <row r="95" spans="2:11" x14ac:dyDescent="0.25">
      <c r="B95" s="392"/>
      <c r="C95" s="395"/>
      <c r="D95" s="396"/>
      <c r="E95" s="396"/>
      <c r="F95" s="397"/>
    </row>
    <row r="96" spans="2:11" x14ac:dyDescent="0.25">
      <c r="B96" s="58" t="s">
        <v>79</v>
      </c>
      <c r="C96" s="395"/>
      <c r="D96" s="396"/>
      <c r="E96" s="396"/>
      <c r="F96" s="397"/>
    </row>
    <row r="97" spans="2:6" x14ac:dyDescent="0.25">
      <c r="B97" s="59">
        <v>3</v>
      </c>
      <c r="C97" s="395"/>
      <c r="D97" s="396"/>
      <c r="E97" s="396"/>
      <c r="F97" s="397"/>
    </row>
    <row r="98" spans="2:6" x14ac:dyDescent="0.25">
      <c r="B98" s="388"/>
      <c r="C98" s="395"/>
      <c r="D98" s="396"/>
      <c r="E98" s="396"/>
      <c r="F98" s="397"/>
    </row>
    <row r="99" spans="2:6" x14ac:dyDescent="0.25">
      <c r="B99" s="401"/>
      <c r="C99" s="395"/>
      <c r="D99" s="396"/>
      <c r="E99" s="396"/>
      <c r="F99" s="397"/>
    </row>
    <row r="100" spans="2:6" x14ac:dyDescent="0.25">
      <c r="B100" s="401"/>
      <c r="C100" s="395"/>
      <c r="D100" s="396"/>
      <c r="E100" s="396"/>
      <c r="F100" s="397"/>
    </row>
    <row r="101" spans="2:6" x14ac:dyDescent="0.25">
      <c r="B101" s="401"/>
      <c r="C101" s="395"/>
      <c r="D101" s="396"/>
      <c r="E101" s="396"/>
      <c r="F101" s="397"/>
    </row>
    <row r="102" spans="2:6" x14ac:dyDescent="0.25">
      <c r="B102" s="401"/>
      <c r="C102" s="395"/>
      <c r="D102" s="396"/>
      <c r="E102" s="396"/>
      <c r="F102" s="397"/>
    </row>
    <row r="103" spans="2:6" x14ac:dyDescent="0.25">
      <c r="B103" s="401"/>
      <c r="C103" s="395"/>
      <c r="D103" s="396"/>
      <c r="E103" s="396"/>
      <c r="F103" s="397"/>
    </row>
    <row r="104" spans="2:6" x14ac:dyDescent="0.25">
      <c r="B104" s="402"/>
      <c r="C104" s="398"/>
      <c r="D104" s="399"/>
      <c r="E104" s="399"/>
      <c r="F104" s="400"/>
    </row>
    <row r="105" spans="2:6" x14ac:dyDescent="0.25">
      <c r="B105" s="377" t="s">
        <v>47</v>
      </c>
      <c r="C105" s="379" t="s">
        <v>82</v>
      </c>
      <c r="D105" s="380"/>
      <c r="E105" s="380"/>
      <c r="F105" s="381"/>
    </row>
    <row r="106" spans="2:6" x14ac:dyDescent="0.25">
      <c r="B106" s="378"/>
      <c r="C106" s="382"/>
      <c r="D106" s="383"/>
      <c r="E106" s="383"/>
      <c r="F106" s="384"/>
    </row>
    <row r="107" spans="2:6" x14ac:dyDescent="0.25">
      <c r="B107" s="58" t="s">
        <v>79</v>
      </c>
      <c r="C107" s="382"/>
      <c r="D107" s="383"/>
      <c r="E107" s="383"/>
      <c r="F107" s="384"/>
    </row>
    <row r="108" spans="2:6" x14ac:dyDescent="0.25">
      <c r="B108" s="59">
        <v>0</v>
      </c>
      <c r="C108" s="382"/>
      <c r="D108" s="383"/>
      <c r="E108" s="383"/>
      <c r="F108" s="384"/>
    </row>
    <row r="109" spans="2:6" x14ac:dyDescent="0.25">
      <c r="B109" s="388"/>
      <c r="C109" s="382"/>
      <c r="D109" s="383"/>
      <c r="E109" s="383"/>
      <c r="F109" s="384"/>
    </row>
    <row r="110" spans="2:6" x14ac:dyDescent="0.25">
      <c r="B110" s="389"/>
      <c r="C110" s="382"/>
      <c r="D110" s="383"/>
      <c r="E110" s="383"/>
      <c r="F110" s="384"/>
    </row>
    <row r="111" spans="2:6" x14ac:dyDescent="0.25">
      <c r="B111" s="389"/>
      <c r="C111" s="382"/>
      <c r="D111" s="383"/>
      <c r="E111" s="383"/>
      <c r="F111" s="384"/>
    </row>
    <row r="112" spans="2:6" x14ac:dyDescent="0.25">
      <c r="B112" s="389"/>
      <c r="C112" s="382"/>
      <c r="D112" s="383"/>
      <c r="E112" s="383"/>
      <c r="F112" s="384"/>
    </row>
    <row r="113" spans="2:6" x14ac:dyDescent="0.25">
      <c r="B113" s="389"/>
      <c r="C113" s="382"/>
      <c r="D113" s="383"/>
      <c r="E113" s="383"/>
      <c r="F113" s="384"/>
    </row>
    <row r="114" spans="2:6" x14ac:dyDescent="0.25">
      <c r="B114" s="389"/>
      <c r="C114" s="382"/>
      <c r="D114" s="383"/>
      <c r="E114" s="383"/>
      <c r="F114" s="384"/>
    </row>
    <row r="115" spans="2:6" x14ac:dyDescent="0.25">
      <c r="B115" s="389"/>
      <c r="C115" s="382"/>
      <c r="D115" s="383"/>
      <c r="E115" s="383"/>
      <c r="F115" s="384"/>
    </row>
    <row r="116" spans="2:6" x14ac:dyDescent="0.25">
      <c r="B116" s="389"/>
      <c r="C116" s="382"/>
      <c r="D116" s="383"/>
      <c r="E116" s="383"/>
      <c r="F116" s="384"/>
    </row>
    <row r="117" spans="2:6" x14ac:dyDescent="0.25">
      <c r="B117" s="390"/>
      <c r="C117" s="385"/>
      <c r="D117" s="386"/>
      <c r="E117" s="386"/>
      <c r="F117" s="387"/>
    </row>
  </sheetData>
  <mergeCells count="28">
    <mergeCell ref="B1:F2"/>
    <mergeCell ref="B4:B5"/>
    <mergeCell ref="C4:F16"/>
    <mergeCell ref="B8:B16"/>
    <mergeCell ref="B17:B18"/>
    <mergeCell ref="C17:F29"/>
    <mergeCell ref="B21:B29"/>
    <mergeCell ref="B68:B69"/>
    <mergeCell ref="C68:F82"/>
    <mergeCell ref="B72:B82"/>
    <mergeCell ref="B30:B31"/>
    <mergeCell ref="C30:F40"/>
    <mergeCell ref="B34:B40"/>
    <mergeCell ref="B41:B42"/>
    <mergeCell ref="C41:F53"/>
    <mergeCell ref="B45:B53"/>
    <mergeCell ref="B54:B55"/>
    <mergeCell ref="C54:F67"/>
    <mergeCell ref="B58:B67"/>
    <mergeCell ref="B105:B106"/>
    <mergeCell ref="C105:F117"/>
    <mergeCell ref="B109:B117"/>
    <mergeCell ref="B83:B84"/>
    <mergeCell ref="C83:F93"/>
    <mergeCell ref="B87:B93"/>
    <mergeCell ref="B94:B95"/>
    <mergeCell ref="C94:F104"/>
    <mergeCell ref="B98:B104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4F57DC-141E-4AB1-87CC-0E2B5E397D59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e6d905db-4f59-4a3b-930f-acb1d61e4a6c"/>
    <ds:schemaRef ds:uri="http://purl.org/dc/dcmitype/"/>
    <ds:schemaRef ds:uri="http://purl.org/dc/elements/1.1/"/>
    <ds:schemaRef ds:uri="http://schemas.microsoft.com/office/2006/documentManagement/types"/>
    <ds:schemaRef ds:uri="550b22fb-13da-4cf5-969f-c4932bbd4a2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Kompetenzraster</vt:lpstr>
      <vt:lpstr>ST_1_KW33</vt:lpstr>
      <vt:lpstr>ST_2_KW34</vt:lpstr>
      <vt:lpstr>ST_3_KW35</vt:lpstr>
      <vt:lpstr>ST_4_KW35</vt:lpstr>
      <vt:lpstr>ST_5_KW36</vt:lpstr>
      <vt:lpstr>ST_6_KW38</vt:lpstr>
      <vt:lpstr>ST_7_KW39</vt:lpstr>
      <vt:lpstr>ST_8_KW40</vt:lpstr>
      <vt:lpstr>ST_9_KW41</vt:lpstr>
      <vt:lpstr>ST_10_KW42</vt:lpstr>
      <vt:lpstr>ST_11_KW42 </vt:lpstr>
      <vt:lpstr>ST_12_KW43</vt:lpstr>
      <vt:lpstr>ST_13_KW44</vt:lpstr>
      <vt:lpstr>ST_14_KW45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2024-11-28T10:51:54Z</cp:lastPrinted>
  <dcterms:created xsi:type="dcterms:W3CDTF">2018-02-19T12:02:46Z</dcterms:created>
  <dcterms:modified xsi:type="dcterms:W3CDTF">2026-01-23T07:29:38Z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