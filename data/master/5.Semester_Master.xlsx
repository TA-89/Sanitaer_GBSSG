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marcel_item_gbssg_ch/Documents/1_Sanitärinstallateure/2_Unterrichtsmaterial_EFZ/1_Word_Vorlagen/5.Semester/"/>
    </mc:Choice>
  </mc:AlternateContent>
  <xr:revisionPtr revIDLastSave="338" documentId="8_{ECEA6338-1C0F-441F-8176-08782BED885F}" xr6:coauthVersionLast="47" xr6:coauthVersionMax="47" xr10:uidLastSave="{FE19EA1A-59BD-4166-B819-CE6225316288}"/>
  <bookViews>
    <workbookView xWindow="-120" yWindow="-120" windowWidth="51840" windowHeight="21120" firstSheet="4" activeTab="19" xr2:uid="{00000000-000D-0000-FFFF-FFFF00000000}"/>
  </bookViews>
  <sheets>
    <sheet name="Kompetenzraster" sheetId="13" r:id="rId1"/>
    <sheet name="ST_1_KW_33" sheetId="14" r:id="rId2"/>
    <sheet name="ST_2_KW_34" sheetId="16" r:id="rId3"/>
    <sheet name="ST_3_KW_35" sheetId="17" r:id="rId4"/>
    <sheet name="ST_4_KW_36" sheetId="18" r:id="rId5"/>
    <sheet name="ST_5_KW_37" sheetId="19" r:id="rId6"/>
    <sheet name="ST_6_KW_38" sheetId="20" r:id="rId7"/>
    <sheet name="ST_7_KW_39" sheetId="21" r:id="rId8"/>
    <sheet name="ST_8_KW_43" sheetId="22" r:id="rId9"/>
    <sheet name="ST_9_KW_44" sheetId="23" r:id="rId10"/>
    <sheet name="ST_10_KW_45" sheetId="24" r:id="rId11"/>
    <sheet name="ST_11_KW_46" sheetId="25" r:id="rId12"/>
    <sheet name="ST_12_KW_47" sheetId="26" r:id="rId13"/>
    <sheet name="ST_13_KW_48" sheetId="27" r:id="rId14"/>
    <sheet name="ST_14_KW_49" sheetId="28" r:id="rId15"/>
    <sheet name="ST_15_KW_50" sheetId="30" r:id="rId16"/>
    <sheet name="ST_16_KW_48" sheetId="31" r:id="rId17"/>
    <sheet name="ST_17_KW_1" sheetId="32" r:id="rId18"/>
    <sheet name="ST_18_KW_3" sheetId="33" r:id="rId19"/>
    <sheet name="ST_19_KW_4" sheetId="34" r:id="rId20"/>
    <sheet name="Aufgaben_Teams" sheetId="15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" i="34" l="1"/>
  <c r="E1" i="32"/>
  <c r="Q37" i="13"/>
  <c r="Q35" i="13"/>
  <c r="E1" i="31" s="1"/>
  <c r="E1" i="30"/>
  <c r="E1" i="26"/>
  <c r="E1" i="25"/>
  <c r="E1" i="20"/>
  <c r="E1" i="19"/>
  <c r="Q5" i="13" l="1"/>
  <c r="Z39" i="13"/>
  <c r="Z31" i="13"/>
  <c r="N20" i="13" l="1"/>
  <c r="B77" i="15" l="1"/>
  <c r="B89" i="15"/>
  <c r="B65" i="15"/>
  <c r="B55" i="15"/>
  <c r="B37" i="15"/>
  <c r="B35" i="15"/>
  <c r="B25" i="15"/>
  <c r="B16" i="15"/>
  <c r="B7" i="15"/>
  <c r="B9" i="15"/>
  <c r="E1" i="14"/>
  <c r="Q7" i="13" l="1"/>
  <c r="Q9" i="13" l="1"/>
  <c r="E1" i="16"/>
  <c r="Q11" i="13" l="1"/>
  <c r="E1" i="17"/>
  <c r="Q13" i="13" l="1"/>
  <c r="B39" i="15"/>
  <c r="E1" i="18"/>
  <c r="B11" i="15"/>
  <c r="Q15" i="13" l="1"/>
  <c r="B18" i="15"/>
  <c r="B48" i="15"/>
  <c r="Q17" i="13" l="1"/>
  <c r="Q19" i="13" s="1"/>
  <c r="B100" i="15" l="1"/>
  <c r="E1" i="21"/>
  <c r="B50" i="15"/>
  <c r="B102" i="15" l="1"/>
  <c r="E1" i="22"/>
  <c r="B57" i="15"/>
  <c r="Q21" i="13"/>
  <c r="Q23" i="13" l="1"/>
  <c r="E1" i="23"/>
  <c r="Q25" i="13" l="1"/>
  <c r="E1" i="24"/>
  <c r="B59" i="15" l="1"/>
  <c r="B67" i="15"/>
  <c r="Q27" i="13"/>
  <c r="Q29" i="13" s="1"/>
  <c r="E1" i="27" s="1"/>
  <c r="B69" i="15" l="1"/>
  <c r="B79" i="15"/>
  <c r="Q31" i="13"/>
  <c r="B27" i="15"/>
  <c r="B20" i="15"/>
  <c r="Q33" i="13" l="1"/>
  <c r="E1" i="28"/>
  <c r="B81" i="15" l="1"/>
  <c r="Q39" i="13" l="1"/>
  <c r="B29" i="15"/>
  <c r="B91" i="15"/>
  <c r="B93" i="15" l="1"/>
  <c r="E1" i="33"/>
</calcChain>
</file>

<file path=xl/sharedStrings.xml><?xml version="1.0" encoding="utf-8"?>
<sst xmlns="http://schemas.openxmlformats.org/spreadsheetml/2006/main" count="681" uniqueCount="284">
  <si>
    <t>Semesterstart:</t>
  </si>
  <si>
    <t>Schultag:</t>
  </si>
  <si>
    <t>Montag</t>
  </si>
  <si>
    <t xml:space="preserve">HF 1       </t>
  </si>
  <si>
    <r>
      <rPr>
        <b/>
        <sz val="12"/>
        <color theme="1"/>
        <rFont val="Century Gothic"/>
        <family val="2"/>
      </rPr>
      <t>Planen der Arbeiten</t>
    </r>
    <r>
      <rPr>
        <sz val="12"/>
        <color theme="1"/>
        <rFont val="Century Gothic"/>
        <family val="2"/>
      </rPr>
      <t xml:space="preserve">
</t>
    </r>
  </si>
  <si>
    <t>Gesetzliche Feiertage</t>
  </si>
  <si>
    <t>Allerheiligen</t>
  </si>
  <si>
    <t>Karfreitag</t>
  </si>
  <si>
    <t>Ostermontag</t>
  </si>
  <si>
    <t>Auffahrt</t>
  </si>
  <si>
    <t>Pfingstmontag</t>
  </si>
  <si>
    <t xml:space="preserve">Fachgruppe Sanitär Spengler </t>
  </si>
  <si>
    <t>itm I sanitärlernen.ch</t>
  </si>
  <si>
    <t>Unterichtsplanung 1. Semester</t>
  </si>
  <si>
    <t>Bewertung / Benotung</t>
  </si>
  <si>
    <t xml:space="preserve">Die Note aus den Leistungsnachweisen berechnet sich aus den während des Semestes erzielten Punkten. </t>
  </si>
  <si>
    <t>Zeugnisnote</t>
  </si>
  <si>
    <t>Noten Prüfungen</t>
  </si>
  <si>
    <t>X</t>
  </si>
  <si>
    <t>Handlungsfelder und Kompetenzen</t>
  </si>
  <si>
    <t>Note Leistungsnachweis</t>
  </si>
  <si>
    <t>Kompetenzraster 5.Semester  Sanitärinstallateur/in EFZ</t>
  </si>
  <si>
    <t>Sie zeichnen einfache Installationspläne unter Berücksichtigung der relevanten Vorschriften.</t>
  </si>
  <si>
    <t>Sie bestimmen die Rohrweiten von Abwasserleitungen anhand der geltenden Vorschriften.</t>
  </si>
  <si>
    <t>Auftrag 5.1</t>
  </si>
  <si>
    <t>Auftrag 5.2</t>
  </si>
  <si>
    <t>Auftrag 5.3</t>
  </si>
  <si>
    <t>Auftrag 5.4</t>
  </si>
  <si>
    <t xml:space="preserve">Sie benennen gebräuchliche Ver- und Entsorgungsapparate sowie deren Komponenten. </t>
  </si>
  <si>
    <t>Sie beschreiben die Funktion, die Einsatzmöglichkeiten und die Montageanforderungen der Ver- und Entsorgungsapparate.</t>
  </si>
  <si>
    <t>Sie planen und dimensionieren Fortluftleitungen anhand von Dimensionierungstabellen.</t>
  </si>
  <si>
    <t>Sie benennen die Anforderungen an Kleinlüftungsanlagen in Bezug auf den Schall- und Brandschutz.</t>
  </si>
  <si>
    <t>Sie definieren Befestigungsabstände von Fortluftrohren.</t>
  </si>
  <si>
    <t>Sie beschreiben verschiedene Rohrmaterialien und deren Verbindungsmöglichkeiten.</t>
  </si>
  <si>
    <t>Sie benennen verschiedene Ventilatoren-typen, Ventilatoreneinsätze und deren Gehäuse.</t>
  </si>
  <si>
    <t>Sie beschreiben die Inhalte der geltenden Vorschriften in Bezug auf die Installation von Entsorgungsleitungen.</t>
  </si>
  <si>
    <t xml:space="preserve">Sie erläutern die Funktionsweise von Retentions- und Versickerungsanlagen. </t>
  </si>
  <si>
    <t xml:space="preserve">Installieren von Erdgasleitungen
</t>
  </si>
  <si>
    <t>Sie beschreiben die handelsüblichen Vorwandsysteme.</t>
  </si>
  <si>
    <t xml:space="preserve">HF 3      </t>
  </si>
  <si>
    <t>2 Schultage (6L)</t>
  </si>
  <si>
    <t>Sie bestimmen die Rohrweiten von Erdgasleitungen anhand der SVGW-Richtlinie G1</t>
  </si>
  <si>
    <t>Auftrag 5.6</t>
  </si>
  <si>
    <t>Auftrag 5.7</t>
  </si>
  <si>
    <t>Auftrag 5.8</t>
  </si>
  <si>
    <t>Auftrag 5.9</t>
  </si>
  <si>
    <t xml:space="preserve">Auftrag 5.1 </t>
  </si>
  <si>
    <t>3 Schultage (6L)</t>
  </si>
  <si>
    <t>8 Schultage (16L)</t>
  </si>
  <si>
    <t xml:space="preserve">Auftrag 5.3 </t>
  </si>
  <si>
    <t>5.4  I  5.1</t>
  </si>
  <si>
    <t>5.6  I  5.2</t>
  </si>
  <si>
    <t>5.7  I  5.2</t>
  </si>
  <si>
    <t>WAS Versickerung / Retension</t>
  </si>
  <si>
    <t>5.8  I  5.2</t>
  </si>
  <si>
    <t>Kleinlüftungsanlagen</t>
  </si>
  <si>
    <t>Versorgungsapparate Wassererwärmer</t>
  </si>
  <si>
    <t>Semesterarbeit / Vernetzung</t>
  </si>
  <si>
    <t xml:space="preserve">Auftrag 5.10 </t>
  </si>
  <si>
    <t>3 Schultage (9L)</t>
  </si>
  <si>
    <t>2 Schultage (10L)</t>
  </si>
  <si>
    <t>4 Schultage (12L)</t>
  </si>
  <si>
    <t>Sie bestimmen die Rohrweiten von Rohrleitungen.</t>
  </si>
  <si>
    <t>Sie erstellen anhand von Planunterlagen einen Werkstattplan für eine Vorwand.</t>
  </si>
  <si>
    <t>HF 4 / HF 6</t>
  </si>
  <si>
    <t xml:space="preserve">Installieren von Entsorgungsleitungen </t>
  </si>
  <si>
    <t xml:space="preserve">Montieren von sanitären Anlagen und Apparate </t>
  </si>
  <si>
    <t xml:space="preserve">Sie bestimmen die Grösse eines Wassererwärmers anhand der geltenden Vorschriften. </t>
  </si>
  <si>
    <t>Sie berechnen den Druck unter Berücksichtigung der Kompressibilität des Wassers.</t>
  </si>
  <si>
    <t xml:space="preserve">Sie beschreiben das korrekte Vorgehen zur Überprüfung der Ausstosszeiten. </t>
  </si>
  <si>
    <t>Sie erstellen anhand von Planunterlagen, Apparatelisten und Massskizzen einen massstäblichen Detailplan.</t>
  </si>
  <si>
    <t>Sie bestimmen die Rohrweiten von Trinkwasser-Leitungen anhand der geltenden Vorschriften.</t>
  </si>
  <si>
    <t>Vernetzung aller Handlungsfelder</t>
  </si>
  <si>
    <t xml:space="preserve">HF 1/2/3/4/5/6/7     </t>
  </si>
  <si>
    <t xml:space="preserve">Punkte max. </t>
  </si>
  <si>
    <t>Auftrag 5.10</t>
  </si>
  <si>
    <t xml:space="preserve">Sie können den Gasherd und die Gasheizung als wichtige
Gasapparate beschreiben und erklären. 
</t>
  </si>
  <si>
    <t xml:space="preserve">Auftrag 5.4 </t>
  </si>
  <si>
    <t>Sie wissen, wie man Gasgeräte fachgerecht anschliesst und
wissen, welche Punkte bei der Inbetriebnahme wichtig sind.</t>
  </si>
  <si>
    <t>5.9  I  5.3</t>
  </si>
  <si>
    <t>Erdgas Apparate &amp; Apparateanschluss</t>
  </si>
  <si>
    <t>Dimensionieren Schmutzwasser</t>
  </si>
  <si>
    <t>Erdgas Dimensionierung</t>
  </si>
  <si>
    <t>Projektierung / Planbearbeitung</t>
  </si>
  <si>
    <t>Projektierung/ Planbearbeitung</t>
  </si>
  <si>
    <t xml:space="preserve">Semesterarbeit / Vernetzung </t>
  </si>
  <si>
    <t>Unterrichtsverlauf</t>
  </si>
  <si>
    <t>Filme / Theorie</t>
  </si>
  <si>
    <t>1 - 3 Lektion</t>
  </si>
  <si>
    <t>Lernziele</t>
  </si>
  <si>
    <t>Pause</t>
  </si>
  <si>
    <t>4 - 5 Lektion</t>
  </si>
  <si>
    <t>Hausaufgaben</t>
  </si>
  <si>
    <t>Administratives</t>
  </si>
  <si>
    <t>Erdgas Apparateanschluss</t>
  </si>
  <si>
    <t>Schmutzwasser Dimensionierung</t>
  </si>
  <si>
    <t>Aufgaben Teams</t>
  </si>
  <si>
    <t>Punkte</t>
  </si>
  <si>
    <t>Zuweisung</t>
  </si>
  <si>
    <t>Abgabe</t>
  </si>
  <si>
    <t>Zu vier bis fünf Aufträgen wird im Unterricht eine Prüfung  geschrieben.</t>
  </si>
  <si>
    <t>Sie berechnen Längen- und Höhenmasse.</t>
  </si>
  <si>
    <t xml:space="preserve">Sie wenden die X- und z-Mass-Methode an verschiedenen Beispielen an. </t>
  </si>
  <si>
    <t>Sie erstellen genaue und vollständige Isometrie-Zeichnungen anhand von Planunterlagen.</t>
  </si>
  <si>
    <t xml:space="preserve">Sie berechnen rechtwinklige Dreiecke. </t>
  </si>
  <si>
    <t xml:space="preserve">Sie erstellen anhand von isometrischen Zeichnungen vollständige Stücklisten. </t>
  </si>
  <si>
    <t>Sie beschreiben die Inhalte der geltenden Vorschriften in                            
Bezug auf die Erdgasinstallation.</t>
  </si>
  <si>
    <t>Sie wenden die Z- und X-Mass-Methode an verschiedenen Beispielen an.</t>
  </si>
  <si>
    <r>
      <rPr>
        <b/>
        <sz val="10"/>
        <color theme="1"/>
        <rFont val="Century Gothic"/>
        <family val="2"/>
      </rPr>
      <t>Lernziele:</t>
    </r>
    <r>
      <rPr>
        <sz val="10"/>
        <color theme="1"/>
        <rFont val="Century Gothic"/>
        <family val="2"/>
      </rPr>
      <t xml:space="preserve">
- Sie bestimmen die Rohrweiten von Abwasserleitungen anhand der geltenden Vorschriften.
</t>
    </r>
    <r>
      <rPr>
        <b/>
        <sz val="10"/>
        <color theme="1"/>
        <rFont val="Century Gothic"/>
        <family val="2"/>
      </rPr>
      <t xml:space="preserve">Abzugebende Leistungsnachweise:
</t>
    </r>
    <r>
      <rPr>
        <sz val="10"/>
        <color theme="1"/>
        <rFont val="Century Gothic"/>
        <family val="2"/>
      </rPr>
      <t xml:space="preserve">
- Leistungsnachweis«Dimensionierung WAS»
</t>
    </r>
  </si>
  <si>
    <r>
      <rPr>
        <b/>
        <sz val="10"/>
        <color theme="1"/>
        <rFont val="Century Gothic"/>
        <family val="2"/>
      </rPr>
      <t>Lernziele:</t>
    </r>
    <r>
      <rPr>
        <sz val="10"/>
        <color theme="1"/>
        <rFont val="Century Gothic"/>
        <family val="2"/>
      </rPr>
      <t xml:space="preserve">
- Sie zeichnen einfache Installationspläne unter Berücksichtigung der relevanten Vorschriften.
</t>
    </r>
    <r>
      <rPr>
        <b/>
        <sz val="10"/>
        <color theme="1"/>
        <rFont val="Century Gothic"/>
        <family val="2"/>
      </rPr>
      <t xml:space="preserve"> 
Abzugebende Leistungsnachweise:
</t>
    </r>
    <r>
      <rPr>
        <sz val="10"/>
        <color theme="1"/>
        <rFont val="Century Gothic"/>
        <family val="2"/>
      </rPr>
      <t xml:space="preserve">
- Leistungsnachweis "Projektierung"
</t>
    </r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</si>
  <si>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Sie beschreiben die Inhalte der geltenden Vorschriften in                            
Bezug auf die Erdgasinstallation.
- Sie können den Gasherd und die Gasheizung als wichtige
Gasapparate beschreiben und erklären. 
- Sie wissen, wie man Gasgeräte fachgerecht anschliesst und
wissen, welche Punkte bei der Inbetriebnahme wichtig sind.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"Apparatemontage &amp; Anschluss"
</t>
    </r>
    <r>
      <rPr>
        <sz val="10"/>
        <color theme="1"/>
        <rFont val="Century Gothic"/>
        <family val="2"/>
      </rPr>
      <t xml:space="preserve">
</t>
    </r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</si>
  <si>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Sie bestimmen die Rohrweiten von Erdgasleitungen anhand der SVGW-Richtlinie G1.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"Dimensionierung Erdgas"  
</t>
    </r>
    <r>
      <rPr>
        <sz val="10"/>
        <color theme="1"/>
        <rFont val="Century Gothic"/>
        <family val="2"/>
      </rPr>
      <t xml:space="preserve">
</t>
    </r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</si>
  <si>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Sie benennen die Anforderungen an Kleinlüftungsanlagen in Bezug auf den Schall- und Brandschutz.
- Sie beschreiben verschiedene Rohrmaterialien und deren Verbindungsmöglichkeiten.
- Sie benennen verschiedene Ventilatoren-typen, Ventilatoreneinsätze und deren Gehäuse.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«Dokument Fortlüftungsanlagen»
</t>
    </r>
    <r>
      <rPr>
        <sz val="10"/>
        <color theme="1"/>
        <rFont val="Century Gothic"/>
        <family val="2"/>
      </rPr>
      <t xml:space="preserve">
</t>
    </r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</si>
  <si>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Sie beschreiben die Funktion, die Einsatzmöglichkeiten und die Montageanforderungen der Ver- und Entsorgungsapparate.
- Sie benennen gebräuchliche Ver- und Entsorgungsapparate sowie deren Komponenten. 
- Sie bestimmen die Grösse eines Wassererwärmers anhand der geltenden Vorschriften. 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"Auslegung &amp; Anschluss Wassererwärmer»
</t>
    </r>
    <r>
      <rPr>
        <sz val="10"/>
        <color theme="1"/>
        <rFont val="Century Gothic"/>
        <family val="2"/>
      </rPr>
      <t xml:space="preserve">
</t>
    </r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</si>
  <si>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Vernetzende Kompetenzen gemäss Auftrag 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"Projektarbeit"
</t>
    </r>
    <r>
      <rPr>
        <sz val="10"/>
        <color theme="1"/>
        <rFont val="Century Gothic"/>
        <family val="2"/>
      </rPr>
      <t xml:space="preserve">
</t>
    </r>
  </si>
  <si>
    <t>AVOR X-Mass</t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</si>
  <si>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Sie erläutern die Funktionsweise von Retentions- und Versickerungsanlagen. 
- Sie bestimmen die Rohrweiten von Rohrleitungen.
- Sie beschreiben die Inhalte der geltenden Vorschriften in Bezug auf die Installation von Entsorgungsleitungen.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«Dimensionierung Rohrleitungen»	   
</t>
    </r>
    <r>
      <rPr>
        <sz val="10"/>
        <color theme="1"/>
        <rFont val="Century Gothic"/>
        <family val="2"/>
      </rPr>
      <t xml:space="preserve">
</t>
    </r>
  </si>
  <si>
    <t xml:space="preserve">Auftrag 1 </t>
  </si>
  <si>
    <t>Auftrag 2</t>
  </si>
  <si>
    <t>* Einstieg mit Übung Betrachtung Schema</t>
  </si>
  <si>
    <t>* Erarbeitung Grundlagen der Dimensionierung</t>
  </si>
  <si>
    <t>Auftrag 3</t>
  </si>
  <si>
    <t>* evtl. Start mit Aufgabe 7 / Dimensionierung</t>
  </si>
  <si>
    <t>* Einstieg mit Repetition Montageregeln</t>
  </si>
  <si>
    <t>* Betrachtung Video / Explosion / Gruppendiskussion</t>
  </si>
  <si>
    <t xml:space="preserve">* Regeln zur Aufstellung von Gasapparaten </t>
  </si>
  <si>
    <t>* Sie beschreiben die Inhalte der geltenden Vorschriften in Bezug auf die Erdgasinstallation.</t>
  </si>
  <si>
    <t xml:space="preserve">* Sie wissen, wie man Gasgeräte fachgerecht anschliesst und wissen, welche Punkte </t>
  </si>
  <si>
    <t xml:space="preserve">   bei der Inbetriebnahme wichtig sind.</t>
  </si>
  <si>
    <t>* Sie bestimmen die Rohrweiten von Abwasserleitungen anhand der geltenden Vorschriften.</t>
  </si>
  <si>
    <t xml:space="preserve">Auftrag 3 </t>
  </si>
  <si>
    <t>* Start mit Aufgabe 7 / Dimensionieren gemeinsam</t>
  </si>
  <si>
    <t>* Üben üben üben mit Aufgaben aus Dossier</t>
  </si>
  <si>
    <t>* Einstieg Thema Gasherd mit Lehrmittel</t>
  </si>
  <si>
    <t xml:space="preserve">* Arbeit an Fragen aus LM / Demoraum  </t>
  </si>
  <si>
    <t>* Übung Anschlussleistungen für Dimensionierung</t>
  </si>
  <si>
    <t>* Flammenbild betrachten &amp; Einregulierung</t>
  </si>
  <si>
    <t>* Sie können den Gasherd und die Gasheizung beschreiben und erklären.</t>
  </si>
  <si>
    <t>Lernziele / Prüfung</t>
  </si>
  <si>
    <t xml:space="preserve">Auftrag 4 </t>
  </si>
  <si>
    <t>* Start mit Korrektur Aufgabe 8</t>
  </si>
  <si>
    <t>* Einstieg Thema Gasheizung</t>
  </si>
  <si>
    <t>* Arbeit an Leistungsnachweis "Gasapparate platzieren und anschliessen»</t>
  </si>
  <si>
    <t>* Hinweis Prüfung &amp; Lernziele</t>
  </si>
  <si>
    <t>* Arbeit an Leistungsnachweis "Dimensionieren Abwasser»</t>
  </si>
  <si>
    <t>Prüfung Auftrag 5.4</t>
  </si>
  <si>
    <t>Prüfung Auftrag 5.1</t>
  </si>
  <si>
    <t>30min</t>
  </si>
  <si>
    <t>Einstieg</t>
  </si>
  <si>
    <t>* gemeinsames Zeichnen eines "normalen EFH Schemas</t>
  </si>
  <si>
    <t>* Einstieg mit Plänen aus der Praxis</t>
  </si>
  <si>
    <t>* Aufzeichnen der relevanten Symbole für Schema</t>
  </si>
  <si>
    <t>5 Schultage (10L)</t>
  </si>
  <si>
    <t>5.8  I  5.3</t>
  </si>
  <si>
    <r>
      <t>* Herleitung H</t>
    </r>
    <r>
      <rPr>
        <sz val="8"/>
        <color theme="1"/>
        <rFont val="Century Gothic"/>
        <family val="2"/>
      </rPr>
      <t xml:space="preserve">iB </t>
    </r>
    <r>
      <rPr>
        <sz val="9"/>
        <color theme="1"/>
        <rFont val="Century Gothic"/>
        <family val="2"/>
      </rPr>
      <t>/ Auslegung Anschlussleistung</t>
    </r>
  </si>
  <si>
    <t xml:space="preserve">* Übung / Systeme &amp; Bezeichnungen </t>
  </si>
  <si>
    <t xml:space="preserve">* Sie zeichnen einfache Installationspläne unter Berücksichtigung </t>
  </si>
  <si>
    <t xml:space="preserve">  der relevanten Vorschriften.</t>
  </si>
  <si>
    <t>* Sie bestimmen die Rohrweiten von Erdgasleitungen anhand der SVGW-Richtlinie G1.</t>
  </si>
  <si>
    <t>Auftrag 1</t>
  </si>
  <si>
    <t xml:space="preserve">* Die zwei Arten der Dimensionierung </t>
  </si>
  <si>
    <t>* Aufgaben 4 / 5 &amp; 6 lösen und gemeinsam besprechen</t>
  </si>
  <si>
    <t>* Erste Übungsserie lösen</t>
  </si>
  <si>
    <t>* Kellerverteilungen isometrisch aufzeichnen / Übungen</t>
  </si>
  <si>
    <t xml:space="preserve">* Einstieg mit Aufgabe Grundriss &amp; Verteilbatterie </t>
  </si>
  <si>
    <t>* Gemeinsames Erstellen einer Anleitung zum Dimensionieren</t>
  </si>
  <si>
    <t>* Korrektur und Besprechung / Bezeichnungsübung</t>
  </si>
  <si>
    <r>
      <rPr>
        <b/>
        <sz val="10"/>
        <rFont val="Century Gothic"/>
        <family val="2"/>
      </rPr>
      <t>QV Vorbereitung Erdgas</t>
    </r>
    <r>
      <rPr>
        <b/>
        <sz val="10"/>
        <color theme="1"/>
        <rFont val="Century Gothic"/>
        <family val="2"/>
      </rPr>
      <t xml:space="preserve">
</t>
    </r>
    <r>
      <rPr>
        <sz val="6.5"/>
        <color theme="1"/>
        <rFont val="Century Gothic"/>
        <family val="2"/>
      </rPr>
      <t xml:space="preserve">Sie erstellen selbstständig Lernkarten zu den Grundlagenkenntnissen im Bereich Erdgas. </t>
    </r>
  </si>
  <si>
    <t>* Übungen "Alte Prüfungen lösen"</t>
  </si>
  <si>
    <t>* Leistungsnachweis lösen und abgeben…</t>
  </si>
  <si>
    <t>* Aufgaben Zeta &amp; Eta zum selbstständigen üben…</t>
  </si>
  <si>
    <t>* Gemeinsames lösen und korrigieren von Aufgabe Teta</t>
  </si>
  <si>
    <t>* Korrektur durch LP!</t>
  </si>
  <si>
    <t>QV Vorbereitung Erdgas</t>
  </si>
  <si>
    <t>Auftrag 5.11</t>
  </si>
  <si>
    <t>1 Schultag (3L)</t>
  </si>
  <si>
    <t>* Übersicht Kometenzen / Vermittlung Idee</t>
  </si>
  <si>
    <t>* Einteilung in Gruppen =&gt; Excel Teams</t>
  </si>
  <si>
    <t>* Arbeit an den Antworten in Kleingruppen</t>
  </si>
  <si>
    <t>* Erstellung von Lernkarten für die Vorbereitung Qualifikationsverfahren.</t>
  </si>
  <si>
    <t>* Arbeit und Abgabe Leistungsnachweis "Leitungsisometrie"</t>
  </si>
  <si>
    <t>5.11  I  5.2</t>
  </si>
  <si>
    <t>Erdgas Abschluss / Fragekarten</t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</si>
  <si>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Vernetzende Kompetenzen gemäss Auftrag 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"Lernkarten"
</t>
    </r>
    <r>
      <rPr>
        <sz val="10"/>
        <color theme="1"/>
        <rFont val="Century Gothic"/>
        <family val="2"/>
      </rPr>
      <t xml:space="preserve">
</t>
    </r>
  </si>
  <si>
    <t>* Beantwortung und Besprechung der Fragen 1-5</t>
  </si>
  <si>
    <t>* Grundlagen der Montage von Regenwasserleitungen</t>
  </si>
  <si>
    <t xml:space="preserve">   auf die Installation von Entsorgungsleitungen.</t>
  </si>
  <si>
    <t>Auftrag 4</t>
  </si>
  <si>
    <t>* Start mit selbstständiger Projektierung von Grundrissen inkl. Isometrie</t>
  </si>
  <si>
    <t>Regenwasserleitungen &amp; Retension</t>
  </si>
  <si>
    <t>* Kennen lernen "Regenwasserabführung mit Pluvia"</t>
  </si>
  <si>
    <t>* Beantwortung und Besprechung der Fragen 7-9</t>
  </si>
  <si>
    <t>* Dimensionieren von Regenwasserleitungen</t>
  </si>
  <si>
    <t>*  Aufgabe Alois</t>
  </si>
  <si>
    <t>*  Aufgabe Bertram / Claudia</t>
  </si>
  <si>
    <t>* Selbstständige Projektierung von Grundrissen inkl. Isometrie</t>
  </si>
  <si>
    <t>*  Aufgabe Bertram / Claudia / LN</t>
  </si>
  <si>
    <t>Auftrag 5</t>
  </si>
  <si>
    <t>* Abgabe und Hinweis Leistungsnachweis</t>
  </si>
  <si>
    <t>Kleinlüftungsanlagen montieren</t>
  </si>
  <si>
    <t xml:space="preserve">* Sie beschreiben die Inhalte der aktuellen Vorschriften in Bezug </t>
  </si>
  <si>
    <t>* Sie planen und dimensionieren Fortluftleitungen anhand von Tabellen.</t>
  </si>
  <si>
    <t>* Sie beschreiben verschiedene Rohrmaterialien und deren Verbindungsmöglichkeiten.</t>
  </si>
  <si>
    <t>* Sie benennen die Anforderungen in Bezug auf den Schall- und Brandschutz.</t>
  </si>
  <si>
    <t>* Sie benennen verschiedene Ventilatortypen, Einsätze und deren Gehäuse.</t>
  </si>
  <si>
    <t>* Film Schimmel / Diskussion &amp; Einstiegsfragen</t>
  </si>
  <si>
    <t>* Arten und Aufbau von Kleinlüftern</t>
  </si>
  <si>
    <t>* Berechnung des Raumvolumens</t>
  </si>
  <si>
    <t>Werkstattplan erstellen</t>
  </si>
  <si>
    <t>* Aufgabe 6.11 / Einlage Lüftung</t>
  </si>
  <si>
    <t>Prüfung Auftrag 5.7</t>
  </si>
  <si>
    <t>Prüfung Auftrag 5.2</t>
  </si>
  <si>
    <t>60min</t>
  </si>
  <si>
    <t>* Hinweis Leistungsnachweis =&gt; Handlungsanleitung durchlesen</t>
  </si>
  <si>
    <t>* Arbeit an Leistungsnachweis "Kleinlüfter montieren"</t>
  </si>
  <si>
    <t>* Einstieg mit Berechnung Raumvolumen &amp; Luftwechsel</t>
  </si>
  <si>
    <t>Versorgungsapparate montieren</t>
  </si>
  <si>
    <t>* Sie benennen gebräuchliche Arten von Wassererwärmern sowie deren Komponenten.</t>
  </si>
  <si>
    <t xml:space="preserve">* Sie beschreiben die Funktion, die Einsatzmöglichkeiten und die </t>
  </si>
  <si>
    <t xml:space="preserve">   Montageanforderungen von Wassererwärmern.</t>
  </si>
  <si>
    <t>* Sie bestimmen die Grösse eines Wassererwärmers anhand der geltenden Vorschriften.</t>
  </si>
  <si>
    <t>* Einstieg mit Expertenpuzzle "Bauarten von Wassererwärmer"</t>
  </si>
  <si>
    <t>* Herstellung von Wassererwärmern &amp; Bauteile</t>
  </si>
  <si>
    <t>* Funktion &amp; Aufgabe Opferanode &amp; Fühler / Thermostat</t>
  </si>
  <si>
    <t>* individuelle Vorbereitung auf Prüfung</t>
  </si>
  <si>
    <t xml:space="preserve">* Sie erstellen selbstständig einfache X-Mass Vorfabrikationszeichnungen </t>
  </si>
  <si>
    <t xml:space="preserve">   inkl. Rohrlängen und Stückliste.</t>
  </si>
  <si>
    <t>* Aufgabe 6.14 / Einlegestück auf Schalungstafel</t>
  </si>
  <si>
    <t>* Funktion &amp; Aufgabe Opferanode gemeinsam besprechen</t>
  </si>
  <si>
    <t>* MindMap Montageanforderungen erstellen</t>
  </si>
  <si>
    <t>* Thermosifon &amp; Isolierverschraubungen speziell besprechen</t>
  </si>
  <si>
    <t>* Anschlüsse &amp; Schaltungen besprechen und behandeln</t>
  </si>
  <si>
    <t>* Schichtung und Bauform von Wassererwärmern.</t>
  </si>
  <si>
    <t>* Einstieg mit Quiz Academy</t>
  </si>
  <si>
    <t>* Gemeinsames Herleiten des Warmwasserverbrauchs</t>
  </si>
  <si>
    <t>* Dimensionieren von Wassererwärmern gem. SIA 385</t>
  </si>
  <si>
    <t>* Aufgabe 6.15 / Holzkonstruktion</t>
  </si>
  <si>
    <t xml:space="preserve">* gemeinsame Korrektur Aufgaben 20 &amp; 21 </t>
  </si>
  <si>
    <t>Auftrag 6</t>
  </si>
  <si>
    <t>* Abgabe und Einführung den Leistungsnachweis</t>
  </si>
  <si>
    <t>* Aufgabe Küche / Keller</t>
  </si>
  <si>
    <t>* Aufgabe WC / Keller</t>
  </si>
  <si>
    <t>Projektarbeit 5.Semester</t>
  </si>
  <si>
    <t>Einstieg / Projekt</t>
  </si>
  <si>
    <t>* Vermittlung der Ziele / Darstellung / Abgabe</t>
  </si>
  <si>
    <t>* Erklärung der Teilaufgaben</t>
  </si>
  <si>
    <t xml:space="preserve">   einen massstäblichen Detailplan.</t>
  </si>
  <si>
    <t>* Sie erstellen anhand von Planunterlagen einen Werkstattplan für eine Vorwand.</t>
  </si>
  <si>
    <t>*  Sie wenden die X- und z-Mass-Methode an verschiedenen Beispielen an.</t>
  </si>
  <si>
    <t xml:space="preserve">* Sie erstellen anhand von Planunterlagen, Apparatelisten und Massskizzen </t>
  </si>
  <si>
    <t>* Sie zeichnen einfache Installationspläne unter Berücksichtigung der relevanten Vorschriften.</t>
  </si>
  <si>
    <t>* Sie beschreiben die handelsüblichen Vorwandsysteme.</t>
  </si>
  <si>
    <t>* Sie berechnen den Druck unter Berücksichtigung der Kompressibilität des Wassers.</t>
  </si>
  <si>
    <t xml:space="preserve">* Sie beschreiben das korrekte Vorgehen zur Überprüfung der Ausstosszeiten. </t>
  </si>
  <si>
    <t>* Sie bestimmen die Rohrweiten von Trinkwasser-Leitungen anhand der geltenden Vorschriften.</t>
  </si>
  <si>
    <t>Arbeit an Projektarbeit</t>
  </si>
  <si>
    <t>Prüfung Auftrag 5.3</t>
  </si>
  <si>
    <r>
      <rPr>
        <b/>
        <sz val="10"/>
        <color theme="1"/>
        <rFont val="Century Gothic"/>
        <family val="2"/>
      </rPr>
      <t>Lernziele:</t>
    </r>
    <r>
      <rPr>
        <sz val="10"/>
        <color theme="1"/>
        <rFont val="Century Gothic"/>
        <family val="2"/>
      </rPr>
      <t xml:space="preserve">
- Sie erstellen genaue und vollständige Isometrie-Zeichnungen anhand von Planunterlagen. (K3)
- Sie wenden die Z- und X-Mass-Methode an verschiedenen Beispielen an. 
- Sie erstellen anhand von isometrischen Zeichnungen vollständige Stücklisten. 
- Sie berechnen Längen- und Höhenmasse und Dreiecke
</t>
    </r>
    <r>
      <rPr>
        <b/>
        <sz val="10"/>
        <color theme="1"/>
        <rFont val="Century Gothic"/>
        <family val="2"/>
      </rPr>
      <t xml:space="preserve">
Abzugebende Leistungsnachweise:
</t>
    </r>
    <r>
      <rPr>
        <sz val="10"/>
        <color theme="1"/>
        <rFont val="Century Gothic"/>
        <family val="2"/>
      </rPr>
      <t xml:space="preserve">
- Leistungsnachweis "</t>
    </r>
    <r>
      <rPr>
        <b/>
        <i/>
        <sz val="10"/>
        <color theme="1"/>
        <rFont val="Century Gothic"/>
        <family val="2"/>
      </rPr>
      <t>Abgabe von drei korrigierten Fachzeichnungen</t>
    </r>
    <r>
      <rPr>
        <sz val="10"/>
        <color theme="1"/>
        <rFont val="Century Gothic"/>
        <family val="2"/>
      </rPr>
      <t xml:space="preserve">"
</t>
    </r>
  </si>
  <si>
    <t>Die Note aus den Lernprodukten zählt zu 30%. Alle Noten der Prüfungen zählen zu 60%.</t>
  </si>
  <si>
    <t>* Reduktion für Lernende die alleine Arbeiten möchten</t>
  </si>
  <si>
    <t>* Aufgabe 7 -12 selbstständig lösen und besprechen</t>
  </si>
  <si>
    <t>Prüfung Auftrag 5.6</t>
  </si>
  <si>
    <t>20min</t>
  </si>
  <si>
    <t>* Einstieg mit Gruppenarbeit zum Thema "Versickerung"</t>
  </si>
  <si>
    <t>Zeugnisbesprechung</t>
  </si>
  <si>
    <t>* Aufgabe 2 -6 selbstständig lösen und besprechen</t>
  </si>
  <si>
    <t>Die Zeugnisnote setzt sich aus den Leistungsnachweisen und Kompetenzprüfungen zusammen. Die Note aus den Leistungsnachweisen zählt zu ca. 30% an die Zeugnisnote. Alle Noten der Prüfungen zählen zu ca. 60% an die Zeugnisnote.</t>
  </si>
  <si>
    <t>Leistungsnachweise</t>
  </si>
  <si>
    <t xml:space="preserve">Die Note der Leistungsnachweise entsteht aus den während des Semestes erzielten Punkten. </t>
  </si>
  <si>
    <t>Planen der Arbeiten</t>
  </si>
  <si>
    <t xml:space="preserve">Auftrag 4.1 </t>
  </si>
  <si>
    <t>Auftrag 4.2</t>
  </si>
  <si>
    <t>Auftrag 4.3</t>
  </si>
  <si>
    <t>Auftrag 4.4</t>
  </si>
  <si>
    <t>Auftrag 4.5</t>
  </si>
  <si>
    <t>Auftrag 4.11</t>
  </si>
  <si>
    <t xml:space="preserve">Total Punkte </t>
  </si>
  <si>
    <t>Mont. von Sanitäranlagen</t>
  </si>
  <si>
    <t>Auftrag 4.6</t>
  </si>
  <si>
    <t>Auftrag 4.7</t>
  </si>
  <si>
    <t>Auftrag 4.8</t>
  </si>
  <si>
    <t>Auftrag 4.9</t>
  </si>
  <si>
    <t>Auftrag 4.10</t>
  </si>
  <si>
    <t>* Aufgabe 6.12 / Hindernisfreie Toilette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</si>
</sst>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4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sz val="8"/>
      <color theme="0" tint="-0.499984740745262"/>
      <name val="Century Gothic"/>
      <family val="2"/>
    </font>
    <font>
      <b/>
      <sz val="10"/>
      <name val="Century Gothic"/>
      <family val="2"/>
    </font>
    <font>
      <sz val="6.5"/>
      <color theme="1"/>
      <name val="Century Gothic"/>
      <family val="2"/>
    </font>
    <font>
      <sz val="6.5"/>
      <color theme="1"/>
      <name val="Calibri"/>
      <family val="2"/>
      <scheme val="minor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0" tint="-0.34998626667073579"/>
      <name val="Century Gothic"/>
      <family val="2"/>
    </font>
    <font>
      <sz val="12"/>
      <color theme="0"/>
      <name val="Calibri"/>
      <family val="2"/>
      <scheme val="minor"/>
    </font>
    <font>
      <sz val="10"/>
      <name val="Century Gothic"/>
      <family val="2"/>
    </font>
    <font>
      <sz val="8"/>
      <name val="Century Gothic"/>
      <family val="2"/>
    </font>
    <font>
      <sz val="11"/>
      <name val="Calibri"/>
      <family val="2"/>
      <scheme val="minor"/>
    </font>
    <font>
      <b/>
      <sz val="9"/>
      <color theme="1"/>
      <name val="Century Gothic"/>
      <family val="2"/>
    </font>
    <font>
      <sz val="18"/>
      <color theme="1"/>
      <name val="Century Gothic"/>
      <family val="2"/>
    </font>
    <font>
      <u/>
      <sz val="9"/>
      <color theme="0" tint="-0.34998626667073579"/>
      <name val="Century Gothic"/>
      <family val="2"/>
    </font>
    <font>
      <sz val="18"/>
      <color theme="1"/>
      <name val="Calibri"/>
      <family val="2"/>
      <scheme val="minor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sz val="13"/>
      <color theme="1"/>
      <name val="Arial"/>
      <family val="2"/>
    </font>
    <font>
      <sz val="9"/>
      <color theme="1"/>
      <name val="Arial"/>
      <family val="2"/>
    </font>
    <font>
      <sz val="6.5"/>
      <name val="Century Gothic"/>
      <family val="2"/>
    </font>
    <font>
      <b/>
      <sz val="9"/>
      <name val="Century Gothic"/>
      <family val="2"/>
    </font>
    <font>
      <sz val="9"/>
      <color rgb="FFFF0000"/>
      <name val="Century Gothic"/>
      <family val="2"/>
    </font>
    <font>
      <sz val="9"/>
      <color theme="1"/>
      <name val="Calibri"/>
      <family val="2"/>
      <scheme val="minor"/>
    </font>
    <font>
      <b/>
      <i/>
      <sz val="10"/>
      <color theme="1"/>
      <name val="Century Gothic"/>
      <family val="2"/>
    </font>
    <font>
      <i/>
      <sz val="9"/>
      <color rgb="FFFF0000"/>
      <name val="Century Gothic"/>
      <family val="2"/>
    </font>
    <font>
      <i/>
      <sz val="11"/>
      <color rgb="FFFF0000"/>
      <name val="Calibri"/>
      <family val="2"/>
      <scheme val="minor"/>
    </font>
    <font>
      <i/>
      <u/>
      <sz val="9"/>
      <color rgb="FFFF0000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E32CE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6" tint="0.39997558519241921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80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7" fillId="0" borderId="0" xfId="0" applyFont="1"/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16" fillId="3" borderId="1" xfId="0" applyFont="1" applyFill="1" applyBorder="1" applyAlignment="1">
      <alignment horizontal="left" vertical="center"/>
    </xf>
    <xf numFmtId="0" fontId="25" fillId="3" borderId="3" xfId="0" applyFont="1" applyFill="1" applyBorder="1" applyAlignment="1">
      <alignment horizontal="left" vertical="center"/>
    </xf>
    <xf numFmtId="0" fontId="25" fillId="3" borderId="3" xfId="0" applyFont="1" applyFill="1" applyBorder="1" applyAlignment="1">
      <alignment horizontal="center" vertical="center"/>
    </xf>
    <xf numFmtId="0" fontId="25" fillId="3" borderId="2" xfId="0" applyFont="1" applyFill="1" applyBorder="1"/>
    <xf numFmtId="14" fontId="20" fillId="3" borderId="33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20" fillId="4" borderId="4" xfId="0" applyFont="1" applyFill="1" applyBorder="1" applyAlignment="1">
      <alignment horizontal="left"/>
    </xf>
    <xf numFmtId="0" fontId="2" fillId="4" borderId="5" xfId="0" applyFont="1" applyFill="1" applyBorder="1"/>
    <xf numFmtId="0" fontId="2" fillId="4" borderId="6" xfId="0" applyFont="1" applyFill="1" applyBorder="1"/>
    <xf numFmtId="0" fontId="2" fillId="4" borderId="15" xfId="0" applyFont="1" applyFill="1" applyBorder="1"/>
    <xf numFmtId="0" fontId="9" fillId="4" borderId="8" xfId="0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14" fontId="14" fillId="4" borderId="30" xfId="0" applyNumberFormat="1" applyFont="1" applyFill="1" applyBorder="1" applyAlignment="1">
      <alignment horizontal="left" vertical="center"/>
    </xf>
    <xf numFmtId="14" fontId="14" fillId="4" borderId="4" xfId="0" applyNumberFormat="1" applyFont="1" applyFill="1" applyBorder="1" applyAlignment="1">
      <alignment horizontal="left" vertical="center"/>
    </xf>
    <xf numFmtId="14" fontId="14" fillId="4" borderId="3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2" fillId="5" borderId="3" xfId="0" applyFont="1" applyFill="1" applyBorder="1"/>
    <xf numFmtId="0" fontId="6" fillId="5" borderId="3" xfId="0" applyFont="1" applyFill="1" applyBorder="1" applyAlignment="1">
      <alignment horizontal="center" vertical="center"/>
    </xf>
    <xf numFmtId="14" fontId="19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horizontal="center" vertical="center"/>
      <protection locked="0" hidden="1"/>
    </xf>
    <xf numFmtId="0" fontId="1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4" fontId="20" fillId="3" borderId="29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28" fillId="4" borderId="4" xfId="0" applyFont="1" applyFill="1" applyBorder="1"/>
    <xf numFmtId="2" fontId="20" fillId="3" borderId="2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14" fontId="20" fillId="3" borderId="50" xfId="0" applyNumberFormat="1" applyFont="1" applyFill="1" applyBorder="1" applyAlignment="1">
      <alignment horizontal="center"/>
    </xf>
    <xf numFmtId="0" fontId="0" fillId="0" borderId="46" xfId="0" applyBorder="1"/>
    <xf numFmtId="0" fontId="30" fillId="0" borderId="27" xfId="1" applyFont="1" applyBorder="1"/>
    <xf numFmtId="0" fontId="14" fillId="0" borderId="27" xfId="0" applyFont="1" applyBorder="1"/>
    <xf numFmtId="0" fontId="14" fillId="0" borderId="51" xfId="0" applyFont="1" applyBorder="1"/>
    <xf numFmtId="0" fontId="28" fillId="0" borderId="51" xfId="0" applyFont="1" applyBorder="1" applyAlignment="1">
      <alignment horizontal="center"/>
    </xf>
    <xf numFmtId="0" fontId="28" fillId="0" borderId="37" xfId="0" applyFont="1" applyBorder="1"/>
    <xf numFmtId="0" fontId="0" fillId="0" borderId="54" xfId="0" applyBorder="1"/>
    <xf numFmtId="0" fontId="14" fillId="0" borderId="37" xfId="0" applyFont="1" applyBorder="1"/>
    <xf numFmtId="0" fontId="0" fillId="0" borderId="37" xfId="0" applyBorder="1"/>
    <xf numFmtId="0" fontId="14" fillId="0" borderId="54" xfId="0" applyFont="1" applyBorder="1"/>
    <xf numFmtId="0" fontId="14" fillId="0" borderId="0" xfId="0" applyFont="1"/>
    <xf numFmtId="0" fontId="14" fillId="0" borderId="52" xfId="0" applyFont="1" applyBorder="1"/>
    <xf numFmtId="0" fontId="0" fillId="0" borderId="26" xfId="0" applyBorder="1"/>
    <xf numFmtId="0" fontId="0" fillId="0" borderId="53" xfId="0" applyBorder="1"/>
    <xf numFmtId="0" fontId="14" fillId="0" borderId="46" xfId="0" applyFont="1" applyBorder="1"/>
    <xf numFmtId="0" fontId="0" fillId="0" borderId="52" xfId="0" applyBorder="1"/>
    <xf numFmtId="0" fontId="34" fillId="0" borderId="0" xfId="0" applyFont="1"/>
    <xf numFmtId="0" fontId="0" fillId="0" borderId="27" xfId="0" applyBorder="1"/>
    <xf numFmtId="0" fontId="0" fillId="0" borderId="0" xfId="0" applyAlignment="1">
      <alignment horizontal="left" vertical="top"/>
    </xf>
    <xf numFmtId="0" fontId="6" fillId="5" borderId="40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4" fontId="2" fillId="0" borderId="41" xfId="0" applyNumberFormat="1" applyFont="1" applyBorder="1" applyAlignment="1">
      <alignment horizontal="left"/>
    </xf>
    <xf numFmtId="14" fontId="2" fillId="0" borderId="42" xfId="0" applyNumberFormat="1" applyFont="1" applyBorder="1" applyAlignment="1">
      <alignment horizontal="left"/>
    </xf>
    <xf numFmtId="0" fontId="35" fillId="0" borderId="0" xfId="0" applyFont="1"/>
    <xf numFmtId="0" fontId="0" fillId="0" borderId="40" xfId="0" applyBorder="1" applyAlignment="1">
      <alignment horizontal="left"/>
    </xf>
    <xf numFmtId="0" fontId="0" fillId="0" borderId="42" xfId="0" applyBorder="1"/>
    <xf numFmtId="0" fontId="0" fillId="0" borderId="41" xfId="0" applyBorder="1" applyAlignment="1">
      <alignment horizontal="left"/>
    </xf>
    <xf numFmtId="0" fontId="28" fillId="0" borderId="46" xfId="0" applyFont="1" applyBorder="1"/>
    <xf numFmtId="0" fontId="37" fillId="0" borderId="41" xfId="0" applyFont="1" applyBorder="1" applyAlignment="1">
      <alignment horizontal="center"/>
    </xf>
    <xf numFmtId="0" fontId="1" fillId="7" borderId="55" xfId="0" applyFont="1" applyFill="1" applyBorder="1"/>
    <xf numFmtId="0" fontId="1" fillId="7" borderId="34" xfId="0" applyFont="1" applyFill="1" applyBorder="1"/>
    <xf numFmtId="0" fontId="1" fillId="7" borderId="44" xfId="0" applyFont="1" applyFill="1" applyBorder="1" applyAlignment="1">
      <alignment horizontal="center"/>
    </xf>
    <xf numFmtId="0" fontId="37" fillId="0" borderId="54" xfId="0" applyFont="1" applyBorder="1" applyAlignment="1">
      <alignment horizontal="center"/>
    </xf>
    <xf numFmtId="0" fontId="1" fillId="0" borderId="46" xfId="0" applyFont="1" applyBorder="1"/>
    <xf numFmtId="0" fontId="1" fillId="0" borderId="27" xfId="0" applyFont="1" applyBorder="1"/>
    <xf numFmtId="0" fontId="1" fillId="0" borderId="51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38" fillId="0" borderId="37" xfId="0" applyFont="1" applyBorder="1"/>
    <xf numFmtId="0" fontId="14" fillId="0" borderId="27" xfId="0" applyFont="1" applyBorder="1" applyAlignment="1">
      <alignment wrapText="1"/>
    </xf>
    <xf numFmtId="0" fontId="14" fillId="0" borderId="51" xfId="0" applyFont="1" applyBorder="1" applyAlignment="1">
      <alignment wrapText="1"/>
    </xf>
    <xf numFmtId="0" fontId="0" fillId="0" borderId="51" xfId="0" applyBorder="1"/>
    <xf numFmtId="0" fontId="39" fillId="0" borderId="0" xfId="0" applyFont="1"/>
    <xf numFmtId="0" fontId="28" fillId="0" borderId="52" xfId="0" applyFont="1" applyBorder="1"/>
    <xf numFmtId="0" fontId="9" fillId="4" borderId="8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41" fillId="0" borderId="37" xfId="0" applyFont="1" applyBorder="1"/>
    <xf numFmtId="0" fontId="42" fillId="0" borderId="0" xfId="0" applyFont="1"/>
    <xf numFmtId="0" fontId="43" fillId="0" borderId="54" xfId="0" applyFont="1" applyBorder="1" applyAlignment="1">
      <alignment horizontal="center"/>
    </xf>
    <xf numFmtId="0" fontId="9" fillId="5" borderId="1" xfId="0" applyFont="1" applyFill="1" applyBorder="1" applyAlignment="1">
      <alignment vertical="center"/>
    </xf>
    <xf numFmtId="0" fontId="9" fillId="5" borderId="3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2" fillId="2" borderId="0" xfId="0" applyFont="1" applyFill="1"/>
    <xf numFmtId="0" fontId="5" fillId="2" borderId="25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20" fillId="2" borderId="5" xfId="0" applyFont="1" applyFill="1" applyBorder="1" applyAlignment="1">
      <alignment horizontal="left"/>
    </xf>
    <xf numFmtId="0" fontId="5" fillId="11" borderId="25" xfId="0" applyFont="1" applyFill="1" applyBorder="1" applyAlignment="1">
      <alignment horizontal="left"/>
    </xf>
    <xf numFmtId="0" fontId="5" fillId="11" borderId="4" xfId="0" applyFont="1" applyFill="1" applyBorder="1" applyAlignment="1">
      <alignment horizontal="left"/>
    </xf>
    <xf numFmtId="0" fontId="5" fillId="11" borderId="17" xfId="0" applyFont="1" applyFill="1" applyBorder="1" applyAlignment="1">
      <alignment horizontal="left"/>
    </xf>
    <xf numFmtId="0" fontId="20" fillId="11" borderId="5" xfId="0" applyFont="1" applyFill="1" applyBorder="1" applyAlignment="1">
      <alignment horizontal="left"/>
    </xf>
    <xf numFmtId="0" fontId="20" fillId="11" borderId="6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14" xfId="0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16" fillId="11" borderId="56" xfId="0" applyFont="1" applyFill="1" applyBorder="1" applyAlignment="1">
      <alignment horizontal="left"/>
    </xf>
    <xf numFmtId="0" fontId="16" fillId="11" borderId="57" xfId="0" applyFont="1" applyFill="1" applyBorder="1" applyAlignment="1">
      <alignment horizontal="left"/>
    </xf>
    <xf numFmtId="0" fontId="0" fillId="11" borderId="58" xfId="0" applyFill="1" applyBorder="1" applyAlignment="1">
      <alignment horizontal="left"/>
    </xf>
    <xf numFmtId="0" fontId="5" fillId="11" borderId="27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5" fillId="11" borderId="0" xfId="0" applyFont="1" applyFill="1" applyAlignment="1">
      <alignment horizontal="center"/>
    </xf>
    <xf numFmtId="0" fontId="0" fillId="0" borderId="14" xfId="0" applyBorder="1" applyAlignment="1">
      <alignment horizontal="center"/>
    </xf>
    <xf numFmtId="0" fontId="5" fillId="11" borderId="26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9" fillId="5" borderId="56" xfId="0" applyFont="1" applyFill="1" applyBorder="1" applyAlignment="1">
      <alignment horizontal="center"/>
    </xf>
    <xf numFmtId="0" fontId="9" fillId="5" borderId="57" xfId="0" applyFont="1" applyFill="1" applyBorder="1" applyAlignment="1">
      <alignment horizontal="center"/>
    </xf>
    <xf numFmtId="0" fontId="9" fillId="5" borderId="58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16" fillId="5" borderId="56" xfId="0" applyFont="1" applyFill="1" applyBorder="1" applyAlignment="1">
      <alignment horizontal="left"/>
    </xf>
    <xf numFmtId="0" fontId="16" fillId="5" borderId="57" xfId="0" applyFont="1" applyFill="1" applyBorder="1" applyAlignment="1">
      <alignment horizontal="left"/>
    </xf>
    <xf numFmtId="0" fontId="0" fillId="5" borderId="58" xfId="0" applyFill="1" applyBorder="1" applyAlignment="1">
      <alignment horizontal="left"/>
    </xf>
    <xf numFmtId="0" fontId="5" fillId="5" borderId="4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16" fillId="2" borderId="56" xfId="0" applyFont="1" applyFill="1" applyBorder="1" applyAlignment="1">
      <alignment horizontal="left"/>
    </xf>
    <xf numFmtId="0" fontId="16" fillId="2" borderId="57" xfId="0" applyFont="1" applyFill="1" applyBorder="1" applyAlignment="1">
      <alignment horizontal="left"/>
    </xf>
    <xf numFmtId="0" fontId="0" fillId="2" borderId="58" xfId="0" applyFill="1" applyBorder="1" applyAlignment="1">
      <alignment horizontal="left"/>
    </xf>
    <xf numFmtId="0" fontId="5" fillId="2" borderId="27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13" fillId="2" borderId="25" xfId="0" applyFont="1" applyFill="1" applyBorder="1" applyAlignment="1">
      <alignment horizontal="left" vertical="center" wrapText="1"/>
    </xf>
    <xf numFmtId="0" fontId="0" fillId="2" borderId="27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7" fillId="2" borderId="44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49" fontId="12" fillId="2" borderId="8" xfId="0" applyNumberFormat="1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6" xfId="0" applyFill="1" applyBorder="1"/>
    <xf numFmtId="49" fontId="26" fillId="2" borderId="4" xfId="0" applyNumberFormat="1" applyFont="1" applyFill="1" applyBorder="1" applyAlignment="1">
      <alignment horizontal="center"/>
    </xf>
    <xf numFmtId="49" fontId="21" fillId="2" borderId="0" xfId="0" applyNumberFormat="1" applyFont="1" applyFill="1" applyAlignment="1">
      <alignment horizontal="center"/>
    </xf>
    <xf numFmtId="0" fontId="27" fillId="2" borderId="14" xfId="0" applyFont="1" applyFill="1" applyBorder="1"/>
    <xf numFmtId="0" fontId="17" fillId="2" borderId="24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9" fillId="4" borderId="48" xfId="0" applyFont="1" applyFill="1" applyBorder="1" applyAlignment="1">
      <alignment horizontal="center"/>
    </xf>
    <xf numFmtId="0" fontId="0" fillId="0" borderId="47" xfId="0" applyBorder="1"/>
    <xf numFmtId="0" fontId="17" fillId="2" borderId="24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4" fillId="5" borderId="3" xfId="0" applyFont="1" applyFill="1" applyBorder="1" applyAlignment="1" applyProtection="1">
      <alignment horizontal="left" vertical="center"/>
      <protection locked="0" hidden="1"/>
    </xf>
    <xf numFmtId="0" fontId="0" fillId="5" borderId="3" xfId="0" applyFill="1" applyBorder="1" applyAlignment="1" applyProtection="1">
      <alignment horizontal="left" vertical="center"/>
      <protection locked="0" hidden="1"/>
    </xf>
    <xf numFmtId="0" fontId="5" fillId="4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4" xfId="0" applyFill="1" applyBorder="1"/>
    <xf numFmtId="0" fontId="0" fillId="4" borderId="0" xfId="0" applyFill="1"/>
    <xf numFmtId="0" fontId="0" fillId="4" borderId="14" xfId="0" applyFill="1" applyBorder="1"/>
    <xf numFmtId="0" fontId="5" fillId="3" borderId="38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5" xfId="0" applyBorder="1" applyAlignment="1">
      <alignment vertical="center"/>
    </xf>
    <xf numFmtId="0" fontId="5" fillId="3" borderId="39" xfId="0" applyFont="1" applyFill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5" fillId="3" borderId="0" xfId="0" applyFont="1" applyFill="1"/>
    <xf numFmtId="0" fontId="5" fillId="3" borderId="14" xfId="0" applyFont="1" applyFill="1" applyBorder="1"/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0" fillId="4" borderId="16" xfId="0" applyFill="1" applyBorder="1"/>
    <xf numFmtId="0" fontId="5" fillId="4" borderId="0" xfId="0" applyFont="1" applyFill="1" applyAlignment="1">
      <alignment horizontal="left" vertical="center" wrapText="1"/>
    </xf>
    <xf numFmtId="0" fontId="22" fillId="4" borderId="14" xfId="0" applyFont="1" applyFill="1" applyBorder="1" applyAlignment="1">
      <alignment horizontal="left" vertical="center"/>
    </xf>
    <xf numFmtId="0" fontId="22" fillId="4" borderId="4" xfId="0" applyFont="1" applyFill="1" applyBorder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0" fontId="22" fillId="4" borderId="5" xfId="0" applyFont="1" applyFill="1" applyBorder="1" applyAlignment="1">
      <alignment horizontal="left" vertical="center"/>
    </xf>
    <xf numFmtId="0" fontId="22" fillId="4" borderId="6" xfId="0" applyFont="1" applyFill="1" applyBorder="1" applyAlignment="1">
      <alignment horizontal="left" vertical="center"/>
    </xf>
    <xf numFmtId="0" fontId="22" fillId="4" borderId="15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26" fillId="2" borderId="17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7" fillId="2" borderId="2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 wrapText="1"/>
    </xf>
    <xf numFmtId="49" fontId="26" fillId="2" borderId="17" xfId="0" applyNumberFormat="1" applyFont="1" applyFill="1" applyBorder="1" applyAlignment="1">
      <alignment horizontal="center"/>
    </xf>
    <xf numFmtId="49" fontId="21" fillId="2" borderId="26" xfId="0" applyNumberFormat="1" applyFont="1" applyFill="1" applyBorder="1" applyAlignment="1">
      <alignment horizontal="center"/>
    </xf>
    <xf numFmtId="49" fontId="21" fillId="2" borderId="18" xfId="0" applyNumberFormat="1" applyFont="1" applyFill="1" applyBorder="1" applyAlignment="1">
      <alignment horizontal="center"/>
    </xf>
    <xf numFmtId="0" fontId="17" fillId="2" borderId="40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18" fillId="2" borderId="1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23" fillId="2" borderId="3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0" fontId="21" fillId="2" borderId="2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2" borderId="25" xfId="0" applyFont="1" applyFill="1" applyBorder="1" applyAlignment="1">
      <alignment horizontal="left" vertical="center" wrapText="1"/>
    </xf>
    <xf numFmtId="0" fontId="11" fillId="2" borderId="27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0" borderId="28" xfId="0" applyBorder="1"/>
    <xf numFmtId="0" fontId="0" fillId="0" borderId="4" xfId="0" applyBorder="1"/>
    <xf numFmtId="0" fontId="0" fillId="0" borderId="14" xfId="0" applyBorder="1"/>
    <xf numFmtId="0" fontId="0" fillId="0" borderId="5" xfId="0" applyBorder="1"/>
    <xf numFmtId="0" fontId="0" fillId="0" borderId="15" xfId="0" applyBorder="1"/>
    <xf numFmtId="0" fontId="18" fillId="2" borderId="1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5" fillId="3" borderId="49" xfId="0" applyFont="1" applyFill="1" applyBorder="1"/>
    <xf numFmtId="0" fontId="5" fillId="3" borderId="3" xfId="0" applyFont="1" applyFill="1" applyBorder="1"/>
    <xf numFmtId="0" fontId="5" fillId="3" borderId="2" xfId="0" applyFont="1" applyFill="1" applyBorder="1"/>
    <xf numFmtId="0" fontId="5" fillId="3" borderId="39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14" fontId="14" fillId="4" borderId="34" xfId="0" applyNumberFormat="1" applyFont="1" applyFill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14" fontId="14" fillId="4" borderId="35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horizontal="left"/>
    </xf>
    <xf numFmtId="0" fontId="29" fillId="5" borderId="46" xfId="0" applyFont="1" applyFill="1" applyBorder="1" applyAlignment="1">
      <alignment horizontal="left" vertical="center"/>
    </xf>
    <xf numFmtId="0" fontId="29" fillId="5" borderId="27" xfId="0" applyFont="1" applyFill="1" applyBorder="1" applyAlignment="1">
      <alignment horizontal="left" vertical="center"/>
    </xf>
    <xf numFmtId="0" fontId="29" fillId="5" borderId="52" xfId="0" applyFont="1" applyFill="1" applyBorder="1" applyAlignment="1">
      <alignment horizontal="left" vertical="center"/>
    </xf>
    <xf numFmtId="0" fontId="29" fillId="5" borderId="26" xfId="0" applyFont="1" applyFill="1" applyBorder="1" applyAlignment="1">
      <alignment horizontal="left" vertical="center"/>
    </xf>
    <xf numFmtId="14" fontId="29" fillId="5" borderId="46" xfId="0" applyNumberFormat="1" applyFont="1" applyFill="1" applyBorder="1" applyAlignment="1">
      <alignment horizontal="center" vertical="center"/>
    </xf>
    <xf numFmtId="0" fontId="29" fillId="5" borderId="51" xfId="0" applyFont="1" applyFill="1" applyBorder="1" applyAlignment="1">
      <alignment horizontal="center" vertical="center"/>
    </xf>
    <xf numFmtId="0" fontId="29" fillId="5" borderId="52" xfId="0" applyFont="1" applyFill="1" applyBorder="1" applyAlignment="1">
      <alignment horizontal="center" vertical="center"/>
    </xf>
    <xf numFmtId="0" fontId="29" fillId="5" borderId="53" xfId="0" applyFont="1" applyFill="1" applyBorder="1" applyAlignment="1">
      <alignment horizontal="center" vertical="center"/>
    </xf>
    <xf numFmtId="0" fontId="12" fillId="5" borderId="40" xfId="0" applyFont="1" applyFill="1" applyBorder="1" applyAlignment="1">
      <alignment horizontal="center" vertical="center"/>
    </xf>
    <xf numFmtId="0" fontId="12" fillId="5" borderId="42" xfId="0" applyFont="1" applyFill="1" applyBorder="1" applyAlignment="1">
      <alignment horizontal="center" vertical="center"/>
    </xf>
    <xf numFmtId="0" fontId="12" fillId="6" borderId="46" xfId="0" applyFont="1" applyFill="1" applyBorder="1" applyAlignment="1">
      <alignment horizontal="left" vertical="center"/>
    </xf>
    <xf numFmtId="0" fontId="0" fillId="6" borderId="27" xfId="0" applyFill="1" applyBorder="1" applyAlignment="1">
      <alignment horizontal="left" vertical="center"/>
    </xf>
    <xf numFmtId="0" fontId="0" fillId="6" borderId="52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9" fillId="6" borderId="40" xfId="0" applyFont="1" applyFill="1" applyBorder="1" applyAlignment="1">
      <alignment horizontal="center" vertical="center"/>
    </xf>
    <xf numFmtId="0" fontId="29" fillId="6" borderId="41" xfId="0" applyFont="1" applyFill="1" applyBorder="1" applyAlignment="1">
      <alignment horizontal="center" vertical="center"/>
    </xf>
    <xf numFmtId="0" fontId="28" fillId="6" borderId="40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2" borderId="40" xfId="0" applyFont="1" applyFill="1" applyBorder="1" applyAlignment="1">
      <alignment horizontal="center" vertical="center" textRotation="90"/>
    </xf>
    <xf numFmtId="0" fontId="31" fillId="2" borderId="41" xfId="0" applyFont="1" applyFill="1" applyBorder="1" applyAlignment="1">
      <alignment horizontal="center" vertical="center" textRotation="90"/>
    </xf>
    <xf numFmtId="0" fontId="0" fillId="0" borderId="41" xfId="0" applyBorder="1"/>
    <xf numFmtId="0" fontId="0" fillId="0" borderId="42" xfId="0" applyBorder="1"/>
    <xf numFmtId="0" fontId="28" fillId="5" borderId="55" xfId="0" applyFont="1" applyFill="1" applyBorder="1"/>
    <xf numFmtId="0" fontId="28" fillId="5" borderId="34" xfId="0" applyFont="1" applyFill="1" applyBorder="1"/>
    <xf numFmtId="0" fontId="28" fillId="5" borderId="44" xfId="0" applyFont="1" applyFill="1" applyBorder="1"/>
    <xf numFmtId="0" fontId="29" fillId="5" borderId="4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3" xfId="0" applyBorder="1" applyAlignment="1">
      <alignment horizontal="center"/>
    </xf>
    <xf numFmtId="0" fontId="28" fillId="5" borderId="37" xfId="0" applyFont="1" applyFill="1" applyBorder="1"/>
    <xf numFmtId="0" fontId="28" fillId="5" borderId="0" xfId="0" applyFont="1" applyFill="1"/>
    <xf numFmtId="0" fontId="28" fillId="5" borderId="51" xfId="0" applyFont="1" applyFill="1" applyBorder="1"/>
    <xf numFmtId="0" fontId="32" fillId="5" borderId="46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/>
    </xf>
    <xf numFmtId="0" fontId="33" fillId="5" borderId="54" xfId="0" applyFont="1" applyFill="1" applyBorder="1" applyAlignment="1">
      <alignment horizontal="center"/>
    </xf>
    <xf numFmtId="0" fontId="33" fillId="5" borderId="52" xfId="0" applyFont="1" applyFill="1" applyBorder="1" applyAlignment="1">
      <alignment horizontal="center"/>
    </xf>
    <xf numFmtId="0" fontId="33" fillId="5" borderId="26" xfId="0" applyFont="1" applyFill="1" applyBorder="1" applyAlignment="1">
      <alignment horizontal="center"/>
    </xf>
    <xf numFmtId="0" fontId="33" fillId="5" borderId="53" xfId="0" applyFont="1" applyFill="1" applyBorder="1" applyAlignment="1">
      <alignment horizontal="center"/>
    </xf>
    <xf numFmtId="0" fontId="12" fillId="2" borderId="46" xfId="0" applyFont="1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9" fillId="2" borderId="40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8" fillId="2" borderId="40" xfId="0" applyFont="1" applyFill="1" applyBorder="1" applyAlignment="1">
      <alignment horizontal="center" vertical="center"/>
    </xf>
    <xf numFmtId="0" fontId="28" fillId="2" borderId="42" xfId="0" applyFont="1" applyFill="1" applyBorder="1" applyAlignment="1">
      <alignment horizontal="center" vertical="center"/>
    </xf>
    <xf numFmtId="0" fontId="29" fillId="6" borderId="40" xfId="0" applyFont="1" applyFill="1" applyBorder="1" applyAlignment="1">
      <alignment horizontal="center" vertical="center" textRotation="90"/>
    </xf>
    <xf numFmtId="0" fontId="31" fillId="6" borderId="41" xfId="0" applyFont="1" applyFill="1" applyBorder="1" applyAlignment="1">
      <alignment horizontal="center" vertical="center" textRotation="90"/>
    </xf>
    <xf numFmtId="0" fontId="31" fillId="6" borderId="41" xfId="0" applyFont="1" applyFill="1" applyBorder="1"/>
    <xf numFmtId="0" fontId="0" fillId="6" borderId="41" xfId="0" applyFill="1" applyBorder="1"/>
    <xf numFmtId="0" fontId="29" fillId="6" borderId="46" xfId="0" applyFont="1" applyFill="1" applyBorder="1" applyAlignment="1">
      <alignment horizontal="center" vertical="center" textRotation="90"/>
    </xf>
    <xf numFmtId="0" fontId="31" fillId="6" borderId="37" xfId="0" applyFont="1" applyFill="1" applyBorder="1" applyAlignment="1">
      <alignment horizontal="center" vertical="center" textRotation="90"/>
    </xf>
    <xf numFmtId="0" fontId="14" fillId="0" borderId="46" xfId="0" applyFont="1" applyBorder="1" applyAlignment="1">
      <alignment wrapText="1"/>
    </xf>
    <xf numFmtId="0" fontId="0" fillId="0" borderId="27" xfId="0" applyBorder="1"/>
    <xf numFmtId="0" fontId="0" fillId="0" borderId="51" xfId="0" applyBorder="1"/>
    <xf numFmtId="0" fontId="29" fillId="8" borderId="46" xfId="0" applyFont="1" applyFill="1" applyBorder="1" applyAlignment="1">
      <alignment horizontal="center" vertical="center" textRotation="90"/>
    </xf>
    <xf numFmtId="0" fontId="31" fillId="8" borderId="37" xfId="0" applyFont="1" applyFill="1" applyBorder="1" applyAlignment="1">
      <alignment horizontal="center" vertical="center" textRotation="90"/>
    </xf>
    <xf numFmtId="0" fontId="31" fillId="8" borderId="41" xfId="0" applyFont="1" applyFill="1" applyBorder="1"/>
    <xf numFmtId="0" fontId="0" fillId="8" borderId="41" xfId="0" applyFill="1" applyBorder="1"/>
    <xf numFmtId="0" fontId="0" fillId="8" borderId="42" xfId="0" applyFill="1" applyBorder="1"/>
    <xf numFmtId="0" fontId="12" fillId="8" borderId="46" xfId="0" applyFont="1" applyFill="1" applyBorder="1" applyAlignment="1">
      <alignment horizontal="left" vertical="center"/>
    </xf>
    <xf numFmtId="0" fontId="0" fillId="8" borderId="27" xfId="0" applyFill="1" applyBorder="1" applyAlignment="1">
      <alignment horizontal="left" vertical="center"/>
    </xf>
    <xf numFmtId="0" fontId="0" fillId="8" borderId="52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29" fillId="8" borderId="40" xfId="0" applyFont="1" applyFill="1" applyBorder="1" applyAlignment="1">
      <alignment horizontal="center" vertical="center"/>
    </xf>
    <xf numFmtId="0" fontId="29" fillId="8" borderId="41" xfId="0" applyFont="1" applyFill="1" applyBorder="1" applyAlignment="1">
      <alignment horizontal="center" vertical="center"/>
    </xf>
    <xf numFmtId="0" fontId="28" fillId="8" borderId="40" xfId="0" applyFont="1" applyFill="1" applyBorder="1" applyAlignment="1">
      <alignment horizontal="center" vertical="center"/>
    </xf>
    <xf numFmtId="0" fontId="28" fillId="8" borderId="42" xfId="0" applyFont="1" applyFill="1" applyBorder="1" applyAlignment="1">
      <alignment horizontal="center" vertical="center"/>
    </xf>
    <xf numFmtId="0" fontId="14" fillId="0" borderId="0" xfId="0" applyFont="1" applyAlignment="1">
      <alignment wrapText="1"/>
    </xf>
    <xf numFmtId="0" fontId="0" fillId="0" borderId="0" xfId="0"/>
    <xf numFmtId="0" fontId="12" fillId="9" borderId="46" xfId="0" applyFont="1" applyFill="1" applyBorder="1" applyAlignment="1">
      <alignment horizontal="left" vertical="center"/>
    </xf>
    <xf numFmtId="0" fontId="0" fillId="9" borderId="27" xfId="0" applyFill="1" applyBorder="1" applyAlignment="1">
      <alignment horizontal="left" vertical="center"/>
    </xf>
    <xf numFmtId="0" fontId="0" fillId="9" borderId="52" xfId="0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29" fillId="9" borderId="40" xfId="0" applyFont="1" applyFill="1" applyBorder="1" applyAlignment="1">
      <alignment horizontal="center" vertical="center"/>
    </xf>
    <xf numFmtId="0" fontId="29" fillId="9" borderId="41" xfId="0" applyFont="1" applyFill="1" applyBorder="1" applyAlignment="1">
      <alignment horizontal="center" vertical="center"/>
    </xf>
    <xf numFmtId="0" fontId="28" fillId="9" borderId="40" xfId="0" applyFont="1" applyFill="1" applyBorder="1" applyAlignment="1">
      <alignment horizontal="center" vertical="center"/>
    </xf>
    <xf numFmtId="0" fontId="28" fillId="9" borderId="42" xfId="0" applyFont="1" applyFill="1" applyBorder="1" applyAlignment="1">
      <alignment horizontal="center" vertical="center"/>
    </xf>
    <xf numFmtId="0" fontId="29" fillId="9" borderId="46" xfId="0" applyFont="1" applyFill="1" applyBorder="1" applyAlignment="1">
      <alignment horizontal="center" vertical="center" textRotation="90"/>
    </xf>
    <xf numFmtId="0" fontId="31" fillId="9" borderId="37" xfId="0" applyFont="1" applyFill="1" applyBorder="1" applyAlignment="1">
      <alignment horizontal="center" vertical="center" textRotation="90"/>
    </xf>
    <xf numFmtId="0" fontId="31" fillId="9" borderId="41" xfId="0" applyFont="1" applyFill="1" applyBorder="1"/>
    <xf numFmtId="0" fontId="0" fillId="9" borderId="37" xfId="0" applyFill="1" applyBorder="1"/>
    <xf numFmtId="0" fontId="0" fillId="9" borderId="52" xfId="0" applyFill="1" applyBorder="1"/>
    <xf numFmtId="0" fontId="14" fillId="0" borderId="52" xfId="0" applyFont="1" applyBorder="1" applyAlignment="1">
      <alignment wrapText="1"/>
    </xf>
    <xf numFmtId="0" fontId="0" fillId="0" borderId="26" xfId="0" applyBorder="1"/>
    <xf numFmtId="0" fontId="0" fillId="0" borderId="53" xfId="0" applyBorder="1"/>
    <xf numFmtId="0" fontId="14" fillId="0" borderId="37" xfId="0" applyFont="1" applyBorder="1" applyAlignment="1">
      <alignment wrapText="1"/>
    </xf>
    <xf numFmtId="0" fontId="14" fillId="0" borderId="54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4" fillId="0" borderId="51" xfId="0" applyFont="1" applyBorder="1" applyAlignment="1">
      <alignment wrapText="1"/>
    </xf>
    <xf numFmtId="0" fontId="29" fillId="2" borderId="46" xfId="0" applyFont="1" applyFill="1" applyBorder="1" applyAlignment="1">
      <alignment horizontal="center" vertical="center" textRotation="90"/>
    </xf>
    <xf numFmtId="0" fontId="31" fillId="2" borderId="37" xfId="0" applyFont="1" applyFill="1" applyBorder="1" applyAlignment="1">
      <alignment horizontal="center" vertical="center" textRotation="90"/>
    </xf>
    <xf numFmtId="0" fontId="0" fillId="0" borderId="54" xfId="0" applyBorder="1"/>
    <xf numFmtId="0" fontId="31" fillId="2" borderId="41" xfId="0" applyFont="1" applyFill="1" applyBorder="1"/>
    <xf numFmtId="0" fontId="0" fillId="2" borderId="37" xfId="0" applyFill="1" applyBorder="1"/>
    <xf numFmtId="0" fontId="33" fillId="5" borderId="27" xfId="0" applyFont="1" applyFill="1" applyBorder="1" applyAlignment="1">
      <alignment horizontal="center"/>
    </xf>
    <xf numFmtId="0" fontId="33" fillId="5" borderId="51" xfId="0" applyFont="1" applyFill="1" applyBorder="1" applyAlignment="1">
      <alignment horizontal="center"/>
    </xf>
    <xf numFmtId="0" fontId="0" fillId="2" borderId="52" xfId="0" applyFill="1" applyBorder="1" applyAlignment="1">
      <alignment horizontal="left" vertical="center"/>
    </xf>
    <xf numFmtId="2" fontId="29" fillId="2" borderId="40" xfId="0" applyNumberFormat="1" applyFont="1" applyFill="1" applyBorder="1" applyAlignment="1">
      <alignment horizontal="center" vertical="center"/>
    </xf>
    <xf numFmtId="2" fontId="29" fillId="2" borderId="41" xfId="0" applyNumberFormat="1" applyFont="1" applyFill="1" applyBorder="1" applyAlignment="1">
      <alignment horizontal="center" vertical="center"/>
    </xf>
    <xf numFmtId="0" fontId="28" fillId="10" borderId="55" xfId="0" applyFont="1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0" fillId="10" borderId="44" xfId="0" applyFill="1" applyBorder="1" applyAlignment="1">
      <alignment horizontal="center"/>
    </xf>
    <xf numFmtId="0" fontId="6" fillId="5" borderId="46" xfId="0" applyFont="1" applyFill="1" applyBorder="1" applyAlignment="1">
      <alignment horizontal="left" vertical="center"/>
    </xf>
    <xf numFmtId="0" fontId="6" fillId="5" borderId="52" xfId="0" applyFont="1" applyFill="1" applyBorder="1" applyAlignment="1">
      <alignment horizontal="left" vertical="center"/>
    </xf>
    <xf numFmtId="0" fontId="1" fillId="0" borderId="46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/>
    </xf>
    <xf numFmtId="0" fontId="1" fillId="0" borderId="51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3" xfId="0" applyFont="1" applyBorder="1" applyAlignment="1">
      <alignment horizontal="left" vertical="top"/>
    </xf>
    <xf numFmtId="0" fontId="29" fillId="2" borderId="46" xfId="0" applyFont="1" applyFill="1" applyBorder="1" applyAlignment="1">
      <alignment horizontal="left" vertical="center"/>
    </xf>
    <xf numFmtId="0" fontId="29" fillId="2" borderId="27" xfId="0" applyFont="1" applyFill="1" applyBorder="1" applyAlignment="1">
      <alignment horizontal="left" vertical="center"/>
    </xf>
    <xf numFmtId="0" fontId="0" fillId="2" borderId="27" xfId="0" applyFill="1" applyBorder="1" applyAlignment="1">
      <alignment vertical="center"/>
    </xf>
    <xf numFmtId="0" fontId="0" fillId="2" borderId="51" xfId="0" applyFill="1" applyBorder="1" applyAlignment="1">
      <alignment vertical="center"/>
    </xf>
    <xf numFmtId="0" fontId="29" fillId="2" borderId="52" xfId="0" applyFont="1" applyFill="1" applyBorder="1" applyAlignment="1">
      <alignment horizontal="left" vertical="center"/>
    </xf>
    <xf numFmtId="0" fontId="29" fillId="2" borderId="26" xfId="0" applyFont="1" applyFill="1" applyBorder="1" applyAlignment="1">
      <alignment horizontal="left" vertical="center"/>
    </xf>
    <xf numFmtId="0" fontId="0" fillId="2" borderId="26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49" fontId="12" fillId="2" borderId="9" xfId="0" applyNumberFormat="1" applyFont="1" applyFill="1" applyBorder="1" applyAlignment="1">
      <alignment horizontal="left" vertical="center" wrapText="1"/>
    </xf>
    <xf numFmtId="49" fontId="12" fillId="2" borderId="16" xfId="0" applyNumberFormat="1" applyFont="1" applyFill="1" applyBorder="1" applyAlignment="1">
      <alignment horizontal="left" vertical="center" wrapText="1"/>
    </xf>
    <xf numFmtId="49" fontId="12" fillId="2" borderId="17" xfId="0" applyNumberFormat="1" applyFont="1" applyFill="1" applyBorder="1" applyAlignment="1">
      <alignment horizontal="left" vertical="center" wrapText="1"/>
    </xf>
    <xf numFmtId="49" fontId="12" fillId="2" borderId="26" xfId="0" applyNumberFormat="1" applyFont="1" applyFill="1" applyBorder="1" applyAlignment="1">
      <alignment horizontal="left" vertical="center" wrapText="1"/>
    </xf>
    <xf numFmtId="49" fontId="12" fillId="2" borderId="18" xfId="0" applyNumberFormat="1" applyFont="1" applyFill="1" applyBorder="1" applyAlignment="1">
      <alignment horizontal="left" vertical="center" wrapText="1"/>
    </xf>
    <xf numFmtId="0" fontId="13" fillId="2" borderId="27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13" fillId="2" borderId="14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>
      <alignment horizontal="left" vertical="center" wrapText="1"/>
    </xf>
    <xf numFmtId="0" fontId="28" fillId="0" borderId="0" xfId="0" applyFont="1" applyBorder="1"/>
    <xf numFmtId="0" fontId="14" fillId="0" borderId="0" xfId="0" applyFont="1" applyBorder="1"/>
    <xf numFmtId="0" fontId="0" fillId="0" borderId="0" xfId="0" applyBorder="1"/>
    <xf numFmtId="0" fontId="28" fillId="0" borderId="55" xfId="0" applyFont="1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0" fillId="0" borderId="44" xfId="0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colors>
    <mruColors>
      <color rgb="FFCE32CE"/>
      <color rgb="FF0099FF"/>
      <color rgb="FFEAEAEA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5.Semester/5.2_Auftrag.pdf" TargetMode="External"/><Relationship Id="rId3" Type="http://schemas.openxmlformats.org/officeDocument/2006/relationships/hyperlink" Target="https://sanitaerlernen.ch/0_Datenbank/1_Auftraege/5.Semester/5.3_Auftrag.pdf" TargetMode="External"/><Relationship Id="rId7" Type="http://schemas.openxmlformats.org/officeDocument/2006/relationships/hyperlink" Target="https://sanitaerlernen.ch/0_Datenbank/1_Auftraege/5.Semester/5.4_Auftrag.pdf" TargetMode="External"/><Relationship Id="rId12" Type="http://schemas.openxmlformats.org/officeDocument/2006/relationships/hyperlink" Target="https://sanitaerlernen.ch/0_Datenbank/1_Auftraege/5.Semester/5.11_Auftrag.pdf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sanitaerlernen.ch/0_Datenbank/1_Auftraege/5.Semester/5.1_Auftrag.pdf" TargetMode="External"/><Relationship Id="rId6" Type="http://schemas.openxmlformats.org/officeDocument/2006/relationships/hyperlink" Target="https://sanitaerlernen.ch/0_Datenbank/1_Auftraege/5.Semester/5.7_Auftrag.pdf" TargetMode="External"/><Relationship Id="rId11" Type="http://schemas.openxmlformats.org/officeDocument/2006/relationships/image" Target="../media/image2.png"/><Relationship Id="rId5" Type="http://schemas.openxmlformats.org/officeDocument/2006/relationships/hyperlink" Target="https://sanitaerlernen.ch/0_Datenbank/1_Auftraege/5.Semester/5.8_Auftrag.pdf" TargetMode="External"/><Relationship Id="rId10" Type="http://schemas.openxmlformats.org/officeDocument/2006/relationships/hyperlink" Target="https://sanitaerlernen.ch/0_Datenbank/1_Auftraege/5.Semester/5.10_Auftrag.pdf" TargetMode="External"/><Relationship Id="rId4" Type="http://schemas.openxmlformats.org/officeDocument/2006/relationships/hyperlink" Target="https://sanitaerlernen.ch/0_Datenbank/1_Auftraege/5.Semester/5.9_Auftrag.pdf" TargetMode="External"/><Relationship Id="rId9" Type="http://schemas.openxmlformats.org/officeDocument/2006/relationships/hyperlink" Target="https://sanitaerlernen.ch/0_Datenbank/1_Auftraege/5.Semester/5.6_Auftrag.pdf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gl3fncGi1p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7EBLHLBJu5A" TargetMode="External"/><Relationship Id="rId6" Type="http://schemas.openxmlformats.org/officeDocument/2006/relationships/hyperlink" Target="https://www.youtube.com/watch?v=08W-zg2Lzt8" TargetMode="External"/><Relationship Id="rId5" Type="http://schemas.openxmlformats.org/officeDocument/2006/relationships/hyperlink" Target="https://www.youtube.com/watch?v=ZX5jxzhgj2c&amp;t=25s" TargetMode="External"/><Relationship Id="rId4" Type="http://schemas.openxmlformats.org/officeDocument/2006/relationships/hyperlink" Target="https://youtu.be/aCtnia8qqRE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gl3fncGi1p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7EBLHLBJu5A" TargetMode="External"/><Relationship Id="rId5" Type="http://schemas.openxmlformats.org/officeDocument/2006/relationships/hyperlink" Target="https://www.youtube.com/watch?v=tvSrWK3MVs4&amp;t=262s" TargetMode="External"/><Relationship Id="rId4" Type="http://schemas.openxmlformats.org/officeDocument/2006/relationships/hyperlink" Target="https://youtu.be/aCtnia8qqRE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BkDmTYi7WQ8" TargetMode="External"/><Relationship Id="rId3" Type="http://schemas.openxmlformats.org/officeDocument/2006/relationships/hyperlink" Target="https://sanitaerlernen.ch/0_Datenbank/6_Lernziele/5.Semester/5.1_Lernziele.pdf" TargetMode="External"/><Relationship Id="rId7" Type="http://schemas.openxmlformats.org/officeDocument/2006/relationships/hyperlink" Target="https://youtu.be/aCtnia8qqRE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6_Lernziele/5.Semester/5.4_Lernziele.pdf" TargetMode="External"/><Relationship Id="rId6" Type="http://schemas.openxmlformats.org/officeDocument/2006/relationships/hyperlink" Target="https://youtu.be/gl3fncGi1pM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youtu.be/7EBLHLBJu5A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8CYYZ7deZ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RPD6RyXOJ98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8CYYZ7deZ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RPD6RyXOJ98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RPD6RyXOJ98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6_Lernziele/5.Semester/5.6_Lernziele.pdf" TargetMode="External"/><Relationship Id="rId5" Type="http://schemas.openxmlformats.org/officeDocument/2006/relationships/hyperlink" Target="https://youtu.be/f8CYYZ7deZM" TargetMode="External"/><Relationship Id="rId4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youtu.be/sFbM5PqhLp4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LK4s-chwRRQ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A1mGXKGWvvc" TargetMode="External"/><Relationship Id="rId4" Type="http://schemas.openxmlformats.org/officeDocument/2006/relationships/hyperlink" Target="https://youtu.be/UfjJ-AvNvIY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6_Lernziele/5.Semester/5.2_Lernziele.pdf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6_Lernziele/5.Semester/5.7_Lernziele.pdf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6_Lernziele/5.Semester/5.9_Lernziele.pdf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6_Lernziele/5.Semester/5.3_Lernziele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357189</xdr:colOff>
      <xdr:row>39</xdr:row>
      <xdr:rowOff>19050</xdr:rowOff>
    </xdr:from>
    <xdr:ext cx="4243386" cy="333375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60672BFD-779D-4B8A-9548-A3431AEC7D44}"/>
            </a:ext>
          </a:extLst>
        </xdr:cNvPr>
        <xdr:cNvSpPr txBox="1"/>
      </xdr:nvSpPr>
      <xdr:spPr>
        <a:xfrm>
          <a:off x="10672764" y="9401175"/>
          <a:ext cx="4243386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700" b="1">
              <a:latin typeface="Century Gothic" panose="020B0502020202020204" pitchFamily="34" charset="0"/>
            </a:rPr>
            <a:t>Kanton St.Gallen</a:t>
          </a:r>
          <a:r>
            <a:rPr lang="de-CH" sz="700" b="1" baseline="0">
              <a:latin typeface="Century Gothic" panose="020B0502020202020204" pitchFamily="34" charset="0"/>
            </a:rPr>
            <a:t> </a:t>
          </a:r>
          <a:r>
            <a:rPr lang="de-CH" sz="700" b="1">
              <a:latin typeface="Century Gothic" panose="020B0502020202020204" pitchFamily="34" charset="0"/>
            </a:rPr>
            <a:t>Gewerbliches Berufs- und Weiterbildungszentrum</a:t>
          </a:r>
        </a:p>
      </xdr:txBody>
    </xdr:sp>
    <xdr:clientData/>
  </xdr:oneCellAnchor>
  <xdr:twoCellAnchor editAs="oneCell">
    <xdr:from>
      <xdr:col>4</xdr:col>
      <xdr:colOff>28576</xdr:colOff>
      <xdr:row>4</xdr:row>
      <xdr:rowOff>66676</xdr:rowOff>
    </xdr:from>
    <xdr:to>
      <xdr:col>4</xdr:col>
      <xdr:colOff>352426</xdr:colOff>
      <xdr:row>5</xdr:row>
      <xdr:rowOff>142876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4077E-123D-46D4-9FF7-E17651EFC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6" y="781051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4</xdr:row>
      <xdr:rowOff>66676</xdr:rowOff>
    </xdr:from>
    <xdr:to>
      <xdr:col>8</xdr:col>
      <xdr:colOff>342901</xdr:colOff>
      <xdr:row>5</xdr:row>
      <xdr:rowOff>142876</xdr:rowOff>
    </xdr:to>
    <xdr:pic>
      <xdr:nvPicPr>
        <xdr:cNvPr id="7" name="Grafik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D1992F-590C-4E89-90D5-8BA690832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6" y="781051"/>
          <a:ext cx="323850" cy="323850"/>
        </a:xfrm>
        <a:prstGeom prst="rect">
          <a:avLst/>
        </a:prstGeom>
      </xdr:spPr>
    </xdr:pic>
    <xdr:clientData/>
  </xdr:twoCellAnchor>
  <xdr:oneCellAnchor>
    <xdr:from>
      <xdr:col>9</xdr:col>
      <xdr:colOff>28576</xdr:colOff>
      <xdr:row>22</xdr:row>
      <xdr:rowOff>47626</xdr:rowOff>
    </xdr:from>
    <xdr:ext cx="323850" cy="328612"/>
    <xdr:pic>
      <xdr:nvPicPr>
        <xdr:cNvPr id="17" name="Grafik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DCD269D-D533-4179-82D7-0DA601600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1" y="5219701"/>
          <a:ext cx="323850" cy="328612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22</xdr:row>
      <xdr:rowOff>47626</xdr:rowOff>
    </xdr:from>
    <xdr:ext cx="323850" cy="328612"/>
    <xdr:pic>
      <xdr:nvPicPr>
        <xdr:cNvPr id="18" name="Grafik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246F1C-01DB-4819-8EF8-85A5D0699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7789" y="7577139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22</xdr:row>
      <xdr:rowOff>57151</xdr:rowOff>
    </xdr:from>
    <xdr:ext cx="323850" cy="328612"/>
    <xdr:pic>
      <xdr:nvPicPr>
        <xdr:cNvPr id="20" name="Grafik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D120AD2-CBA3-4795-AF83-6B8DF6BCF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3052764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13</xdr:row>
      <xdr:rowOff>66676</xdr:rowOff>
    </xdr:from>
    <xdr:ext cx="323850" cy="328612"/>
    <xdr:pic>
      <xdr:nvPicPr>
        <xdr:cNvPr id="28" name="Grafik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297BA3-96DE-4609-8914-D9AD845F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6" y="795339"/>
          <a:ext cx="323850" cy="328612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4</xdr:row>
      <xdr:rowOff>66676</xdr:rowOff>
    </xdr:from>
    <xdr:ext cx="323850" cy="328612"/>
    <xdr:pic>
      <xdr:nvPicPr>
        <xdr:cNvPr id="31" name="Grafik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3A8BD45-71C5-4FBD-92B3-E92E3353F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795339"/>
          <a:ext cx="323850" cy="328612"/>
        </a:xfrm>
        <a:prstGeom prst="rect">
          <a:avLst/>
        </a:prstGeom>
      </xdr:spPr>
    </xdr:pic>
    <xdr:clientData/>
  </xdr:oneCellAnchor>
  <xdr:oneCellAnchor>
    <xdr:from>
      <xdr:col>9</xdr:col>
      <xdr:colOff>19051</xdr:colOff>
      <xdr:row>13</xdr:row>
      <xdr:rowOff>57151</xdr:rowOff>
    </xdr:from>
    <xdr:ext cx="323850" cy="328612"/>
    <xdr:pic>
      <xdr:nvPicPr>
        <xdr:cNvPr id="11" name="Grafik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F528907-F613-434A-9F71-34C10DFF9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1" y="3000376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28576</xdr:colOff>
      <xdr:row>31</xdr:row>
      <xdr:rowOff>66676</xdr:rowOff>
    </xdr:from>
    <xdr:ext cx="323850" cy="323850"/>
    <xdr:pic>
      <xdr:nvPicPr>
        <xdr:cNvPr id="13" name="Grafik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0C7895B-1A2B-4B93-876B-4AB931844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1" y="7467601"/>
          <a:ext cx="32385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661989</xdr:colOff>
      <xdr:row>4</xdr:row>
      <xdr:rowOff>66675</xdr:rowOff>
    </xdr:from>
    <xdr:to>
      <xdr:col>20</xdr:col>
      <xdr:colOff>971551</xdr:colOff>
      <xdr:row>5</xdr:row>
      <xdr:rowOff>142875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4D6D0470-1263-4BD6-A9D7-4C4CE229A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0714" y="781050"/>
          <a:ext cx="309562" cy="323850"/>
        </a:xfrm>
        <a:prstGeom prst="rect">
          <a:avLst/>
        </a:prstGeom>
      </xdr:spPr>
    </xdr:pic>
    <xdr:clientData/>
  </xdr:twoCellAnchor>
  <xdr:oneCellAnchor>
    <xdr:from>
      <xdr:col>8</xdr:col>
      <xdr:colOff>19051</xdr:colOff>
      <xdr:row>31</xdr:row>
      <xdr:rowOff>57151</xdr:rowOff>
    </xdr:from>
    <xdr:ext cx="323850" cy="328612"/>
    <xdr:pic>
      <xdr:nvPicPr>
        <xdr:cNvPr id="2" name="Grafik 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4F1903C-0F46-42F2-A2BF-1385894A4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1" y="3000376"/>
          <a:ext cx="323850" cy="3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365760</xdr:colOff>
      <xdr:row>23</xdr:row>
      <xdr:rowOff>15240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23C7-52F9-4432-BC3A-2C3F12152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40" y="44196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365760</xdr:colOff>
      <xdr:row>25</xdr:row>
      <xdr:rowOff>175260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53EA08-FD8F-47BE-8AEB-B1368C25A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40" y="494538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358140</xdr:colOff>
      <xdr:row>28</xdr:row>
      <xdr:rowOff>121920</xdr:rowOff>
    </xdr:from>
    <xdr:ext cx="353287" cy="334237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AB16787-294C-4E03-8817-6386FAF3F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620" y="545592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4</xdr:row>
      <xdr:rowOff>142875</xdr:rowOff>
    </xdr:from>
    <xdr:ext cx="353287" cy="334237"/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7CABE22-5561-4B64-B484-5E49E9656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9048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7</xdr:row>
      <xdr:rowOff>57150</xdr:rowOff>
    </xdr:from>
    <xdr:ext cx="353287" cy="334237"/>
    <xdr:pic>
      <xdr:nvPicPr>
        <xdr:cNvPr id="6" name="Grafik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9B030D3-C97B-43CE-A296-779A41278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41922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365760</xdr:colOff>
      <xdr:row>23</xdr:row>
      <xdr:rowOff>15240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B542A5-8165-48B3-929E-442F554D1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40" y="44196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365760</xdr:colOff>
      <xdr:row>25</xdr:row>
      <xdr:rowOff>175260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5BB16D-3014-43EF-BF3E-88DBB96C9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40" y="494538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358140</xdr:colOff>
      <xdr:row>28</xdr:row>
      <xdr:rowOff>121920</xdr:rowOff>
    </xdr:from>
    <xdr:ext cx="353287" cy="334237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889A55C-A3D9-489E-9156-4EC7DB8FE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620" y="545592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4</xdr:row>
      <xdr:rowOff>152400</xdr:rowOff>
    </xdr:from>
    <xdr:ext cx="353287" cy="334237"/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5BDCE6-9A28-41EA-AD63-B4C868CD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91440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130001</xdr:rowOff>
    </xdr:to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C3729E-F572-4EEC-9598-7758B31E8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90750"/>
          <a:ext cx="328193" cy="320501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29</xdr:row>
      <xdr:rowOff>28575</xdr:rowOff>
    </xdr:from>
    <xdr:to>
      <xdr:col>6</xdr:col>
      <xdr:colOff>728243</xdr:colOff>
      <xdr:row>30</xdr:row>
      <xdr:rowOff>149051</xdr:rowOff>
    </xdr:to>
    <xdr:pic>
      <xdr:nvPicPr>
        <xdr:cNvPr id="5" name="Grafik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39A5E5-B7A0-475A-8C8B-733D8B37B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90750"/>
          <a:ext cx="328193" cy="320501"/>
        </a:xfrm>
        <a:prstGeom prst="rect">
          <a:avLst/>
        </a:prstGeom>
      </xdr:spPr>
    </xdr:pic>
    <xdr:clientData/>
  </xdr:twoCellAnchor>
  <xdr:oneCellAnchor>
    <xdr:from>
      <xdr:col>6</xdr:col>
      <xdr:colOff>99060</xdr:colOff>
      <xdr:row>22</xdr:row>
      <xdr:rowOff>68580</xdr:rowOff>
    </xdr:from>
    <xdr:ext cx="353287" cy="334237"/>
    <xdr:pic>
      <xdr:nvPicPr>
        <xdr:cNvPr id="2" name="Grafik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E35F2A-02BB-4E7D-87BF-9EF6166BA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3540" y="432054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579120</xdr:colOff>
      <xdr:row>22</xdr:row>
      <xdr:rowOff>68580</xdr:rowOff>
    </xdr:from>
    <xdr:ext cx="353287" cy="334237"/>
    <xdr:pic>
      <xdr:nvPicPr>
        <xdr:cNvPr id="3" name="Grafik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2EF6452-C7FC-4685-9295-827A0F90D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432054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91440</xdr:colOff>
      <xdr:row>24</xdr:row>
      <xdr:rowOff>137160</xdr:rowOff>
    </xdr:from>
    <xdr:ext cx="353287" cy="334237"/>
    <xdr:pic>
      <xdr:nvPicPr>
        <xdr:cNvPr id="6" name="Grafik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A071728-E18E-43EF-8389-B0E5C3419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5920" y="475488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4</xdr:row>
      <xdr:rowOff>53340</xdr:rowOff>
    </xdr:from>
    <xdr:ext cx="353287" cy="334237"/>
    <xdr:pic>
      <xdr:nvPicPr>
        <xdr:cNvPr id="7" name="Grafik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97BEE7-60A6-4D35-B63F-FAA926062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81534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5</xdr:row>
      <xdr:rowOff>28575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A65A88-8C40-45A6-B43F-64691FA3E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9906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342900</xdr:colOff>
      <xdr:row>7</xdr:row>
      <xdr:rowOff>85725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5BEE3D-E773-45EB-8819-412EAD560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3550" y="142875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371475</xdr:colOff>
      <xdr:row>5</xdr:row>
      <xdr:rowOff>19050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FE6494-1A51-4A8F-A1FE-366796142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9810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7</xdr:row>
      <xdr:rowOff>66675</xdr:rowOff>
    </xdr:from>
    <xdr:ext cx="353287" cy="334237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8CD667-8BE3-4875-BDFB-47EA7C70C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41922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11</xdr:row>
      <xdr:rowOff>28575</xdr:rowOff>
    </xdr:from>
    <xdr:ext cx="328193" cy="320501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4E9DBF-B188-40CA-BF28-0DFD63DAE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200275"/>
          <a:ext cx="328193" cy="320501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4</xdr:row>
      <xdr:rowOff>180975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849BF2-720D-4515-B5F3-565D53A82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9429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352425</xdr:colOff>
      <xdr:row>7</xdr:row>
      <xdr:rowOff>28575</xdr:rowOff>
    </xdr:from>
    <xdr:ext cx="353287" cy="334237"/>
    <xdr:pic>
      <xdr:nvPicPr>
        <xdr:cNvPr id="4" name="Grafik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BEBCB7-ED92-4DAD-8936-E6E4FF52E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138112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371475</xdr:colOff>
      <xdr:row>4</xdr:row>
      <xdr:rowOff>123825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8A7DF-6FA5-46C7-99AF-5BF577D69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88582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361950</xdr:colOff>
      <xdr:row>4</xdr:row>
      <xdr:rowOff>161925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725A87-CAC2-4C43-A75A-7CF62CF13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92392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9</xdr:row>
      <xdr:rowOff>152400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025BF0-DAC3-4177-AB3B-B0360BA55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8954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7</xdr:row>
      <xdr:rowOff>76200</xdr:rowOff>
    </xdr:from>
    <xdr:ext cx="353287" cy="334237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446022-51A0-4B0F-8BDC-60143891F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42875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130001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E0CBF1-5CD7-430C-9887-76881298E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200275"/>
          <a:ext cx="328193" cy="320501"/>
        </a:xfrm>
        <a:prstGeom prst="rect">
          <a:avLst/>
        </a:prstGeom>
      </xdr:spPr>
    </xdr:pic>
    <xdr:clientData/>
  </xdr:twoCellAnchor>
  <xdr:oneCellAnchor>
    <xdr:from>
      <xdr:col>6</xdr:col>
      <xdr:colOff>400050</xdr:colOff>
      <xdr:row>29</xdr:row>
      <xdr:rowOff>28575</xdr:rowOff>
    </xdr:from>
    <xdr:ext cx="328193" cy="320501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AA94AA-F183-4556-B737-D29186459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81225"/>
          <a:ext cx="328193" cy="32050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29</xdr:row>
      <xdr:rowOff>28575</xdr:rowOff>
    </xdr:from>
    <xdr:ext cx="328193" cy="320501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DA31FB-3542-45B3-AB4E-991B0606A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5829300"/>
          <a:ext cx="328193" cy="32050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11</xdr:row>
      <xdr:rowOff>28575</xdr:rowOff>
    </xdr:from>
    <xdr:ext cx="328193" cy="320501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A6FD03-691B-42A2-AFC5-BAAB0BAE0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5810250"/>
          <a:ext cx="328193" cy="3205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AA48"/>
  <sheetViews>
    <sheetView showWhiteSpace="0" topLeftCell="A3" zoomScaleNormal="100" workbookViewId="0">
      <selection activeCell="Q38" sqref="Q38"/>
    </sheetView>
  </sheetViews>
  <sheetFormatPr baseColWidth="10" defaultColWidth="11.42578125" defaultRowHeight="15" customHeight="1" x14ac:dyDescent="0.3"/>
  <cols>
    <col min="1" max="1" width="3.28515625" style="1" customWidth="1"/>
    <col min="2" max="2" width="8.28515625" style="1" customWidth="1"/>
    <col min="3" max="3" width="9.85546875" style="1" customWidth="1"/>
    <col min="4" max="4" width="10.7109375" style="1" customWidth="1"/>
    <col min="5" max="11" width="13.28515625" style="1" customWidth="1"/>
    <col min="12" max="12" width="3.28515625" style="1" customWidth="1"/>
    <col min="13" max="13" width="13.28515625" style="1" customWidth="1"/>
    <col min="14" max="15" width="4.85546875" style="1" customWidth="1"/>
    <col min="16" max="16" width="3.28515625" style="1" customWidth="1"/>
    <col min="17" max="17" width="10.28515625" style="12" customWidth="1"/>
    <col min="18" max="20" width="8.28515625" style="1" customWidth="1"/>
    <col min="21" max="21" width="15" style="1" customWidth="1"/>
    <col min="22" max="16384" width="11.42578125" style="1"/>
  </cols>
  <sheetData>
    <row r="1" spans="1:27" ht="28.35" customHeight="1" thickBot="1" x14ac:dyDescent="0.35">
      <c r="B1" s="38" t="s">
        <v>21</v>
      </c>
      <c r="C1" s="39"/>
      <c r="D1" s="39"/>
      <c r="E1" s="39"/>
      <c r="F1" s="39"/>
      <c r="G1" s="39"/>
      <c r="H1" s="39"/>
      <c r="I1" s="40" t="s">
        <v>0</v>
      </c>
      <c r="J1" s="41">
        <v>46244</v>
      </c>
      <c r="K1" s="40" t="s">
        <v>1</v>
      </c>
      <c r="L1" s="42" t="s">
        <v>2</v>
      </c>
      <c r="M1" s="42"/>
      <c r="N1" s="42"/>
      <c r="O1" s="43"/>
      <c r="P1" s="39"/>
      <c r="Q1" s="234"/>
      <c r="R1" s="235"/>
      <c r="S1" s="235"/>
      <c r="T1" s="235"/>
      <c r="U1" s="44"/>
    </row>
    <row r="2" spans="1:27" ht="5.0999999999999996" customHeight="1" thickBot="1" x14ac:dyDescent="0.35">
      <c r="C2" s="5"/>
      <c r="D2"/>
      <c r="E2"/>
      <c r="F2"/>
      <c r="G2"/>
      <c r="H2" s="11"/>
      <c r="I2" s="11"/>
      <c r="J2" s="11"/>
      <c r="K2" s="11"/>
    </row>
    <row r="3" spans="1:27" ht="19.5" customHeight="1" thickBot="1" x14ac:dyDescent="0.35">
      <c r="B3" s="304" t="s">
        <v>19</v>
      </c>
      <c r="C3" s="305"/>
      <c r="D3" s="305"/>
      <c r="E3" s="305"/>
      <c r="F3" s="305"/>
      <c r="G3" s="305"/>
      <c r="H3" s="301"/>
      <c r="I3" s="301"/>
      <c r="J3" s="301"/>
      <c r="K3" s="302"/>
      <c r="L3" s="9"/>
      <c r="M3" s="25" t="s">
        <v>14</v>
      </c>
      <c r="N3" s="26"/>
      <c r="O3" s="27"/>
      <c r="P3" s="9"/>
      <c r="Q3" s="20" t="s">
        <v>13</v>
      </c>
      <c r="R3" s="21"/>
      <c r="S3" s="22"/>
      <c r="T3" s="22"/>
      <c r="U3" s="23"/>
    </row>
    <row r="4" spans="1:27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Q4" s="15"/>
      <c r="R4" s="8"/>
      <c r="S4" s="8"/>
      <c r="T4" s="7"/>
    </row>
    <row r="5" spans="1:27" ht="20.100000000000001" customHeight="1" x14ac:dyDescent="0.3">
      <c r="B5" s="173" t="s">
        <v>3</v>
      </c>
      <c r="C5" s="174"/>
      <c r="D5" s="174"/>
      <c r="E5" s="294" t="s">
        <v>24</v>
      </c>
      <c r="F5" s="315"/>
      <c r="G5" s="294" t="s">
        <v>25</v>
      </c>
      <c r="H5" s="316"/>
      <c r="I5" s="182" t="s">
        <v>49</v>
      </c>
      <c r="J5" s="183"/>
      <c r="K5" s="296"/>
      <c r="M5" s="263" t="s">
        <v>20</v>
      </c>
      <c r="N5" s="264"/>
      <c r="O5" s="265"/>
      <c r="Q5" s="24">
        <f>J1+0</f>
        <v>46244</v>
      </c>
      <c r="R5" s="254" t="s">
        <v>80</v>
      </c>
      <c r="S5" s="257"/>
      <c r="T5" s="257"/>
      <c r="U5" s="258"/>
    </row>
    <row r="6" spans="1:27" ht="20.100000000000001" customHeight="1" thickBot="1" x14ac:dyDescent="0.35">
      <c r="B6" s="175"/>
      <c r="C6" s="176"/>
      <c r="D6" s="176"/>
      <c r="E6" s="276" t="s">
        <v>47</v>
      </c>
      <c r="F6" s="278"/>
      <c r="G6" s="276" t="s">
        <v>48</v>
      </c>
      <c r="H6" s="303"/>
      <c r="I6" s="282" t="s">
        <v>152</v>
      </c>
      <c r="J6" s="283"/>
      <c r="K6" s="284"/>
      <c r="M6" s="243" t="s">
        <v>15</v>
      </c>
      <c r="N6" s="244"/>
      <c r="O6" s="245"/>
      <c r="Q6" s="52" t="s">
        <v>50</v>
      </c>
      <c r="R6" s="251" t="s">
        <v>81</v>
      </c>
      <c r="S6" s="259"/>
      <c r="T6" s="259"/>
      <c r="U6" s="260"/>
    </row>
    <row r="7" spans="1:27" ht="20.100000000000001" customHeight="1" thickBot="1" x14ac:dyDescent="0.35">
      <c r="B7" s="309" t="s">
        <v>4</v>
      </c>
      <c r="C7" s="310"/>
      <c r="D7" s="310"/>
      <c r="E7" s="228" t="s">
        <v>23</v>
      </c>
      <c r="F7" s="317"/>
      <c r="G7" s="228" t="s">
        <v>22</v>
      </c>
      <c r="H7" s="289"/>
      <c r="I7" s="228" t="s">
        <v>103</v>
      </c>
      <c r="J7" s="285" t="s">
        <v>104</v>
      </c>
      <c r="K7" s="221" t="s">
        <v>101</v>
      </c>
      <c r="L7" s="10"/>
      <c r="M7" s="246"/>
      <c r="N7" s="247"/>
      <c r="O7" s="245"/>
      <c r="Q7" s="24">
        <f>Q5+7</f>
        <v>46251</v>
      </c>
      <c r="R7" s="254" t="s">
        <v>80</v>
      </c>
      <c r="S7" s="257"/>
      <c r="T7" s="257"/>
      <c r="U7" s="258"/>
    </row>
    <row r="8" spans="1:27" ht="20.100000000000001" customHeight="1" thickBot="1" x14ac:dyDescent="0.35">
      <c r="B8" s="311"/>
      <c r="C8" s="312"/>
      <c r="D8" s="312"/>
      <c r="E8" s="318"/>
      <c r="F8" s="319"/>
      <c r="G8" s="230"/>
      <c r="H8" s="290"/>
      <c r="I8" s="230"/>
      <c r="J8" s="286"/>
      <c r="K8" s="232"/>
      <c r="L8" s="10"/>
      <c r="M8" s="246"/>
      <c r="N8" s="247"/>
      <c r="O8" s="245"/>
      <c r="Q8" s="52" t="s">
        <v>50</v>
      </c>
      <c r="R8" s="251" t="s">
        <v>81</v>
      </c>
      <c r="S8" s="259"/>
      <c r="T8" s="259"/>
      <c r="U8" s="260"/>
      <c r="Y8" s="108" t="s">
        <v>14</v>
      </c>
      <c r="Z8" s="109"/>
      <c r="AA8" s="110"/>
    </row>
    <row r="9" spans="1:27" ht="20.100000000000001" customHeight="1" thickBot="1" x14ac:dyDescent="0.35">
      <c r="B9" s="311"/>
      <c r="C9" s="312"/>
      <c r="D9" s="312"/>
      <c r="E9" s="318"/>
      <c r="F9" s="319"/>
      <c r="G9" s="230"/>
      <c r="H9" s="290"/>
      <c r="I9" s="230"/>
      <c r="J9" s="287"/>
      <c r="K9" s="288"/>
      <c r="L9" s="10"/>
      <c r="M9" s="248"/>
      <c r="N9" s="249"/>
      <c r="O9" s="250"/>
      <c r="Q9" s="24">
        <f>Q7+7</f>
        <v>46258</v>
      </c>
      <c r="R9" s="254" t="s">
        <v>80</v>
      </c>
      <c r="S9" s="257"/>
      <c r="T9" s="257"/>
      <c r="U9" s="258"/>
      <c r="Y9" s="111"/>
      <c r="Z9" s="111"/>
      <c r="AA9" s="111"/>
    </row>
    <row r="10" spans="1:27" ht="20.100000000000001" customHeight="1" thickBot="1" x14ac:dyDescent="0.35">
      <c r="A10" s="6"/>
      <c r="B10" s="311"/>
      <c r="C10" s="312"/>
      <c r="D10" s="312"/>
      <c r="E10" s="318"/>
      <c r="F10" s="319"/>
      <c r="G10" s="230"/>
      <c r="H10" s="290"/>
      <c r="I10" s="230"/>
      <c r="J10" s="178" t="s">
        <v>102</v>
      </c>
      <c r="K10" s="223" t="s">
        <v>105</v>
      </c>
      <c r="L10" s="10"/>
      <c r="M10" s="28" t="s">
        <v>46</v>
      </c>
      <c r="N10" s="213">
        <v>2</v>
      </c>
      <c r="O10" s="131"/>
      <c r="Q10" s="52" t="s">
        <v>50</v>
      </c>
      <c r="R10" s="251" t="s">
        <v>81</v>
      </c>
      <c r="S10" s="259"/>
      <c r="T10" s="259"/>
      <c r="U10" s="260"/>
      <c r="Y10" s="134" t="s">
        <v>16</v>
      </c>
      <c r="Z10" s="135"/>
      <c r="AA10" s="136"/>
    </row>
    <row r="11" spans="1:27" ht="20.100000000000001" customHeight="1" x14ac:dyDescent="0.3">
      <c r="A11" s="6"/>
      <c r="B11" s="311"/>
      <c r="C11" s="312"/>
      <c r="D11" s="312"/>
      <c r="E11" s="318"/>
      <c r="F11" s="319"/>
      <c r="G11" s="230"/>
      <c r="H11" s="290"/>
      <c r="I11" s="230"/>
      <c r="J11" s="180"/>
      <c r="K11" s="223"/>
      <c r="L11" s="10"/>
      <c r="M11" s="28" t="s">
        <v>25</v>
      </c>
      <c r="N11" s="213">
        <v>3</v>
      </c>
      <c r="O11" s="131"/>
      <c r="Q11" s="24">
        <f>Q9+7</f>
        <v>46265</v>
      </c>
      <c r="R11" s="254" t="s">
        <v>82</v>
      </c>
      <c r="S11" s="255"/>
      <c r="T11" s="255"/>
      <c r="U11" s="256"/>
      <c r="Y11" s="137" t="s">
        <v>266</v>
      </c>
      <c r="Z11" s="138"/>
      <c r="AA11" s="139"/>
    </row>
    <row r="12" spans="1:27" ht="20.100000000000001" customHeight="1" thickBot="1" x14ac:dyDescent="0.35">
      <c r="B12" s="313"/>
      <c r="C12" s="314"/>
      <c r="D12" s="314"/>
      <c r="E12" s="320"/>
      <c r="F12" s="321"/>
      <c r="G12" s="231"/>
      <c r="H12" s="291"/>
      <c r="I12" s="231"/>
      <c r="J12" s="181"/>
      <c r="K12" s="224"/>
      <c r="L12" s="10"/>
      <c r="M12" s="28" t="s">
        <v>26</v>
      </c>
      <c r="N12" s="213">
        <v>2</v>
      </c>
      <c r="O12" s="131"/>
      <c r="Q12" s="52" t="s">
        <v>51</v>
      </c>
      <c r="R12" s="251" t="s">
        <v>83</v>
      </c>
      <c r="S12" s="252"/>
      <c r="T12" s="252"/>
      <c r="U12" s="253"/>
      <c r="Y12" s="140"/>
      <c r="Z12" s="141"/>
      <c r="AA12" s="142"/>
    </row>
    <row r="13" spans="1:27" ht="19.5" customHeight="1" thickBot="1" x14ac:dyDescent="0.35">
      <c r="C13" s="3"/>
      <c r="D13" s="4"/>
      <c r="E13" s="306"/>
      <c r="F13" s="306"/>
      <c r="G13" s="307"/>
      <c r="H13" s="308"/>
      <c r="I13" s="308"/>
      <c r="J13" s="14"/>
      <c r="K13" s="15"/>
      <c r="M13" s="28" t="s">
        <v>27</v>
      </c>
      <c r="N13" s="213">
        <v>2</v>
      </c>
      <c r="O13" s="131"/>
      <c r="Q13" s="24">
        <f>Q11+7</f>
        <v>46272</v>
      </c>
      <c r="R13" s="254" t="s">
        <v>82</v>
      </c>
      <c r="S13" s="255"/>
      <c r="T13" s="255"/>
      <c r="U13" s="256"/>
      <c r="Y13" s="140"/>
      <c r="Z13" s="141"/>
      <c r="AA13" s="142"/>
    </row>
    <row r="14" spans="1:27" ht="20.100000000000001" customHeight="1" thickBot="1" x14ac:dyDescent="0.35">
      <c r="B14" s="173" t="s">
        <v>39</v>
      </c>
      <c r="C14" s="462"/>
      <c r="D14" s="463"/>
      <c r="E14" s="182" t="s">
        <v>77</v>
      </c>
      <c r="F14" s="183"/>
      <c r="G14" s="296"/>
      <c r="J14" s="182" t="s">
        <v>42</v>
      </c>
      <c r="K14" s="203"/>
      <c r="L14" s="9"/>
      <c r="M14" s="28" t="s">
        <v>42</v>
      </c>
      <c r="N14" s="213">
        <v>1.5</v>
      </c>
      <c r="O14" s="131"/>
      <c r="Q14" s="52" t="s">
        <v>51</v>
      </c>
      <c r="R14" s="251" t="s">
        <v>83</v>
      </c>
      <c r="S14" s="252"/>
      <c r="T14" s="252"/>
      <c r="U14" s="253"/>
      <c r="Y14" s="143"/>
      <c r="Z14" s="144"/>
      <c r="AA14" s="145"/>
    </row>
    <row r="15" spans="1:27" ht="20.100000000000001" customHeight="1" x14ac:dyDescent="0.3">
      <c r="B15" s="464"/>
      <c r="C15" s="465"/>
      <c r="D15" s="466"/>
      <c r="E15" s="282" t="s">
        <v>59</v>
      </c>
      <c r="F15" s="283"/>
      <c r="G15" s="284"/>
      <c r="J15" s="276" t="s">
        <v>59</v>
      </c>
      <c r="K15" s="277"/>
      <c r="M15" s="28" t="s">
        <v>43</v>
      </c>
      <c r="N15" s="213">
        <v>1</v>
      </c>
      <c r="O15" s="131"/>
      <c r="Q15" s="24">
        <f>Q13+7</f>
        <v>46279</v>
      </c>
      <c r="R15" s="254" t="s">
        <v>82</v>
      </c>
      <c r="S15" s="255"/>
      <c r="T15" s="255"/>
      <c r="U15" s="256"/>
      <c r="Y15" s="143"/>
      <c r="Z15" s="144"/>
      <c r="AA15" s="145"/>
    </row>
    <row r="16" spans="1:27" ht="20.100000000000001" customHeight="1" thickBot="1" x14ac:dyDescent="0.35">
      <c r="B16" s="164" t="s">
        <v>37</v>
      </c>
      <c r="C16" s="467"/>
      <c r="D16" s="468"/>
      <c r="E16" s="198" t="s">
        <v>106</v>
      </c>
      <c r="F16" s="178" t="s">
        <v>76</v>
      </c>
      <c r="G16" s="191" t="s">
        <v>78</v>
      </c>
      <c r="J16" s="228" t="s">
        <v>41</v>
      </c>
      <c r="K16" s="229"/>
      <c r="M16" s="28" t="s">
        <v>44</v>
      </c>
      <c r="N16" s="213">
        <v>1.5</v>
      </c>
      <c r="O16" s="131"/>
      <c r="Q16" s="52" t="s">
        <v>51</v>
      </c>
      <c r="R16" s="251" t="s">
        <v>83</v>
      </c>
      <c r="S16" s="252"/>
      <c r="T16" s="252"/>
      <c r="U16" s="253"/>
      <c r="Y16" s="143"/>
      <c r="Z16" s="144"/>
      <c r="AA16" s="145"/>
    </row>
    <row r="17" spans="2:27" ht="20.100000000000001" customHeight="1" thickBot="1" x14ac:dyDescent="0.35">
      <c r="B17" s="281"/>
      <c r="C17" s="469"/>
      <c r="D17" s="470"/>
      <c r="E17" s="299"/>
      <c r="F17" s="179"/>
      <c r="G17" s="297"/>
      <c r="J17" s="230"/>
      <c r="K17" s="193"/>
      <c r="M17" s="28" t="s">
        <v>45</v>
      </c>
      <c r="N17" s="213">
        <v>1.5</v>
      </c>
      <c r="O17" s="131"/>
      <c r="Q17" s="24">
        <f>Q15+7</f>
        <v>46286</v>
      </c>
      <c r="R17" s="254" t="s">
        <v>173</v>
      </c>
      <c r="S17" s="255"/>
      <c r="T17" s="255"/>
      <c r="U17" s="256"/>
      <c r="Y17" s="146"/>
      <c r="Z17" s="147"/>
      <c r="AA17" s="148"/>
    </row>
    <row r="18" spans="2:27" ht="20.100000000000001" customHeight="1" thickBot="1" x14ac:dyDescent="0.35">
      <c r="B18" s="281"/>
      <c r="C18" s="469"/>
      <c r="D18" s="470"/>
      <c r="E18" s="299"/>
      <c r="F18" s="179"/>
      <c r="G18" s="297"/>
      <c r="J18" s="230"/>
      <c r="K18" s="193"/>
      <c r="L18"/>
      <c r="M18" s="28" t="s">
        <v>75</v>
      </c>
      <c r="N18" s="213">
        <v>3</v>
      </c>
      <c r="O18" s="131"/>
      <c r="Q18" s="52" t="s">
        <v>181</v>
      </c>
      <c r="R18" s="251" t="s">
        <v>83</v>
      </c>
      <c r="S18" s="323"/>
      <c r="T18" s="323"/>
      <c r="U18" s="324"/>
    </row>
    <row r="19" spans="2:27" ht="20.100000000000001" customHeight="1" x14ac:dyDescent="0.3">
      <c r="B19" s="281"/>
      <c r="C19" s="469"/>
      <c r="D19" s="470"/>
      <c r="E19" s="292"/>
      <c r="F19" s="179"/>
      <c r="G19" s="297"/>
      <c r="J19" s="230"/>
      <c r="K19" s="193"/>
      <c r="M19" s="28" t="s">
        <v>174</v>
      </c>
      <c r="N19" s="213">
        <v>1</v>
      </c>
      <c r="O19" s="131"/>
      <c r="Q19" s="24">
        <f>Q17+28</f>
        <v>46314</v>
      </c>
      <c r="R19" s="261" t="s">
        <v>53</v>
      </c>
      <c r="S19" s="261"/>
      <c r="T19" s="261"/>
      <c r="U19" s="262"/>
      <c r="Y19" s="149" t="s">
        <v>267</v>
      </c>
      <c r="Z19" s="150"/>
      <c r="AA19" s="151"/>
    </row>
    <row r="20" spans="2:27" ht="20.100000000000001" customHeight="1" thickBot="1" x14ac:dyDescent="0.35">
      <c r="B20" s="281"/>
      <c r="C20" s="469"/>
      <c r="D20" s="470"/>
      <c r="E20" s="292"/>
      <c r="F20" s="179"/>
      <c r="G20" s="297"/>
      <c r="J20" s="230"/>
      <c r="K20" s="193"/>
      <c r="M20" s="54" t="s">
        <v>74</v>
      </c>
      <c r="N20" s="214">
        <f>SUM(N10:N19)</f>
        <v>18.5</v>
      </c>
      <c r="O20" s="215"/>
      <c r="Q20" s="52" t="s">
        <v>52</v>
      </c>
      <c r="R20" s="251" t="s">
        <v>84</v>
      </c>
      <c r="S20" s="252"/>
      <c r="T20" s="252"/>
      <c r="U20" s="253"/>
      <c r="Y20" s="152" t="s">
        <v>268</v>
      </c>
      <c r="Z20" s="153"/>
      <c r="AA20" s="154"/>
    </row>
    <row r="21" spans="2:27" ht="20.100000000000001" customHeight="1" thickTop="1" thickBot="1" x14ac:dyDescent="0.35">
      <c r="B21" s="471"/>
      <c r="C21" s="472"/>
      <c r="D21" s="473"/>
      <c r="E21" s="300"/>
      <c r="F21" s="322"/>
      <c r="G21" s="298"/>
      <c r="J21" s="231"/>
      <c r="K21" s="194"/>
      <c r="M21" s="29"/>
      <c r="N21" s="30"/>
      <c r="O21" s="31"/>
      <c r="Q21" s="24">
        <f>Q19+7</f>
        <v>46321</v>
      </c>
      <c r="R21" s="261" t="s">
        <v>53</v>
      </c>
      <c r="S21" s="261"/>
      <c r="T21" s="261"/>
      <c r="U21" s="262"/>
      <c r="Y21" s="155"/>
      <c r="Z21" s="153"/>
      <c r="AA21" s="154"/>
    </row>
    <row r="22" spans="2:27" ht="19.5" customHeight="1" thickBot="1" x14ac:dyDescent="0.35">
      <c r="K22" s="51"/>
      <c r="M22"/>
      <c r="N22"/>
      <c r="O22" s="19" t="s">
        <v>18</v>
      </c>
      <c r="Q22" s="52" t="s">
        <v>52</v>
      </c>
      <c r="R22" s="251" t="s">
        <v>83</v>
      </c>
      <c r="S22" s="252"/>
      <c r="T22" s="252"/>
      <c r="U22" s="253"/>
      <c r="Y22" s="156"/>
      <c r="Z22" s="157"/>
      <c r="AA22" s="158"/>
    </row>
    <row r="23" spans="2:27" ht="20.100000000000001" customHeight="1" thickBot="1" x14ac:dyDescent="0.35">
      <c r="B23" s="173" t="s">
        <v>64</v>
      </c>
      <c r="C23" s="174"/>
      <c r="D23" s="174"/>
      <c r="E23" s="182" t="s">
        <v>43</v>
      </c>
      <c r="F23" s="203"/>
      <c r="G23" s="183" t="s">
        <v>44</v>
      </c>
      <c r="H23" s="183"/>
      <c r="I23" s="184"/>
      <c r="J23" s="294" t="s">
        <v>45</v>
      </c>
      <c r="K23" s="295"/>
      <c r="M23" s="273" t="s">
        <v>17</v>
      </c>
      <c r="N23" s="274"/>
      <c r="O23" s="275"/>
      <c r="Q23" s="24">
        <f>Q21+7</f>
        <v>46328</v>
      </c>
      <c r="R23" s="261" t="s">
        <v>53</v>
      </c>
      <c r="S23" s="261"/>
      <c r="T23" s="261"/>
      <c r="U23" s="262"/>
    </row>
    <row r="24" spans="2:27" ht="20.100000000000001" customHeight="1" thickBot="1" x14ac:dyDescent="0.35">
      <c r="B24" s="166"/>
      <c r="C24" s="167"/>
      <c r="D24" s="167"/>
      <c r="E24" s="195" t="s">
        <v>47</v>
      </c>
      <c r="F24" s="196"/>
      <c r="G24" s="177" t="s">
        <v>40</v>
      </c>
      <c r="H24" s="177"/>
      <c r="I24" s="177"/>
      <c r="J24" s="293" t="s">
        <v>61</v>
      </c>
      <c r="K24" s="122"/>
      <c r="M24" s="236" t="s">
        <v>100</v>
      </c>
      <c r="N24" s="266"/>
      <c r="O24" s="267"/>
      <c r="Q24" s="52" t="s">
        <v>52</v>
      </c>
      <c r="R24" s="251" t="s">
        <v>83</v>
      </c>
      <c r="S24" s="252"/>
      <c r="T24" s="252"/>
      <c r="U24" s="253"/>
      <c r="Y24" s="159" t="s">
        <v>269</v>
      </c>
      <c r="Z24" s="160"/>
      <c r="AA24" s="161"/>
    </row>
    <row r="25" spans="2:27" s="9" customFormat="1" ht="20.100000000000001" customHeight="1" x14ac:dyDescent="0.3">
      <c r="B25" s="279" t="s">
        <v>65</v>
      </c>
      <c r="C25" s="280"/>
      <c r="D25" s="280"/>
      <c r="E25" s="189" t="s">
        <v>36</v>
      </c>
      <c r="F25" s="191" t="s">
        <v>35</v>
      </c>
      <c r="G25" s="170" t="s">
        <v>30</v>
      </c>
      <c r="H25" s="178" t="s">
        <v>31</v>
      </c>
      <c r="I25" s="218" t="s">
        <v>34</v>
      </c>
      <c r="J25" s="198" t="s">
        <v>28</v>
      </c>
      <c r="K25" s="221" t="s">
        <v>29</v>
      </c>
      <c r="M25" s="268"/>
      <c r="N25" s="269"/>
      <c r="O25" s="267"/>
      <c r="Q25" s="24">
        <f>Q23+7</f>
        <v>46335</v>
      </c>
      <c r="R25" s="261" t="s">
        <v>55</v>
      </c>
      <c r="S25" s="261"/>
      <c r="T25" s="261"/>
      <c r="U25" s="262"/>
      <c r="Y25" s="112" t="s">
        <v>270</v>
      </c>
      <c r="Z25" s="162">
        <v>3</v>
      </c>
      <c r="AA25" s="163"/>
    </row>
    <row r="26" spans="2:27" s="9" customFormat="1" ht="20.100000000000001" customHeight="1" thickBot="1" x14ac:dyDescent="0.35">
      <c r="B26" s="239"/>
      <c r="C26" s="237"/>
      <c r="D26" s="237"/>
      <c r="E26" s="197"/>
      <c r="F26" s="192"/>
      <c r="G26" s="171"/>
      <c r="H26" s="179"/>
      <c r="I26" s="225"/>
      <c r="J26" s="292"/>
      <c r="K26" s="232"/>
      <c r="M26" s="270"/>
      <c r="N26" s="271"/>
      <c r="O26" s="272"/>
      <c r="Q26" s="52" t="s">
        <v>54</v>
      </c>
      <c r="R26" s="251" t="s">
        <v>83</v>
      </c>
      <c r="S26" s="252"/>
      <c r="T26" s="252"/>
      <c r="U26" s="253"/>
      <c r="Y26" s="113" t="s">
        <v>271</v>
      </c>
      <c r="Z26" s="121">
        <v>3</v>
      </c>
      <c r="AA26" s="122"/>
    </row>
    <row r="27" spans="2:27" s="9" customFormat="1" ht="20.100000000000001" customHeight="1" thickBot="1" x14ac:dyDescent="0.35">
      <c r="B27" s="239"/>
      <c r="C27" s="237"/>
      <c r="D27" s="237"/>
      <c r="E27" s="197"/>
      <c r="F27" s="193"/>
      <c r="G27" s="171"/>
      <c r="H27" s="179"/>
      <c r="I27" s="225"/>
      <c r="J27" s="292"/>
      <c r="K27" s="232"/>
      <c r="Q27" s="24">
        <f>Q25+7</f>
        <v>46342</v>
      </c>
      <c r="R27" s="261" t="s">
        <v>55</v>
      </c>
      <c r="S27" s="261"/>
      <c r="T27" s="261"/>
      <c r="U27" s="262"/>
      <c r="Y27" s="113" t="s">
        <v>272</v>
      </c>
      <c r="Z27" s="121">
        <v>3</v>
      </c>
      <c r="AA27" s="122"/>
    </row>
    <row r="28" spans="2:27" s="9" customFormat="1" ht="20.100000000000001" customHeight="1" thickBot="1" x14ac:dyDescent="0.35">
      <c r="B28" s="281" t="s">
        <v>66</v>
      </c>
      <c r="C28" s="237"/>
      <c r="D28" s="237"/>
      <c r="E28" s="198" t="s">
        <v>62</v>
      </c>
      <c r="F28" s="193"/>
      <c r="G28" s="170" t="s">
        <v>33</v>
      </c>
      <c r="H28" s="178" t="s">
        <v>32</v>
      </c>
      <c r="I28" s="226"/>
      <c r="J28" s="189" t="s">
        <v>67</v>
      </c>
      <c r="K28" s="222"/>
      <c r="M28" s="102" t="s">
        <v>16</v>
      </c>
      <c r="N28" s="103"/>
      <c r="O28" s="104"/>
      <c r="Q28" s="52" t="s">
        <v>153</v>
      </c>
      <c r="R28" s="251" t="s">
        <v>115</v>
      </c>
      <c r="S28" s="252"/>
      <c r="T28" s="252"/>
      <c r="U28" s="253"/>
      <c r="Y28" s="113" t="s">
        <v>273</v>
      </c>
      <c r="Z28" s="121">
        <v>2</v>
      </c>
      <c r="AA28" s="122"/>
    </row>
    <row r="29" spans="2:27" s="9" customFormat="1" ht="20.100000000000001" customHeight="1" x14ac:dyDescent="0.3">
      <c r="B29" s="239"/>
      <c r="C29" s="237"/>
      <c r="D29" s="237"/>
      <c r="E29" s="199"/>
      <c r="F29" s="193"/>
      <c r="G29" s="171"/>
      <c r="H29" s="180"/>
      <c r="I29" s="226"/>
      <c r="J29" s="216"/>
      <c r="K29" s="222"/>
      <c r="M29" s="236" t="s">
        <v>258</v>
      </c>
      <c r="N29" s="237"/>
      <c r="O29" s="238"/>
      <c r="Q29" s="24">
        <f>Q27+7</f>
        <v>46349</v>
      </c>
      <c r="R29" s="261" t="s">
        <v>56</v>
      </c>
      <c r="S29" s="261"/>
      <c r="T29" s="261"/>
      <c r="U29" s="262"/>
      <c r="Y29" s="113" t="s">
        <v>274</v>
      </c>
      <c r="Z29" s="121">
        <v>1</v>
      </c>
      <c r="AA29" s="122"/>
    </row>
    <row r="30" spans="2:27" s="9" customFormat="1" ht="20.100000000000001" customHeight="1" thickBot="1" x14ac:dyDescent="0.35">
      <c r="B30" s="240"/>
      <c r="C30" s="241"/>
      <c r="D30" s="241"/>
      <c r="E30" s="200"/>
      <c r="F30" s="194"/>
      <c r="G30" s="172"/>
      <c r="H30" s="181"/>
      <c r="I30" s="227"/>
      <c r="J30" s="217"/>
      <c r="K30" s="233"/>
      <c r="M30" s="239"/>
      <c r="N30" s="237"/>
      <c r="O30" s="238"/>
      <c r="Q30" s="52" t="s">
        <v>79</v>
      </c>
      <c r="R30" s="251" t="s">
        <v>115</v>
      </c>
      <c r="S30" s="252"/>
      <c r="T30" s="252"/>
      <c r="U30" s="253"/>
      <c r="Y30" s="113" t="s">
        <v>275</v>
      </c>
      <c r="Z30" s="121">
        <v>1</v>
      </c>
      <c r="AA30" s="122"/>
    </row>
    <row r="31" spans="2:27" s="9" customFormat="1" ht="19.5" customHeight="1" thickBot="1" x14ac:dyDescent="0.35">
      <c r="M31" s="240"/>
      <c r="N31" s="241"/>
      <c r="O31" s="242"/>
      <c r="Q31" s="24">
        <f>Q29+7</f>
        <v>46356</v>
      </c>
      <c r="R31" s="261" t="s">
        <v>56</v>
      </c>
      <c r="S31" s="261"/>
      <c r="T31" s="261"/>
      <c r="U31" s="262"/>
      <c r="Y31" s="114" t="s">
        <v>276</v>
      </c>
      <c r="Z31" s="123">
        <f>SUM(Z25:AA30)</f>
        <v>13</v>
      </c>
      <c r="AA31" s="124"/>
    </row>
    <row r="32" spans="2:27" s="9" customFormat="1" ht="20.100000000000001" customHeight="1" thickBot="1" x14ac:dyDescent="0.3">
      <c r="B32" s="173" t="s">
        <v>73</v>
      </c>
      <c r="C32" s="174"/>
      <c r="D32" s="174"/>
      <c r="E32" s="182" t="s">
        <v>58</v>
      </c>
      <c r="F32" s="183"/>
      <c r="G32" s="184"/>
      <c r="H32" s="185"/>
      <c r="I32" s="182" t="s">
        <v>174</v>
      </c>
      <c r="J32" s="203"/>
      <c r="L32"/>
      <c r="Q32" s="52" t="s">
        <v>79</v>
      </c>
      <c r="R32" s="251" t="s">
        <v>115</v>
      </c>
      <c r="S32" s="252"/>
      <c r="T32" s="252"/>
      <c r="U32" s="253"/>
    </row>
    <row r="33" spans="2:27" ht="20.100000000000001" customHeight="1" x14ac:dyDescent="0.3">
      <c r="B33" s="175"/>
      <c r="C33" s="176"/>
      <c r="D33" s="176"/>
      <c r="E33" s="186" t="s">
        <v>60</v>
      </c>
      <c r="F33" s="187"/>
      <c r="G33" s="187"/>
      <c r="H33" s="188"/>
      <c r="I33" s="204" t="s">
        <v>175</v>
      </c>
      <c r="J33" s="205"/>
      <c r="L33" s="17"/>
      <c r="M33" s="32" t="s">
        <v>5</v>
      </c>
      <c r="N33" s="33"/>
      <c r="O33" s="34"/>
      <c r="Q33" s="24">
        <f>Q31+7</f>
        <v>46363</v>
      </c>
      <c r="R33" s="261" t="s">
        <v>56</v>
      </c>
      <c r="S33" s="261"/>
      <c r="T33" s="261"/>
      <c r="U33" s="262"/>
      <c r="Y33" s="125" t="s">
        <v>277</v>
      </c>
      <c r="Z33" s="126"/>
      <c r="AA33" s="127"/>
    </row>
    <row r="34" spans="2:27" ht="20.100000000000001" customHeight="1" thickBot="1" x14ac:dyDescent="0.35">
      <c r="B34" s="164" t="s">
        <v>72</v>
      </c>
      <c r="C34" s="165"/>
      <c r="D34" s="165"/>
      <c r="E34" s="189" t="s">
        <v>63</v>
      </c>
      <c r="F34" s="212" t="s">
        <v>107</v>
      </c>
      <c r="G34" s="201" t="s">
        <v>70</v>
      </c>
      <c r="H34" s="221" t="s">
        <v>22</v>
      </c>
      <c r="I34" s="206" t="s">
        <v>167</v>
      </c>
      <c r="J34" s="207"/>
      <c r="L34" s="18"/>
      <c r="M34" s="35" t="s">
        <v>6</v>
      </c>
      <c r="N34" s="332">
        <v>44866</v>
      </c>
      <c r="O34" s="333"/>
      <c r="Q34" s="52" t="s">
        <v>79</v>
      </c>
      <c r="R34" s="251" t="s">
        <v>115</v>
      </c>
      <c r="S34" s="252"/>
      <c r="T34" s="252"/>
      <c r="U34" s="253"/>
      <c r="Y34" s="115" t="s">
        <v>278</v>
      </c>
      <c r="Z34" s="128">
        <v>3</v>
      </c>
      <c r="AA34" s="129"/>
    </row>
    <row r="35" spans="2:27" ht="20.100000000000001" customHeight="1" x14ac:dyDescent="0.3">
      <c r="B35" s="166"/>
      <c r="C35" s="167"/>
      <c r="D35" s="167"/>
      <c r="E35" s="190"/>
      <c r="F35" s="179"/>
      <c r="G35" s="202"/>
      <c r="H35" s="222"/>
      <c r="I35" s="208"/>
      <c r="J35" s="209"/>
      <c r="L35" s="18"/>
      <c r="M35" s="35" t="s">
        <v>7</v>
      </c>
      <c r="N35" s="332">
        <v>45023</v>
      </c>
      <c r="O35" s="333"/>
      <c r="Q35" s="24">
        <f>Q33+7</f>
        <v>46370</v>
      </c>
      <c r="R35" s="261" t="s">
        <v>56</v>
      </c>
      <c r="S35" s="261"/>
      <c r="T35" s="261"/>
      <c r="U35" s="262"/>
      <c r="Y35" s="116" t="s">
        <v>279</v>
      </c>
      <c r="Z35" s="130">
        <v>2</v>
      </c>
      <c r="AA35" s="131"/>
    </row>
    <row r="36" spans="2:27" ht="20.100000000000001" customHeight="1" thickBot="1" x14ac:dyDescent="0.35">
      <c r="B36" s="166"/>
      <c r="C36" s="167"/>
      <c r="D36" s="167"/>
      <c r="E36" s="190"/>
      <c r="F36" s="179"/>
      <c r="G36" s="202"/>
      <c r="H36" s="222"/>
      <c r="I36" s="208"/>
      <c r="J36" s="209"/>
      <c r="L36" s="18"/>
      <c r="M36" s="35" t="s">
        <v>8</v>
      </c>
      <c r="N36" s="332">
        <v>45026</v>
      </c>
      <c r="O36" s="333"/>
      <c r="Q36" s="52" t="s">
        <v>79</v>
      </c>
      <c r="R36" s="251" t="s">
        <v>115</v>
      </c>
      <c r="S36" s="252"/>
      <c r="T36" s="252"/>
      <c r="U36" s="253"/>
      <c r="Y36" s="116" t="s">
        <v>280</v>
      </c>
      <c r="Z36" s="130">
        <v>3</v>
      </c>
      <c r="AA36" s="131"/>
    </row>
    <row r="37" spans="2:27" ht="20.100000000000001" customHeight="1" x14ac:dyDescent="0.3">
      <c r="B37" s="166"/>
      <c r="C37" s="167"/>
      <c r="D37" s="167"/>
      <c r="E37" s="189" t="s">
        <v>38</v>
      </c>
      <c r="F37" s="178" t="s">
        <v>68</v>
      </c>
      <c r="G37" s="218" t="s">
        <v>69</v>
      </c>
      <c r="H37" s="223" t="s">
        <v>71</v>
      </c>
      <c r="I37" s="208"/>
      <c r="J37" s="209"/>
      <c r="L37" s="18"/>
      <c r="M37" s="36" t="s">
        <v>9</v>
      </c>
      <c r="N37" s="332">
        <v>45064</v>
      </c>
      <c r="O37" s="333"/>
      <c r="Q37" s="24">
        <f>Q35+21</f>
        <v>46391</v>
      </c>
      <c r="R37" s="328" t="s">
        <v>57</v>
      </c>
      <c r="S37" s="329"/>
      <c r="T37" s="329"/>
      <c r="U37" s="330"/>
      <c r="Y37" s="116" t="s">
        <v>281</v>
      </c>
      <c r="Z37" s="130">
        <v>2</v>
      </c>
      <c r="AA37" s="131"/>
    </row>
    <row r="38" spans="2:27" ht="20.100000000000001" customHeight="1" thickBot="1" x14ac:dyDescent="0.35">
      <c r="B38" s="166"/>
      <c r="C38" s="167"/>
      <c r="D38" s="167"/>
      <c r="E38" s="216"/>
      <c r="F38" s="180"/>
      <c r="G38" s="219"/>
      <c r="H38" s="223"/>
      <c r="I38" s="208"/>
      <c r="J38" s="209"/>
      <c r="L38" s="18"/>
      <c r="M38" s="37" t="s">
        <v>10</v>
      </c>
      <c r="N38" s="334">
        <v>45075</v>
      </c>
      <c r="O38" s="335"/>
      <c r="Q38" s="55">
        <v>5.0999999999999996</v>
      </c>
      <c r="R38" s="331"/>
      <c r="S38" s="237"/>
      <c r="T38" s="237"/>
      <c r="U38" s="238"/>
      <c r="Y38" s="117" t="s">
        <v>282</v>
      </c>
      <c r="Z38" s="132">
        <v>3</v>
      </c>
      <c r="AA38" s="133"/>
    </row>
    <row r="39" spans="2:27" ht="20.100000000000001" customHeight="1" thickBot="1" x14ac:dyDescent="0.35">
      <c r="B39" s="168"/>
      <c r="C39" s="169"/>
      <c r="D39" s="169"/>
      <c r="E39" s="217"/>
      <c r="F39" s="181"/>
      <c r="G39" s="220"/>
      <c r="H39" s="224"/>
      <c r="I39" s="210"/>
      <c r="J39" s="211"/>
      <c r="L39"/>
      <c r="M39" s="13"/>
      <c r="N39" s="13"/>
      <c r="O39" s="13"/>
      <c r="Q39" s="57">
        <f>Q37+7</f>
        <v>46398</v>
      </c>
      <c r="R39" s="325" t="s">
        <v>85</v>
      </c>
      <c r="S39" s="326"/>
      <c r="T39" s="326"/>
      <c r="U39" s="327"/>
      <c r="Y39" s="118" t="s">
        <v>276</v>
      </c>
      <c r="Z39" s="119">
        <f>SUM(Z34:AA38)</f>
        <v>13</v>
      </c>
      <c r="AA39" s="120"/>
    </row>
    <row r="40" spans="2:27" ht="5.0999999999999996" customHeight="1" thickBot="1" x14ac:dyDescent="0.35"/>
    <row r="41" spans="2:27" s="16" customFormat="1" ht="12.6" customHeight="1" thickBot="1" x14ac:dyDescent="0.3">
      <c r="B41" s="45" t="s">
        <v>11</v>
      </c>
      <c r="C41" s="46"/>
      <c r="D41" s="46"/>
      <c r="E41" s="46"/>
      <c r="F41" s="46"/>
      <c r="G41" s="47"/>
      <c r="H41" s="46"/>
      <c r="I41" s="46"/>
      <c r="J41" s="48"/>
      <c r="K41" s="46" t="s">
        <v>12</v>
      </c>
      <c r="L41" s="47"/>
      <c r="M41" s="46"/>
      <c r="N41" s="46"/>
      <c r="O41" s="49"/>
      <c r="P41" s="46"/>
      <c r="Q41" s="48"/>
      <c r="R41" s="49"/>
      <c r="S41" s="49"/>
      <c r="T41" s="46"/>
      <c r="U41" s="50"/>
    </row>
    <row r="42" spans="2:27" s="9" customFormat="1" ht="20.100000000000001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 s="13"/>
      <c r="R42"/>
      <c r="S42"/>
      <c r="T42"/>
    </row>
    <row r="43" spans="2:27" ht="15" customHeight="1" x14ac:dyDescent="0.3">
      <c r="P43"/>
      <c r="Q43"/>
      <c r="R43"/>
    </row>
    <row r="44" spans="2:27" ht="15" customHeight="1" x14ac:dyDescent="0.3">
      <c r="P44"/>
      <c r="Q44"/>
      <c r="R44"/>
    </row>
    <row r="45" spans="2:27" ht="15" customHeight="1" x14ac:dyDescent="0.3">
      <c r="K45" s="53"/>
      <c r="L45" s="17"/>
      <c r="M45" s="17"/>
      <c r="P45"/>
      <c r="Q45"/>
      <c r="R45"/>
    </row>
    <row r="47" spans="2:27" ht="15" customHeight="1" x14ac:dyDescent="0.3">
      <c r="K47" s="12"/>
      <c r="Q47" s="1"/>
    </row>
    <row r="48" spans="2:27" ht="15" customHeight="1" x14ac:dyDescent="0.3">
      <c r="K48" s="12"/>
      <c r="Q48" s="1"/>
    </row>
  </sheetData>
  <mergeCells count="140">
    <mergeCell ref="R39:U39"/>
    <mergeCell ref="R37:U38"/>
    <mergeCell ref="N37:O37"/>
    <mergeCell ref="N38:O38"/>
    <mergeCell ref="R32:U32"/>
    <mergeCell ref="R33:U33"/>
    <mergeCell ref="N36:O36"/>
    <mergeCell ref="N34:O34"/>
    <mergeCell ref="N35:O35"/>
    <mergeCell ref="R34:U34"/>
    <mergeCell ref="R35:U35"/>
    <mergeCell ref="R36:U36"/>
    <mergeCell ref="R31:U31"/>
    <mergeCell ref="J3:K3"/>
    <mergeCell ref="G6:H6"/>
    <mergeCell ref="H3:I3"/>
    <mergeCell ref="B3:G3"/>
    <mergeCell ref="E13:G13"/>
    <mergeCell ref="H13:I13"/>
    <mergeCell ref="B5:D6"/>
    <mergeCell ref="B7:D12"/>
    <mergeCell ref="E5:F5"/>
    <mergeCell ref="I5:K5"/>
    <mergeCell ref="G5:H5"/>
    <mergeCell ref="E7:F12"/>
    <mergeCell ref="R5:U5"/>
    <mergeCell ref="R6:U6"/>
    <mergeCell ref="R27:U27"/>
    <mergeCell ref="F16:F21"/>
    <mergeCell ref="B16:D21"/>
    <mergeCell ref="B23:D24"/>
    <mergeCell ref="R22:U22"/>
    <mergeCell ref="R18:U18"/>
    <mergeCell ref="R19:U19"/>
    <mergeCell ref="R20:U20"/>
    <mergeCell ref="R30:U30"/>
    <mergeCell ref="B14:D15"/>
    <mergeCell ref="J15:K15"/>
    <mergeCell ref="E6:F6"/>
    <mergeCell ref="B25:D27"/>
    <mergeCell ref="B28:D30"/>
    <mergeCell ref="K10:K12"/>
    <mergeCell ref="J10:J12"/>
    <mergeCell ref="I6:K6"/>
    <mergeCell ref="I7:I12"/>
    <mergeCell ref="J7:J9"/>
    <mergeCell ref="K7:K9"/>
    <mergeCell ref="G7:H12"/>
    <mergeCell ref="J14:K14"/>
    <mergeCell ref="J25:J27"/>
    <mergeCell ref="J28:J30"/>
    <mergeCell ref="J24:K24"/>
    <mergeCell ref="J23:K23"/>
    <mergeCell ref="E14:G14"/>
    <mergeCell ref="E15:G15"/>
    <mergeCell ref="G16:G21"/>
    <mergeCell ref="E16:E21"/>
    <mergeCell ref="Q1:T1"/>
    <mergeCell ref="M29:O31"/>
    <mergeCell ref="M6:O9"/>
    <mergeCell ref="R16:U16"/>
    <mergeCell ref="R17:U17"/>
    <mergeCell ref="R11:U11"/>
    <mergeCell ref="R12:U12"/>
    <mergeCell ref="R13:U13"/>
    <mergeCell ref="R14:U14"/>
    <mergeCell ref="R7:U7"/>
    <mergeCell ref="R8:U8"/>
    <mergeCell ref="R9:U9"/>
    <mergeCell ref="R10:U10"/>
    <mergeCell ref="R23:U23"/>
    <mergeCell ref="M5:O5"/>
    <mergeCell ref="R29:U29"/>
    <mergeCell ref="M24:O26"/>
    <mergeCell ref="R15:U15"/>
    <mergeCell ref="R21:U21"/>
    <mergeCell ref="R28:U28"/>
    <mergeCell ref="R24:U24"/>
    <mergeCell ref="R25:U25"/>
    <mergeCell ref="R26:U26"/>
    <mergeCell ref="M23:O23"/>
    <mergeCell ref="N18:O18"/>
    <mergeCell ref="N20:O20"/>
    <mergeCell ref="N10:O10"/>
    <mergeCell ref="N11:O11"/>
    <mergeCell ref="N12:O12"/>
    <mergeCell ref="N13:O13"/>
    <mergeCell ref="N14:O14"/>
    <mergeCell ref="E37:E39"/>
    <mergeCell ref="G37:G39"/>
    <mergeCell ref="H34:H36"/>
    <mergeCell ref="H37:H39"/>
    <mergeCell ref="I25:I30"/>
    <mergeCell ref="G23:I23"/>
    <mergeCell ref="E23:F23"/>
    <mergeCell ref="N15:O15"/>
    <mergeCell ref="N16:O16"/>
    <mergeCell ref="N17:O17"/>
    <mergeCell ref="N19:O19"/>
    <mergeCell ref="J16:K21"/>
    <mergeCell ref="K25:K30"/>
    <mergeCell ref="B34:D39"/>
    <mergeCell ref="G28:G30"/>
    <mergeCell ref="G25:G27"/>
    <mergeCell ref="B32:D33"/>
    <mergeCell ref="G24:I24"/>
    <mergeCell ref="H25:H27"/>
    <mergeCell ref="H28:H30"/>
    <mergeCell ref="F37:F39"/>
    <mergeCell ref="E32:H32"/>
    <mergeCell ref="E33:H33"/>
    <mergeCell ref="E34:E36"/>
    <mergeCell ref="F25:F30"/>
    <mergeCell ref="E24:F24"/>
    <mergeCell ref="E25:E27"/>
    <mergeCell ref="E28:E30"/>
    <mergeCell ref="G34:G36"/>
    <mergeCell ref="I32:J32"/>
    <mergeCell ref="I33:J33"/>
    <mergeCell ref="I34:J39"/>
    <mergeCell ref="F34:F36"/>
    <mergeCell ref="Y10:AA10"/>
    <mergeCell ref="Y11:AA17"/>
    <mergeCell ref="Y19:AA19"/>
    <mergeCell ref="Y20:AA22"/>
    <mergeCell ref="Y24:AA24"/>
    <mergeCell ref="Z25:AA25"/>
    <mergeCell ref="Z26:AA26"/>
    <mergeCell ref="Z27:AA27"/>
    <mergeCell ref="Z28:AA28"/>
    <mergeCell ref="Z39:AA39"/>
    <mergeCell ref="Z29:AA29"/>
    <mergeCell ref="Z30:AA30"/>
    <mergeCell ref="Z31:AA31"/>
    <mergeCell ref="Y33:AA33"/>
    <mergeCell ref="Z34:AA34"/>
    <mergeCell ref="Z35:AA35"/>
    <mergeCell ref="Z36:AA36"/>
    <mergeCell ref="Z37:AA37"/>
    <mergeCell ref="Z38:AA38"/>
  </mergeCells>
  <phoneticPr fontId="21" type="noConversion"/>
  <pageMargins left="0.23622047244094491" right="0.23622047244094491" top="0.31496062992125984" bottom="0.74803149606299213" header="0.31496062992125984" footer="0.31496062992125984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7DEE-9E3E-4F7F-9AD9-097842E0764D}">
  <dimension ref="B1:L48"/>
  <sheetViews>
    <sheetView workbookViewId="0">
      <selection activeCell="E1" sqref="E1:F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Kompetenzraster!Q5</f>
        <v>46244</v>
      </c>
      <c r="F1" s="341"/>
      <c r="G1" s="344">
        <v>1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346" t="s">
        <v>94</v>
      </c>
      <c r="C3" s="347"/>
      <c r="D3" s="347"/>
      <c r="E3" s="347"/>
      <c r="F3" s="350">
        <v>5.4</v>
      </c>
      <c r="G3" s="352" t="s">
        <v>87</v>
      </c>
    </row>
    <row r="4" spans="2:12" ht="14.25" customHeight="1" x14ac:dyDescent="0.25">
      <c r="B4" s="348"/>
      <c r="C4" s="349"/>
      <c r="D4" s="349"/>
      <c r="E4" s="349"/>
      <c r="F4" s="351"/>
      <c r="G4" s="353"/>
    </row>
    <row r="5" spans="2:12" ht="15.75" customHeight="1" x14ac:dyDescent="0.3">
      <c r="B5" s="384" t="s">
        <v>88</v>
      </c>
      <c r="C5" s="86" t="s">
        <v>117</v>
      </c>
      <c r="D5" s="75"/>
      <c r="E5" s="75"/>
      <c r="F5" s="61"/>
      <c r="G5" s="62"/>
    </row>
    <row r="6" spans="2:12" ht="15.75" x14ac:dyDescent="0.3">
      <c r="B6" s="385"/>
      <c r="C6" s="65" t="s">
        <v>123</v>
      </c>
      <c r="D6" s="68"/>
      <c r="E6" s="68"/>
      <c r="F6" s="64"/>
      <c r="G6" s="64"/>
    </row>
    <row r="7" spans="2:12" ht="15.75" x14ac:dyDescent="0.3">
      <c r="B7" s="385"/>
      <c r="C7" s="65" t="s">
        <v>124</v>
      </c>
      <c r="F7" s="64"/>
      <c r="G7" s="64"/>
    </row>
    <row r="8" spans="2:12" ht="15.75" x14ac:dyDescent="0.3">
      <c r="B8" s="385"/>
      <c r="C8" s="65" t="s">
        <v>265</v>
      </c>
      <c r="F8" s="64"/>
      <c r="G8" s="67"/>
    </row>
    <row r="9" spans="2:12" x14ac:dyDescent="0.25">
      <c r="B9" s="385"/>
      <c r="C9" s="66"/>
      <c r="F9" s="64"/>
      <c r="G9" s="64"/>
    </row>
    <row r="10" spans="2:12" ht="15.75" x14ac:dyDescent="0.3">
      <c r="B10" s="385"/>
      <c r="C10" s="63" t="s">
        <v>118</v>
      </c>
      <c r="D10" s="68"/>
      <c r="E10" s="68"/>
      <c r="F10" s="64"/>
      <c r="G10" s="64"/>
    </row>
    <row r="11" spans="2:12" ht="15.75" x14ac:dyDescent="0.3">
      <c r="B11" s="385"/>
      <c r="C11" s="65" t="s">
        <v>125</v>
      </c>
      <c r="F11" s="64"/>
      <c r="G11" s="64"/>
    </row>
    <row r="12" spans="2:12" ht="17.25" x14ac:dyDescent="0.3">
      <c r="B12" s="385"/>
      <c r="C12" s="65" t="s">
        <v>260</v>
      </c>
      <c r="F12" s="64"/>
      <c r="G12" s="64"/>
      <c r="L12" s="74"/>
    </row>
    <row r="13" spans="2:12" ht="17.25" x14ac:dyDescent="0.3">
      <c r="B13" s="385"/>
      <c r="C13" s="69"/>
      <c r="D13" s="70"/>
      <c r="E13" s="70"/>
      <c r="F13" s="71"/>
      <c r="G13" s="71"/>
      <c r="L13" s="74"/>
    </row>
    <row r="14" spans="2:12" ht="15.75" customHeight="1" x14ac:dyDescent="0.25">
      <c r="B14" s="386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387"/>
      <c r="C15" s="72" t="s">
        <v>126</v>
      </c>
      <c r="D15" s="60"/>
      <c r="E15" s="60"/>
      <c r="F15" s="60"/>
      <c r="G15" s="61"/>
    </row>
    <row r="16" spans="2:12" ht="15" customHeight="1" x14ac:dyDescent="0.3">
      <c r="B16" s="387"/>
      <c r="C16" s="65" t="s">
        <v>127</v>
      </c>
      <c r="D16" s="68"/>
      <c r="E16" s="68"/>
      <c r="F16" s="68"/>
      <c r="G16" s="67"/>
    </row>
    <row r="17" spans="2:11" ht="15.75" customHeight="1" x14ac:dyDescent="0.3">
      <c r="B17" s="387"/>
      <c r="C17" s="65" t="s">
        <v>128</v>
      </c>
      <c r="G17" s="64"/>
    </row>
    <row r="18" spans="2:11" ht="15" customHeight="1" x14ac:dyDescent="0.25">
      <c r="B18" s="357"/>
      <c r="C18" s="73"/>
      <c r="D18" s="70"/>
      <c r="E18" s="70"/>
      <c r="F18" s="70"/>
      <c r="G18" s="71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95</v>
      </c>
      <c r="C21" s="377"/>
      <c r="D21" s="377"/>
      <c r="E21" s="377"/>
      <c r="F21" s="380">
        <v>5.0999999999999996</v>
      </c>
      <c r="G21" s="382" t="s">
        <v>87</v>
      </c>
      <c r="K21" s="74"/>
    </row>
    <row r="22" spans="2:11" ht="15.75" customHeight="1" x14ac:dyDescent="0.25">
      <c r="B22" s="378"/>
      <c r="C22" s="379"/>
      <c r="D22" s="379"/>
      <c r="E22" s="379"/>
      <c r="F22" s="381"/>
      <c r="G22" s="383"/>
    </row>
    <row r="23" spans="2:11" ht="15.75" x14ac:dyDescent="0.3">
      <c r="B23" s="354" t="s">
        <v>91</v>
      </c>
      <c r="C23" s="58"/>
      <c r="D23" s="59"/>
      <c r="E23" s="60"/>
      <c r="F23" s="61"/>
      <c r="G23" s="62"/>
    </row>
    <row r="24" spans="2:11" x14ac:dyDescent="0.25">
      <c r="B24" s="355"/>
      <c r="C24" s="63" t="s">
        <v>117</v>
      </c>
      <c r="F24" s="64"/>
      <c r="G24" s="64"/>
    </row>
    <row r="25" spans="2:11" ht="15.75" x14ac:dyDescent="0.3">
      <c r="B25" s="355"/>
      <c r="C25" s="65" t="s">
        <v>119</v>
      </c>
      <c r="D25" s="68"/>
      <c r="E25" s="68"/>
      <c r="F25" s="67"/>
      <c r="G25" s="64"/>
    </row>
    <row r="26" spans="2:11" ht="15.75" customHeight="1" x14ac:dyDescent="0.3">
      <c r="B26" s="355"/>
      <c r="C26" s="65"/>
      <c r="F26" s="64"/>
      <c r="G26" s="64"/>
    </row>
    <row r="27" spans="2:11" x14ac:dyDescent="0.25">
      <c r="B27" s="355"/>
      <c r="C27" s="63" t="s">
        <v>118</v>
      </c>
      <c r="F27" s="64"/>
      <c r="G27" s="64"/>
    </row>
    <row r="28" spans="2:11" ht="15.75" x14ac:dyDescent="0.3">
      <c r="B28" s="355"/>
      <c r="C28" s="65" t="s">
        <v>120</v>
      </c>
      <c r="F28" s="64"/>
      <c r="G28" s="64"/>
    </row>
    <row r="29" spans="2:11" ht="15.75" customHeight="1" x14ac:dyDescent="0.3">
      <c r="B29" s="355"/>
      <c r="D29" s="68"/>
      <c r="E29" s="68"/>
      <c r="F29" s="67"/>
      <c r="G29" s="67"/>
    </row>
    <row r="30" spans="2:11" ht="15.75" customHeight="1" x14ac:dyDescent="0.25">
      <c r="B30" s="355"/>
      <c r="C30" s="63" t="s">
        <v>121</v>
      </c>
      <c r="F30" s="64"/>
      <c r="G30" s="64"/>
    </row>
    <row r="31" spans="2:11" ht="15.75" customHeight="1" x14ac:dyDescent="0.3">
      <c r="B31" s="355"/>
      <c r="C31" s="65" t="s">
        <v>122</v>
      </c>
      <c r="F31" s="64"/>
      <c r="G31" s="64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129</v>
      </c>
      <c r="D33" s="68"/>
      <c r="E33" s="68"/>
      <c r="F33" s="68"/>
      <c r="G33" s="67"/>
    </row>
    <row r="34" spans="2:7" ht="15.75" x14ac:dyDescent="0.3">
      <c r="B34" s="356"/>
      <c r="C34" s="65"/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6">
    <mergeCell ref="B23:B35"/>
    <mergeCell ref="C32:G32"/>
    <mergeCell ref="B36:D37"/>
    <mergeCell ref="E36:G37"/>
    <mergeCell ref="C14:G14"/>
    <mergeCell ref="B19:G20"/>
    <mergeCell ref="B21:E22"/>
    <mergeCell ref="F21:F22"/>
    <mergeCell ref="G21:G22"/>
    <mergeCell ref="B5:B18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6CB8-9ADA-4B04-B0E5-DA5A4630595C}">
  <dimension ref="B1:L48"/>
  <sheetViews>
    <sheetView workbookViewId="0">
      <selection activeCell="C23" sqref="C23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Kompetenzraster!Q7</f>
        <v>46251</v>
      </c>
      <c r="F1" s="341"/>
      <c r="G1" s="344">
        <v>2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346" t="s">
        <v>94</v>
      </c>
      <c r="C3" s="347"/>
      <c r="D3" s="347"/>
      <c r="E3" s="347"/>
      <c r="F3" s="350">
        <v>5.4</v>
      </c>
      <c r="G3" s="352" t="s">
        <v>87</v>
      </c>
    </row>
    <row r="4" spans="2:12" ht="14.25" customHeight="1" x14ac:dyDescent="0.25">
      <c r="B4" s="348"/>
      <c r="C4" s="349"/>
      <c r="D4" s="349"/>
      <c r="E4" s="349"/>
      <c r="F4" s="351"/>
      <c r="G4" s="353"/>
    </row>
    <row r="5" spans="2:12" ht="15.75" customHeight="1" x14ac:dyDescent="0.3">
      <c r="B5" s="388" t="s">
        <v>88</v>
      </c>
      <c r="C5" s="58"/>
      <c r="D5" s="75"/>
      <c r="E5" s="75"/>
      <c r="F5" s="61"/>
      <c r="G5" s="62"/>
    </row>
    <row r="6" spans="2:12" x14ac:dyDescent="0.25">
      <c r="B6" s="389"/>
      <c r="C6" s="63" t="s">
        <v>130</v>
      </c>
      <c r="F6" s="64"/>
      <c r="G6" s="64"/>
    </row>
    <row r="7" spans="2:12" ht="15.75" x14ac:dyDescent="0.3">
      <c r="B7" s="389"/>
      <c r="C7" s="65" t="s">
        <v>133</v>
      </c>
      <c r="D7" s="68"/>
      <c r="E7" s="68"/>
      <c r="F7" s="64"/>
      <c r="G7" s="64"/>
    </row>
    <row r="8" spans="2:12" ht="15.75" x14ac:dyDescent="0.3">
      <c r="B8" s="389"/>
      <c r="C8" s="65" t="s">
        <v>134</v>
      </c>
      <c r="F8" s="64"/>
      <c r="G8" s="67"/>
    </row>
    <row r="9" spans="2:12" ht="15.75" x14ac:dyDescent="0.3">
      <c r="B9" s="389"/>
      <c r="C9" s="65" t="s">
        <v>136</v>
      </c>
      <c r="F9" s="64"/>
      <c r="G9" s="64"/>
    </row>
    <row r="10" spans="2:12" ht="15.75" x14ac:dyDescent="0.3">
      <c r="B10" s="389"/>
      <c r="C10" s="65" t="s">
        <v>135</v>
      </c>
      <c r="F10" s="64"/>
      <c r="G10" s="64"/>
    </row>
    <row r="11" spans="2:12" ht="17.25" x14ac:dyDescent="0.3">
      <c r="B11" s="389"/>
      <c r="C11" s="65"/>
      <c r="F11" s="64"/>
      <c r="G11" s="64"/>
      <c r="I11" s="74"/>
    </row>
    <row r="12" spans="2:12" ht="17.25" x14ac:dyDescent="0.3">
      <c r="B12" s="389"/>
      <c r="C12" s="65"/>
      <c r="F12" s="64"/>
      <c r="G12" s="64"/>
      <c r="I12" s="74"/>
      <c r="L12" s="74"/>
    </row>
    <row r="13" spans="2:12" ht="17.25" x14ac:dyDescent="0.3">
      <c r="B13" s="389"/>
      <c r="C13" s="69"/>
      <c r="D13" s="70"/>
      <c r="E13" s="70"/>
      <c r="F13" s="71"/>
      <c r="G13" s="71"/>
      <c r="L13" s="74"/>
    </row>
    <row r="14" spans="2:12" ht="15.75" customHeight="1" x14ac:dyDescent="0.25">
      <c r="B14" s="386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387"/>
      <c r="C15" s="72" t="s">
        <v>137</v>
      </c>
      <c r="D15" s="60"/>
      <c r="E15" s="60"/>
      <c r="F15" s="60"/>
      <c r="G15" s="61"/>
    </row>
    <row r="16" spans="2:12" ht="15" customHeight="1" x14ac:dyDescent="0.3">
      <c r="B16" s="387"/>
      <c r="C16" s="65" t="s">
        <v>127</v>
      </c>
      <c r="D16" s="68"/>
      <c r="E16" s="68"/>
      <c r="F16" s="68"/>
      <c r="G16" s="67"/>
    </row>
    <row r="17" spans="2:11" ht="15.75" customHeight="1" x14ac:dyDescent="0.3">
      <c r="B17" s="387"/>
      <c r="C17" s="65" t="s">
        <v>128</v>
      </c>
      <c r="G17" s="64"/>
    </row>
    <row r="18" spans="2:11" ht="15" customHeight="1" x14ac:dyDescent="0.25">
      <c r="B18" s="357"/>
      <c r="C18" s="73"/>
      <c r="D18" s="70"/>
      <c r="E18" s="70"/>
      <c r="F18" s="70"/>
      <c r="G18" s="71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95</v>
      </c>
      <c r="C21" s="377"/>
      <c r="D21" s="377"/>
      <c r="E21" s="377"/>
      <c r="F21" s="380">
        <v>5.0999999999999996</v>
      </c>
      <c r="G21" s="382" t="s">
        <v>87</v>
      </c>
      <c r="K21" s="74"/>
    </row>
    <row r="22" spans="2:11" ht="15.75" customHeight="1" x14ac:dyDescent="0.25">
      <c r="B22" s="378"/>
      <c r="C22" s="379"/>
      <c r="D22" s="379"/>
      <c r="E22" s="379"/>
      <c r="F22" s="381"/>
      <c r="G22" s="383"/>
    </row>
    <row r="23" spans="2:11" ht="15.75" x14ac:dyDescent="0.3">
      <c r="B23" s="354" t="s">
        <v>91</v>
      </c>
      <c r="C23" s="58"/>
      <c r="D23" s="59"/>
      <c r="E23" s="60"/>
      <c r="F23" s="61"/>
      <c r="G23" s="62"/>
    </row>
    <row r="24" spans="2:11" x14ac:dyDescent="0.25">
      <c r="B24" s="355"/>
      <c r="C24" s="63" t="s">
        <v>130</v>
      </c>
      <c r="F24" s="64"/>
      <c r="G24" s="64"/>
    </row>
    <row r="25" spans="2:11" ht="15.75" x14ac:dyDescent="0.3">
      <c r="B25" s="355"/>
      <c r="C25" s="65" t="s">
        <v>131</v>
      </c>
      <c r="D25" s="68"/>
      <c r="E25" s="68"/>
      <c r="F25" s="67"/>
      <c r="G25" s="64"/>
    </row>
    <row r="26" spans="2:11" ht="15.75" customHeight="1" x14ac:dyDescent="0.3">
      <c r="B26" s="355"/>
      <c r="C26" s="65" t="s">
        <v>132</v>
      </c>
      <c r="F26" s="64"/>
      <c r="G26" s="64"/>
    </row>
    <row r="27" spans="2:11" x14ac:dyDescent="0.25">
      <c r="B27" s="355"/>
      <c r="C27" s="63"/>
      <c r="F27" s="64"/>
      <c r="G27" s="64"/>
    </row>
    <row r="28" spans="2:11" ht="15.75" x14ac:dyDescent="0.3">
      <c r="B28" s="355"/>
      <c r="C28" s="65"/>
      <c r="F28" s="64"/>
      <c r="G28" s="64"/>
    </row>
    <row r="29" spans="2:11" ht="15.75" customHeight="1" x14ac:dyDescent="0.3">
      <c r="B29" s="355"/>
      <c r="D29" s="68"/>
      <c r="E29" s="68"/>
      <c r="F29" s="67"/>
      <c r="G29" s="67"/>
    </row>
    <row r="30" spans="2:11" ht="15.75" customHeight="1" x14ac:dyDescent="0.25">
      <c r="B30" s="355"/>
      <c r="C30" s="63"/>
      <c r="F30" s="64"/>
      <c r="G30" s="64"/>
    </row>
    <row r="31" spans="2:11" ht="15.75" customHeight="1" x14ac:dyDescent="0.3">
      <c r="B31" s="355"/>
      <c r="C31" s="65"/>
      <c r="F31" s="64"/>
      <c r="G31" s="64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129</v>
      </c>
      <c r="D33" s="68"/>
      <c r="E33" s="68"/>
      <c r="F33" s="68"/>
      <c r="G33" s="67"/>
    </row>
    <row r="34" spans="2:7" ht="15.75" x14ac:dyDescent="0.3">
      <c r="B34" s="356"/>
      <c r="C34" s="65"/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6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4:G14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FD02-2EAB-4938-ABA8-A09E4305EC17}">
  <dimension ref="B1:K48"/>
  <sheetViews>
    <sheetView workbookViewId="0">
      <selection activeCell="E1" sqref="E1:F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336" t="s">
        <v>86</v>
      </c>
      <c r="C1" s="337"/>
      <c r="D1" s="337"/>
      <c r="E1" s="340">
        <f>Kompetenzraster!Q9</f>
        <v>46258</v>
      </c>
      <c r="F1" s="341"/>
      <c r="G1" s="344">
        <v>3</v>
      </c>
    </row>
    <row r="2" spans="2:11" x14ac:dyDescent="0.25">
      <c r="B2" s="338"/>
      <c r="C2" s="339"/>
      <c r="D2" s="339"/>
      <c r="E2" s="342"/>
      <c r="F2" s="343"/>
      <c r="G2" s="345"/>
    </row>
    <row r="3" spans="2:11" ht="15.75" customHeight="1" x14ac:dyDescent="0.25">
      <c r="B3" s="346" t="s">
        <v>94</v>
      </c>
      <c r="C3" s="347"/>
      <c r="D3" s="347"/>
      <c r="E3" s="347"/>
      <c r="F3" s="350">
        <v>5.4</v>
      </c>
      <c r="G3" s="352" t="s">
        <v>87</v>
      </c>
    </row>
    <row r="4" spans="2:11" ht="14.25" customHeight="1" x14ac:dyDescent="0.25">
      <c r="B4" s="348"/>
      <c r="C4" s="349"/>
      <c r="D4" s="349"/>
      <c r="E4" s="349"/>
      <c r="F4" s="351"/>
      <c r="G4" s="353"/>
    </row>
    <row r="5" spans="2:11" ht="15.75" customHeight="1" x14ac:dyDescent="0.3">
      <c r="B5" s="388" t="s">
        <v>88</v>
      </c>
      <c r="C5" s="58"/>
      <c r="D5" s="75"/>
      <c r="E5" s="75"/>
      <c r="F5" s="61"/>
      <c r="G5" s="62"/>
    </row>
    <row r="6" spans="2:11" x14ac:dyDescent="0.25">
      <c r="B6" s="389"/>
      <c r="C6" s="63" t="s">
        <v>139</v>
      </c>
      <c r="F6" s="64"/>
      <c r="G6" s="64"/>
    </row>
    <row r="7" spans="2:11" ht="15.75" x14ac:dyDescent="0.3">
      <c r="B7" s="389"/>
      <c r="C7" s="65" t="s">
        <v>141</v>
      </c>
      <c r="D7" s="68"/>
      <c r="E7" s="68"/>
      <c r="F7" s="64"/>
      <c r="G7" s="64"/>
    </row>
    <row r="8" spans="2:11" ht="15.75" x14ac:dyDescent="0.3">
      <c r="B8" s="389"/>
      <c r="C8" s="65" t="s">
        <v>134</v>
      </c>
      <c r="F8" s="64"/>
      <c r="G8" s="67"/>
    </row>
    <row r="9" spans="2:11" ht="15.75" x14ac:dyDescent="0.3">
      <c r="B9" s="389"/>
      <c r="C9" s="65" t="s">
        <v>142</v>
      </c>
      <c r="F9" s="64"/>
      <c r="G9" s="64"/>
    </row>
    <row r="10" spans="2:11" ht="15.75" x14ac:dyDescent="0.3">
      <c r="B10" s="389"/>
      <c r="C10" s="65" t="s">
        <v>143</v>
      </c>
      <c r="F10" s="64"/>
      <c r="G10" s="64"/>
    </row>
    <row r="11" spans="2:11" ht="15.75" x14ac:dyDescent="0.3">
      <c r="B11" s="389"/>
      <c r="C11" s="65"/>
      <c r="F11" s="64"/>
      <c r="G11" s="87" t="s">
        <v>138</v>
      </c>
    </row>
    <row r="12" spans="2:11" ht="17.25" x14ac:dyDescent="0.3">
      <c r="B12" s="389"/>
      <c r="C12" s="65"/>
      <c r="F12" s="64"/>
      <c r="G12" s="64"/>
      <c r="K12" s="74"/>
    </row>
    <row r="13" spans="2:11" ht="17.25" x14ac:dyDescent="0.3">
      <c r="B13" s="389"/>
      <c r="C13" s="69"/>
      <c r="D13" s="70"/>
      <c r="E13" s="70"/>
      <c r="F13" s="71"/>
      <c r="G13" s="71"/>
      <c r="K13" s="74"/>
    </row>
    <row r="14" spans="2:11" ht="15.75" customHeight="1" x14ac:dyDescent="0.25">
      <c r="B14" s="386"/>
      <c r="C14" s="367" t="s">
        <v>89</v>
      </c>
      <c r="D14" s="368"/>
      <c r="E14" s="368"/>
      <c r="F14" s="368"/>
      <c r="G14" s="369"/>
      <c r="K14" s="74"/>
    </row>
    <row r="15" spans="2:11" ht="15" customHeight="1" x14ac:dyDescent="0.3">
      <c r="B15" s="387"/>
      <c r="C15" s="72" t="s">
        <v>137</v>
      </c>
      <c r="D15" s="60"/>
      <c r="E15" s="60"/>
      <c r="F15" s="60"/>
      <c r="G15" s="61"/>
    </row>
    <row r="16" spans="2:11" ht="15" customHeight="1" x14ac:dyDescent="0.3">
      <c r="B16" s="387"/>
      <c r="C16" s="65" t="s">
        <v>127</v>
      </c>
      <c r="D16" s="68"/>
      <c r="E16" s="68"/>
      <c r="F16" s="68"/>
      <c r="G16" s="67"/>
    </row>
    <row r="17" spans="2:10" ht="15.75" customHeight="1" x14ac:dyDescent="0.3">
      <c r="B17" s="387"/>
      <c r="C17" s="65" t="s">
        <v>128</v>
      </c>
      <c r="G17" s="64"/>
    </row>
    <row r="18" spans="2:10" ht="15" customHeight="1" x14ac:dyDescent="0.25">
      <c r="B18" s="357"/>
      <c r="C18" s="73"/>
      <c r="D18" s="70"/>
      <c r="E18" s="70"/>
      <c r="F18" s="70"/>
      <c r="G18" s="71"/>
    </row>
    <row r="19" spans="2:10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0" ht="15" customHeight="1" x14ac:dyDescent="0.25">
      <c r="B20" s="373"/>
      <c r="C20" s="374"/>
      <c r="D20" s="374"/>
      <c r="E20" s="374"/>
      <c r="F20" s="374"/>
      <c r="G20" s="375"/>
    </row>
    <row r="21" spans="2:10" ht="16.5" customHeight="1" x14ac:dyDescent="0.25">
      <c r="B21" s="376" t="s">
        <v>95</v>
      </c>
      <c r="C21" s="377"/>
      <c r="D21" s="377"/>
      <c r="E21" s="377"/>
      <c r="F21" s="380">
        <v>5.0999999999999996</v>
      </c>
      <c r="G21" s="382" t="s">
        <v>87</v>
      </c>
      <c r="J21" s="74"/>
    </row>
    <row r="22" spans="2:10" ht="15.75" customHeight="1" x14ac:dyDescent="0.25">
      <c r="B22" s="378"/>
      <c r="C22" s="379"/>
      <c r="D22" s="379"/>
      <c r="E22" s="379"/>
      <c r="F22" s="381"/>
      <c r="G22" s="383"/>
    </row>
    <row r="23" spans="2:10" ht="15.75" x14ac:dyDescent="0.3">
      <c r="B23" s="354" t="s">
        <v>91</v>
      </c>
      <c r="C23" s="58"/>
      <c r="D23" s="59"/>
      <c r="E23" s="60"/>
      <c r="F23" s="61"/>
      <c r="G23" s="62"/>
    </row>
    <row r="24" spans="2:10" x14ac:dyDescent="0.25">
      <c r="B24" s="355"/>
      <c r="C24" s="63" t="s">
        <v>139</v>
      </c>
      <c r="F24" s="64"/>
      <c r="G24" s="64"/>
    </row>
    <row r="25" spans="2:10" ht="15.75" x14ac:dyDescent="0.3">
      <c r="B25" s="355"/>
      <c r="C25" s="65" t="s">
        <v>140</v>
      </c>
      <c r="D25" s="68"/>
      <c r="E25" s="68"/>
      <c r="F25" s="67"/>
      <c r="G25" s="64"/>
    </row>
    <row r="26" spans="2:10" ht="15.75" customHeight="1" x14ac:dyDescent="0.3">
      <c r="B26" s="355"/>
      <c r="C26" s="65" t="s">
        <v>132</v>
      </c>
      <c r="F26" s="64"/>
      <c r="G26" s="64"/>
    </row>
    <row r="27" spans="2:10" ht="15.75" x14ac:dyDescent="0.3">
      <c r="B27" s="355"/>
      <c r="C27" s="65" t="s">
        <v>144</v>
      </c>
      <c r="F27" s="64"/>
      <c r="G27" s="64"/>
    </row>
    <row r="28" spans="2:10" x14ac:dyDescent="0.25">
      <c r="B28" s="355"/>
      <c r="F28" s="64"/>
      <c r="G28" s="87" t="s">
        <v>138</v>
      </c>
    </row>
    <row r="29" spans="2:10" ht="15.75" customHeight="1" x14ac:dyDescent="0.3">
      <c r="B29" s="355"/>
      <c r="D29" s="68"/>
      <c r="E29" s="68"/>
      <c r="F29" s="67"/>
      <c r="G29" s="67"/>
    </row>
    <row r="30" spans="2:10" ht="15.75" customHeight="1" x14ac:dyDescent="0.25">
      <c r="B30" s="355"/>
      <c r="C30" s="63"/>
      <c r="F30" s="64"/>
      <c r="G30" s="64"/>
    </row>
    <row r="31" spans="2:10" ht="15.75" customHeight="1" x14ac:dyDescent="0.3">
      <c r="B31" s="355"/>
      <c r="C31" s="65"/>
      <c r="F31" s="64"/>
      <c r="G31" s="64"/>
    </row>
    <row r="32" spans="2:10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129</v>
      </c>
      <c r="D33" s="68"/>
      <c r="E33" s="68"/>
      <c r="F33" s="68"/>
      <c r="G33" s="67"/>
    </row>
    <row r="34" spans="2:7" ht="15.75" x14ac:dyDescent="0.3">
      <c r="B34" s="356"/>
      <c r="C34" s="65"/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6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4:G14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410A-A637-4543-BB07-19C45B2B6FA6}">
  <dimension ref="B1:P48"/>
  <sheetViews>
    <sheetView workbookViewId="0">
      <selection activeCell="E1" sqref="E1:F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6" x14ac:dyDescent="0.25">
      <c r="B1" s="336" t="s">
        <v>86</v>
      </c>
      <c r="C1" s="337"/>
      <c r="D1" s="337"/>
      <c r="E1" s="340">
        <f>Kompetenzraster!Q11</f>
        <v>46265</v>
      </c>
      <c r="F1" s="341"/>
      <c r="G1" s="344">
        <v>4</v>
      </c>
    </row>
    <row r="2" spans="2:16" x14ac:dyDescent="0.25">
      <c r="B2" s="338"/>
      <c r="C2" s="339"/>
      <c r="D2" s="339"/>
      <c r="E2" s="342"/>
      <c r="F2" s="343"/>
      <c r="G2" s="345"/>
    </row>
    <row r="3" spans="2:16" ht="15.75" customHeight="1" x14ac:dyDescent="0.25">
      <c r="B3" s="346" t="s">
        <v>82</v>
      </c>
      <c r="C3" s="347"/>
      <c r="D3" s="347"/>
      <c r="E3" s="347"/>
      <c r="F3" s="350">
        <v>5.6</v>
      </c>
      <c r="G3" s="352" t="s">
        <v>87</v>
      </c>
    </row>
    <row r="4" spans="2:16" ht="14.25" customHeight="1" x14ac:dyDescent="0.25">
      <c r="B4" s="348"/>
      <c r="C4" s="349"/>
      <c r="D4" s="349"/>
      <c r="E4" s="349"/>
      <c r="F4" s="351"/>
      <c r="G4" s="353"/>
    </row>
    <row r="5" spans="2:16" ht="15.75" customHeight="1" x14ac:dyDescent="0.25">
      <c r="B5" s="388" t="s">
        <v>88</v>
      </c>
      <c r="C5" s="88" t="s">
        <v>145</v>
      </c>
      <c r="D5" s="89"/>
      <c r="E5" s="89"/>
      <c r="F5" s="90" t="s">
        <v>147</v>
      </c>
      <c r="G5" s="62"/>
    </row>
    <row r="6" spans="2:16" x14ac:dyDescent="0.25">
      <c r="B6" s="389"/>
      <c r="C6" s="88" t="s">
        <v>146</v>
      </c>
      <c r="D6" s="89"/>
      <c r="E6" s="89"/>
      <c r="F6" s="90" t="s">
        <v>147</v>
      </c>
      <c r="G6" s="64"/>
    </row>
    <row r="7" spans="2:16" ht="15.75" x14ac:dyDescent="0.3">
      <c r="B7" s="389"/>
      <c r="C7" s="66"/>
      <c r="D7" s="476"/>
      <c r="E7" s="476"/>
      <c r="F7" s="64"/>
      <c r="G7" s="64"/>
      <c r="M7" s="474"/>
      <c r="N7" s="475"/>
      <c r="O7" s="476"/>
      <c r="P7" s="476"/>
    </row>
    <row r="8" spans="2:16" ht="15.75" x14ac:dyDescent="0.3">
      <c r="B8" s="389"/>
      <c r="C8" s="66"/>
      <c r="D8" s="476"/>
      <c r="E8" s="476"/>
      <c r="F8" s="64"/>
      <c r="G8" s="67"/>
    </row>
    <row r="9" spans="2:16" x14ac:dyDescent="0.25">
      <c r="B9" s="389"/>
      <c r="C9" s="63" t="s">
        <v>148</v>
      </c>
      <c r="D9" s="476"/>
      <c r="E9" s="476"/>
      <c r="F9" s="64"/>
      <c r="G9" s="64"/>
    </row>
    <row r="10" spans="2:16" ht="15.75" x14ac:dyDescent="0.3">
      <c r="B10" s="389"/>
      <c r="C10" s="65" t="s">
        <v>149</v>
      </c>
      <c r="D10" s="476"/>
      <c r="E10" s="476"/>
      <c r="F10" s="64"/>
      <c r="G10" s="64"/>
    </row>
    <row r="11" spans="2:16" ht="17.25" x14ac:dyDescent="0.3">
      <c r="B11" s="389"/>
      <c r="C11" s="65" t="s">
        <v>154</v>
      </c>
      <c r="D11" s="476"/>
      <c r="E11" s="476"/>
      <c r="F11" s="64"/>
      <c r="G11" s="91"/>
      <c r="I11" s="74"/>
    </row>
    <row r="12" spans="2:16" ht="17.25" x14ac:dyDescent="0.3">
      <c r="B12" s="389"/>
      <c r="C12" s="65"/>
      <c r="D12" s="476"/>
      <c r="E12" s="476"/>
      <c r="F12" s="64"/>
      <c r="G12" s="64"/>
      <c r="I12" s="74"/>
      <c r="L12" s="74"/>
    </row>
    <row r="13" spans="2:16" ht="17.25" x14ac:dyDescent="0.3">
      <c r="B13" s="389"/>
      <c r="C13" s="69"/>
      <c r="D13" s="70"/>
      <c r="E13" s="70"/>
      <c r="F13" s="71"/>
      <c r="G13" s="71"/>
      <c r="L13" s="74"/>
    </row>
    <row r="14" spans="2:16" ht="15.75" customHeight="1" x14ac:dyDescent="0.25">
      <c r="B14" s="386"/>
      <c r="C14" s="367" t="s">
        <v>89</v>
      </c>
      <c r="D14" s="368"/>
      <c r="E14" s="368"/>
      <c r="F14" s="368"/>
      <c r="G14" s="369"/>
      <c r="L14" s="74"/>
    </row>
    <row r="15" spans="2:16" ht="15" customHeight="1" x14ac:dyDescent="0.3">
      <c r="B15" s="387"/>
      <c r="C15" s="390" t="s">
        <v>158</v>
      </c>
      <c r="D15" s="391"/>
      <c r="E15" s="391"/>
      <c r="F15" s="391"/>
      <c r="G15" s="392"/>
    </row>
    <row r="16" spans="2:16" ht="15" customHeight="1" x14ac:dyDescent="0.3">
      <c r="B16" s="387"/>
      <c r="C16" s="65"/>
      <c r="D16" s="68"/>
      <c r="E16" s="68"/>
      <c r="F16" s="68"/>
      <c r="G16" s="67"/>
    </row>
    <row r="17" spans="2:11" ht="15.75" customHeight="1" x14ac:dyDescent="0.3">
      <c r="B17" s="387"/>
      <c r="C17" s="65"/>
      <c r="G17" s="64"/>
    </row>
    <row r="18" spans="2:11" ht="15" customHeight="1" x14ac:dyDescent="0.25">
      <c r="B18" s="357"/>
      <c r="C18" s="73"/>
      <c r="D18" s="70"/>
      <c r="E18" s="70"/>
      <c r="F18" s="70"/>
      <c r="G18" s="71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83</v>
      </c>
      <c r="C21" s="377"/>
      <c r="D21" s="377"/>
      <c r="E21" s="377"/>
      <c r="F21" s="380">
        <v>5.2</v>
      </c>
      <c r="G21" s="382" t="s">
        <v>87</v>
      </c>
      <c r="K21" s="74"/>
    </row>
    <row r="22" spans="2:11" ht="15.75" customHeight="1" x14ac:dyDescent="0.25">
      <c r="B22" s="378"/>
      <c r="C22" s="379"/>
      <c r="D22" s="379"/>
      <c r="E22" s="379"/>
      <c r="F22" s="381"/>
      <c r="G22" s="383"/>
    </row>
    <row r="23" spans="2:11" ht="15.75" x14ac:dyDescent="0.3">
      <c r="B23" s="354" t="s">
        <v>91</v>
      </c>
      <c r="C23" s="58"/>
      <c r="D23" s="59"/>
      <c r="E23" s="60"/>
      <c r="F23" s="61"/>
      <c r="G23" s="62"/>
    </row>
    <row r="24" spans="2:11" ht="16.5" x14ac:dyDescent="0.25">
      <c r="B24" s="355"/>
      <c r="C24" s="63" t="s">
        <v>159</v>
      </c>
      <c r="F24" s="64"/>
      <c r="G24" s="64"/>
      <c r="J24" s="74"/>
    </row>
    <row r="25" spans="2:11" ht="17.25" x14ac:dyDescent="0.3">
      <c r="B25" s="355"/>
      <c r="C25" s="65" t="s">
        <v>150</v>
      </c>
      <c r="D25" s="68"/>
      <c r="E25" s="68"/>
      <c r="F25" s="67"/>
      <c r="G25" s="64"/>
      <c r="J25" s="74"/>
    </row>
    <row r="26" spans="2:11" ht="15.75" customHeight="1" x14ac:dyDescent="0.3">
      <c r="B26" s="355"/>
      <c r="C26" s="65" t="s">
        <v>151</v>
      </c>
      <c r="F26" s="64"/>
      <c r="G26" s="64"/>
    </row>
    <row r="27" spans="2:11" ht="15.75" x14ac:dyDescent="0.3">
      <c r="B27" s="355"/>
      <c r="C27" s="65" t="s">
        <v>155</v>
      </c>
      <c r="F27" s="64"/>
      <c r="G27" s="64"/>
    </row>
    <row r="28" spans="2:11" x14ac:dyDescent="0.25">
      <c r="B28" s="355"/>
      <c r="F28" s="64"/>
      <c r="G28" s="64"/>
    </row>
    <row r="29" spans="2:11" ht="15.75" customHeight="1" x14ac:dyDescent="0.3">
      <c r="B29" s="355"/>
      <c r="D29" s="68"/>
      <c r="E29" s="68"/>
      <c r="F29" s="67"/>
      <c r="G29" s="87"/>
    </row>
    <row r="30" spans="2:11" ht="15.75" customHeight="1" x14ac:dyDescent="0.25">
      <c r="B30" s="355"/>
      <c r="C30" s="63"/>
      <c r="F30" s="64"/>
      <c r="G30" s="64"/>
    </row>
    <row r="31" spans="2:11" ht="15.75" customHeight="1" x14ac:dyDescent="0.3">
      <c r="B31" s="355"/>
      <c r="C31" s="65"/>
      <c r="F31" s="64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156</v>
      </c>
      <c r="D33" s="68"/>
      <c r="E33" s="68"/>
      <c r="F33" s="68"/>
      <c r="G33" s="67"/>
    </row>
    <row r="34" spans="2:7" ht="15.75" x14ac:dyDescent="0.3">
      <c r="B34" s="356"/>
      <c r="C34" s="65" t="s">
        <v>157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B23:B35"/>
    <mergeCell ref="C32:G32"/>
    <mergeCell ref="B36:D37"/>
    <mergeCell ref="E36:G37"/>
    <mergeCell ref="C15:G15"/>
    <mergeCell ref="B5:B18"/>
    <mergeCell ref="C14:G14"/>
    <mergeCell ref="B19:G20"/>
    <mergeCell ref="B21:E22"/>
    <mergeCell ref="F21:F22"/>
    <mergeCell ref="G21:G2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2518-94EE-4FF4-AAEC-F0E2734A4AC8}">
  <dimension ref="B1:L48"/>
  <sheetViews>
    <sheetView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Kompetenzraster!Q13</f>
        <v>46272</v>
      </c>
      <c r="F1" s="341"/>
      <c r="G1" s="344">
        <v>5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346" t="s">
        <v>82</v>
      </c>
      <c r="C3" s="347"/>
      <c r="D3" s="347"/>
      <c r="E3" s="347"/>
      <c r="F3" s="350">
        <v>5.6</v>
      </c>
      <c r="G3" s="352" t="s">
        <v>87</v>
      </c>
    </row>
    <row r="4" spans="2:12" ht="14.25" customHeight="1" x14ac:dyDescent="0.25">
      <c r="B4" s="348"/>
      <c r="C4" s="349"/>
      <c r="D4" s="349"/>
      <c r="E4" s="349"/>
      <c r="F4" s="351"/>
      <c r="G4" s="353"/>
    </row>
    <row r="5" spans="2:12" ht="15.75" customHeight="1" x14ac:dyDescent="0.25">
      <c r="B5" s="388" t="s">
        <v>88</v>
      </c>
      <c r="C5" s="92"/>
      <c r="D5" s="93"/>
      <c r="E5" s="93"/>
      <c r="F5" s="94"/>
      <c r="G5" s="62"/>
    </row>
    <row r="6" spans="2:12" x14ac:dyDescent="0.25">
      <c r="B6" s="389"/>
      <c r="C6" s="63" t="s">
        <v>159</v>
      </c>
      <c r="F6" s="95"/>
      <c r="G6" s="64"/>
    </row>
    <row r="7" spans="2:12" ht="15.75" x14ac:dyDescent="0.3">
      <c r="B7" s="389"/>
      <c r="C7" s="65" t="s">
        <v>160</v>
      </c>
      <c r="F7" s="64"/>
      <c r="G7" s="64"/>
    </row>
    <row r="8" spans="2:12" ht="15.75" x14ac:dyDescent="0.3">
      <c r="B8" s="389"/>
      <c r="C8" s="65" t="s">
        <v>165</v>
      </c>
      <c r="F8" s="64"/>
      <c r="G8" s="67"/>
    </row>
    <row r="9" spans="2:12" x14ac:dyDescent="0.25">
      <c r="B9" s="389"/>
      <c r="C9" s="66"/>
      <c r="F9" s="64"/>
      <c r="G9" s="64"/>
    </row>
    <row r="10" spans="2:12" x14ac:dyDescent="0.25">
      <c r="B10" s="389"/>
      <c r="C10" s="63" t="s">
        <v>118</v>
      </c>
      <c r="F10" s="64"/>
      <c r="G10" s="64"/>
    </row>
    <row r="11" spans="2:12" ht="17.25" x14ac:dyDescent="0.3">
      <c r="B11" s="389"/>
      <c r="C11" s="65" t="s">
        <v>161</v>
      </c>
      <c r="F11" s="64"/>
      <c r="G11" s="91"/>
      <c r="I11" s="74"/>
    </row>
    <row r="12" spans="2:12" ht="17.25" x14ac:dyDescent="0.3">
      <c r="B12" s="389"/>
      <c r="C12" s="65" t="s">
        <v>162</v>
      </c>
      <c r="F12" s="64"/>
      <c r="G12" s="64"/>
      <c r="I12" s="74"/>
      <c r="L12" s="74"/>
    </row>
    <row r="13" spans="2:12" ht="17.25" x14ac:dyDescent="0.3">
      <c r="B13" s="389"/>
      <c r="C13" s="69"/>
      <c r="D13" s="70"/>
      <c r="E13" s="70"/>
      <c r="F13" s="71"/>
      <c r="G13" s="71"/>
      <c r="L13" s="74"/>
    </row>
    <row r="14" spans="2:12" ht="15.75" customHeight="1" x14ac:dyDescent="0.25">
      <c r="B14" s="386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387"/>
      <c r="C15" s="390" t="s">
        <v>158</v>
      </c>
      <c r="D15" s="391"/>
      <c r="E15" s="391"/>
      <c r="F15" s="391"/>
      <c r="G15" s="392"/>
    </row>
    <row r="16" spans="2:12" ht="15" customHeight="1" x14ac:dyDescent="0.3">
      <c r="B16" s="387"/>
      <c r="C16" s="65"/>
      <c r="D16" s="68"/>
      <c r="E16" s="68"/>
      <c r="F16" s="68"/>
      <c r="G16" s="67"/>
    </row>
    <row r="17" spans="2:11" ht="15.75" customHeight="1" x14ac:dyDescent="0.3">
      <c r="B17" s="387"/>
      <c r="C17" s="65"/>
      <c r="G17" s="64"/>
    </row>
    <row r="18" spans="2:11" ht="15" customHeight="1" x14ac:dyDescent="0.25">
      <c r="B18" s="357"/>
      <c r="C18" s="73"/>
      <c r="D18" s="70"/>
      <c r="E18" s="70"/>
      <c r="F18" s="70"/>
      <c r="G18" s="71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83</v>
      </c>
      <c r="C21" s="377"/>
      <c r="D21" s="377"/>
      <c r="E21" s="377"/>
      <c r="F21" s="380">
        <v>5.2</v>
      </c>
      <c r="G21" s="382" t="s">
        <v>87</v>
      </c>
      <c r="K21" s="74"/>
    </row>
    <row r="22" spans="2:11" ht="15.75" customHeight="1" x14ac:dyDescent="0.25">
      <c r="B22" s="378"/>
      <c r="C22" s="379"/>
      <c r="D22" s="379"/>
      <c r="E22" s="379"/>
      <c r="F22" s="381"/>
      <c r="G22" s="383"/>
    </row>
    <row r="23" spans="2:11" ht="15.75" x14ac:dyDescent="0.3">
      <c r="B23" s="354" t="s">
        <v>91</v>
      </c>
      <c r="C23" s="58"/>
      <c r="D23" s="59"/>
      <c r="E23" s="60"/>
      <c r="F23" s="61"/>
      <c r="G23" s="62"/>
    </row>
    <row r="24" spans="2:11" ht="16.5" x14ac:dyDescent="0.25">
      <c r="B24" s="355"/>
      <c r="C24" s="63" t="s">
        <v>159</v>
      </c>
      <c r="F24" s="64"/>
      <c r="G24" s="64"/>
      <c r="J24" s="74"/>
    </row>
    <row r="25" spans="2:11" ht="17.25" x14ac:dyDescent="0.3">
      <c r="B25" s="355"/>
      <c r="C25" s="65" t="s">
        <v>166</v>
      </c>
      <c r="D25" s="68"/>
      <c r="E25" s="68"/>
      <c r="F25" s="67"/>
      <c r="G25" s="64"/>
      <c r="J25" s="74"/>
    </row>
    <row r="26" spans="2:11" ht="15.75" customHeight="1" x14ac:dyDescent="0.3">
      <c r="B26" s="355"/>
      <c r="C26" s="65" t="s">
        <v>164</v>
      </c>
      <c r="F26" s="64"/>
      <c r="G26" s="64"/>
    </row>
    <row r="27" spans="2:11" ht="15.75" x14ac:dyDescent="0.3">
      <c r="B27" s="355"/>
      <c r="C27" s="65"/>
      <c r="F27" s="64"/>
      <c r="G27" s="64"/>
    </row>
    <row r="28" spans="2:11" x14ac:dyDescent="0.25">
      <c r="B28" s="355"/>
      <c r="C28" s="63" t="s">
        <v>118</v>
      </c>
      <c r="F28" s="64"/>
      <c r="G28" s="64"/>
    </row>
    <row r="29" spans="2:11" ht="15.75" customHeight="1" x14ac:dyDescent="0.3">
      <c r="B29" s="355"/>
      <c r="C29" s="65" t="s">
        <v>163</v>
      </c>
      <c r="D29" s="68"/>
      <c r="E29" s="68"/>
      <c r="F29" s="67"/>
      <c r="G29" s="87"/>
    </row>
    <row r="30" spans="2:11" ht="15.75" customHeight="1" x14ac:dyDescent="0.3">
      <c r="B30" s="355"/>
      <c r="C30" s="65" t="s">
        <v>170</v>
      </c>
      <c r="F30" s="64"/>
      <c r="G30" s="64"/>
    </row>
    <row r="31" spans="2:11" ht="15.75" customHeight="1" x14ac:dyDescent="0.3">
      <c r="B31" s="355"/>
      <c r="C31" s="65"/>
      <c r="F31" s="64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156</v>
      </c>
      <c r="D33" s="68"/>
      <c r="E33" s="68"/>
      <c r="F33" s="68"/>
      <c r="G33" s="67"/>
    </row>
    <row r="34" spans="2:7" ht="15.75" x14ac:dyDescent="0.3">
      <c r="B34" s="356"/>
      <c r="C34" s="65" t="s">
        <v>157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4:G14"/>
    <mergeCell ref="C15:G15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070E-17F3-4690-A9E7-2498A39E0D00}">
  <dimension ref="B1:L48"/>
  <sheetViews>
    <sheetView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Kompetenzraster!Q15</f>
        <v>46279</v>
      </c>
      <c r="F1" s="341"/>
      <c r="G1" s="344">
        <v>6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346" t="s">
        <v>82</v>
      </c>
      <c r="C3" s="347"/>
      <c r="D3" s="347"/>
      <c r="E3" s="347"/>
      <c r="F3" s="350">
        <v>5.6</v>
      </c>
      <c r="G3" s="352" t="s">
        <v>87</v>
      </c>
    </row>
    <row r="4" spans="2:12" ht="14.25" customHeight="1" x14ac:dyDescent="0.25">
      <c r="B4" s="348"/>
      <c r="C4" s="349"/>
      <c r="D4" s="349"/>
      <c r="E4" s="349"/>
      <c r="F4" s="351"/>
      <c r="G4" s="353"/>
    </row>
    <row r="5" spans="2:12" ht="15.75" customHeight="1" x14ac:dyDescent="0.25">
      <c r="B5" s="388" t="s">
        <v>88</v>
      </c>
      <c r="C5" s="92"/>
      <c r="D5" s="93"/>
      <c r="E5" s="93"/>
      <c r="F5" s="94"/>
      <c r="G5" s="62"/>
    </row>
    <row r="6" spans="2:12" x14ac:dyDescent="0.25">
      <c r="B6" s="389"/>
      <c r="C6" s="63" t="s">
        <v>118</v>
      </c>
      <c r="F6" s="95"/>
      <c r="G6" s="64"/>
    </row>
    <row r="7" spans="2:12" ht="15.75" x14ac:dyDescent="0.3">
      <c r="B7" s="389"/>
      <c r="C7" s="65" t="s">
        <v>168</v>
      </c>
      <c r="F7" s="64"/>
      <c r="G7" s="64"/>
    </row>
    <row r="8" spans="2:12" ht="15.75" x14ac:dyDescent="0.3">
      <c r="B8" s="389"/>
      <c r="C8" s="65"/>
      <c r="F8" s="64"/>
      <c r="G8" s="67"/>
    </row>
    <row r="9" spans="2:12" x14ac:dyDescent="0.25">
      <c r="B9" s="389"/>
      <c r="C9" s="63" t="s">
        <v>121</v>
      </c>
      <c r="F9" s="64"/>
      <c r="G9" s="64"/>
    </row>
    <row r="10" spans="2:12" ht="15.75" x14ac:dyDescent="0.3">
      <c r="B10" s="389"/>
      <c r="C10" s="65" t="s">
        <v>169</v>
      </c>
      <c r="F10" s="64"/>
      <c r="G10" s="64"/>
    </row>
    <row r="11" spans="2:12" ht="16.5" x14ac:dyDescent="0.25">
      <c r="B11" s="389"/>
      <c r="C11" s="66"/>
      <c r="F11" s="64"/>
      <c r="G11" s="87" t="s">
        <v>138</v>
      </c>
      <c r="I11" s="74"/>
    </row>
    <row r="12" spans="2:12" ht="16.5" x14ac:dyDescent="0.25">
      <c r="B12" s="389"/>
      <c r="C12" s="105"/>
      <c r="D12" s="106"/>
      <c r="E12" s="106"/>
      <c r="F12" s="64"/>
      <c r="G12" s="64"/>
      <c r="I12" s="74"/>
      <c r="L12" s="74"/>
    </row>
    <row r="13" spans="2:12" ht="17.25" x14ac:dyDescent="0.3">
      <c r="B13" s="389"/>
      <c r="C13" s="69"/>
      <c r="D13" s="70"/>
      <c r="E13" s="70"/>
      <c r="F13" s="71"/>
      <c r="G13" s="71"/>
      <c r="L13" s="74"/>
    </row>
    <row r="14" spans="2:12" ht="15.75" customHeight="1" x14ac:dyDescent="0.25">
      <c r="B14" s="386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387"/>
      <c r="C15" s="390" t="s">
        <v>158</v>
      </c>
      <c r="D15" s="391"/>
      <c r="E15" s="391"/>
      <c r="F15" s="391"/>
      <c r="G15" s="392"/>
    </row>
    <row r="16" spans="2:12" ht="15" customHeight="1" x14ac:dyDescent="0.3">
      <c r="B16" s="387"/>
      <c r="C16" s="65"/>
      <c r="D16" s="68"/>
      <c r="E16" s="68"/>
      <c r="F16" s="68"/>
      <c r="G16" s="67"/>
    </row>
    <row r="17" spans="2:11" ht="15.75" customHeight="1" x14ac:dyDescent="0.3">
      <c r="B17" s="387"/>
      <c r="C17" s="65"/>
      <c r="G17" s="64"/>
    </row>
    <row r="18" spans="2:11" ht="15" customHeight="1" x14ac:dyDescent="0.25">
      <c r="B18" s="357"/>
      <c r="C18" s="73"/>
      <c r="D18" s="70"/>
      <c r="E18" s="70"/>
      <c r="F18" s="70"/>
      <c r="G18" s="71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83</v>
      </c>
      <c r="C21" s="377"/>
      <c r="D21" s="377"/>
      <c r="E21" s="377"/>
      <c r="F21" s="380">
        <v>5.2</v>
      </c>
      <c r="G21" s="382" t="s">
        <v>87</v>
      </c>
      <c r="K21" s="74"/>
    </row>
    <row r="22" spans="2:11" ht="15.75" customHeight="1" x14ac:dyDescent="0.25">
      <c r="B22" s="378"/>
      <c r="C22" s="379"/>
      <c r="D22" s="379"/>
      <c r="E22" s="379"/>
      <c r="F22" s="381"/>
      <c r="G22" s="383"/>
    </row>
    <row r="23" spans="2:11" ht="15.75" x14ac:dyDescent="0.3">
      <c r="B23" s="354" t="s">
        <v>91</v>
      </c>
      <c r="C23" s="58"/>
      <c r="D23" s="59"/>
      <c r="E23" s="60"/>
      <c r="F23" s="61"/>
      <c r="G23" s="62"/>
    </row>
    <row r="24" spans="2:11" ht="16.5" x14ac:dyDescent="0.25">
      <c r="B24" s="355"/>
      <c r="C24" s="63" t="s">
        <v>118</v>
      </c>
      <c r="F24" s="64"/>
      <c r="G24" s="64"/>
      <c r="J24" s="74"/>
    </row>
    <row r="25" spans="2:11" ht="17.25" x14ac:dyDescent="0.3">
      <c r="B25" s="355"/>
      <c r="C25" s="65" t="s">
        <v>171</v>
      </c>
      <c r="D25" s="68"/>
      <c r="E25" s="68"/>
      <c r="F25" s="67"/>
      <c r="G25" s="64"/>
      <c r="J25" s="74"/>
    </row>
    <row r="26" spans="2:11" ht="15.75" customHeight="1" x14ac:dyDescent="0.3">
      <c r="B26" s="355"/>
      <c r="C26" s="65" t="s">
        <v>172</v>
      </c>
      <c r="F26" s="64"/>
      <c r="G26" s="64"/>
    </row>
    <row r="27" spans="2:11" ht="15.75" x14ac:dyDescent="0.3">
      <c r="B27" s="355"/>
      <c r="C27" s="65"/>
      <c r="F27" s="64"/>
      <c r="G27" s="64"/>
    </row>
    <row r="28" spans="2:11" x14ac:dyDescent="0.25">
      <c r="B28" s="355"/>
      <c r="F28" s="64"/>
      <c r="G28" s="64"/>
    </row>
    <row r="29" spans="2:11" ht="15.75" customHeight="1" x14ac:dyDescent="0.3">
      <c r="B29" s="355"/>
      <c r="D29" s="68"/>
      <c r="E29" s="68"/>
      <c r="F29" s="67"/>
      <c r="G29" s="87"/>
    </row>
    <row r="30" spans="2:11" ht="15.75" customHeight="1" x14ac:dyDescent="0.25">
      <c r="B30" s="355"/>
      <c r="C30" s="63"/>
      <c r="F30" s="64"/>
      <c r="G30" s="64"/>
    </row>
    <row r="31" spans="2:11" ht="15.75" customHeight="1" x14ac:dyDescent="0.3">
      <c r="B31" s="355"/>
      <c r="C31" s="65"/>
      <c r="F31" s="64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156</v>
      </c>
      <c r="D33" s="68"/>
      <c r="E33" s="68"/>
      <c r="F33" s="68"/>
      <c r="G33" s="67"/>
    </row>
    <row r="34" spans="2:7" ht="15.75" x14ac:dyDescent="0.3">
      <c r="B34" s="356"/>
      <c r="C34" s="65" t="s">
        <v>157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B23:B35"/>
    <mergeCell ref="C32:G32"/>
    <mergeCell ref="B36:D37"/>
    <mergeCell ref="E36:G37"/>
    <mergeCell ref="B5:B18"/>
    <mergeCell ref="C14:G14"/>
    <mergeCell ref="C15:G15"/>
    <mergeCell ref="B19:G20"/>
    <mergeCell ref="B21:E22"/>
    <mergeCell ref="F21:F22"/>
    <mergeCell ref="G21:G2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7E82-4EA7-4980-81B4-5AD0C83EC2CB}">
  <dimension ref="B1:L48"/>
  <sheetViews>
    <sheetView workbookViewId="0">
      <selection activeCell="E1" sqref="E1:F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Kompetenzraster!Q17</f>
        <v>46286</v>
      </c>
      <c r="F1" s="341"/>
      <c r="G1" s="344">
        <v>7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346" t="s">
        <v>182</v>
      </c>
      <c r="C3" s="347"/>
      <c r="D3" s="347"/>
      <c r="E3" s="347"/>
      <c r="F3" s="350">
        <v>5.1100000000000003</v>
      </c>
      <c r="G3" s="352" t="s">
        <v>87</v>
      </c>
    </row>
    <row r="4" spans="2:12" ht="14.25" customHeight="1" x14ac:dyDescent="0.25">
      <c r="B4" s="348"/>
      <c r="C4" s="349"/>
      <c r="D4" s="349"/>
      <c r="E4" s="349"/>
      <c r="F4" s="351"/>
      <c r="G4" s="353"/>
    </row>
    <row r="5" spans="2:12" ht="15.75" customHeight="1" x14ac:dyDescent="0.25">
      <c r="B5" s="388" t="s">
        <v>88</v>
      </c>
      <c r="C5" s="88" t="s">
        <v>261</v>
      </c>
      <c r="D5" s="89"/>
      <c r="E5" s="89"/>
      <c r="F5" s="90" t="s">
        <v>262</v>
      </c>
      <c r="G5" s="62"/>
    </row>
    <row r="6" spans="2:12" x14ac:dyDescent="0.25">
      <c r="B6" s="389"/>
      <c r="C6" s="66"/>
      <c r="F6" s="95"/>
      <c r="G6" s="64"/>
    </row>
    <row r="7" spans="2:12" x14ac:dyDescent="0.25">
      <c r="B7" s="389"/>
      <c r="C7" s="63" t="s">
        <v>159</v>
      </c>
      <c r="F7" s="64"/>
      <c r="G7" s="64"/>
    </row>
    <row r="8" spans="2:12" ht="15.75" x14ac:dyDescent="0.3">
      <c r="B8" s="389"/>
      <c r="C8" s="65" t="s">
        <v>176</v>
      </c>
      <c r="F8" s="64"/>
      <c r="G8" s="67"/>
    </row>
    <row r="9" spans="2:12" ht="15.75" x14ac:dyDescent="0.3">
      <c r="B9" s="389"/>
      <c r="C9" s="65" t="s">
        <v>177</v>
      </c>
      <c r="F9" s="64"/>
      <c r="G9" s="64"/>
    </row>
    <row r="10" spans="2:12" x14ac:dyDescent="0.25">
      <c r="B10" s="389"/>
      <c r="C10" s="66"/>
      <c r="F10" s="64"/>
      <c r="G10" s="64"/>
    </row>
    <row r="11" spans="2:12" ht="16.5" x14ac:dyDescent="0.25">
      <c r="B11" s="389"/>
      <c r="C11" s="63" t="s">
        <v>118</v>
      </c>
      <c r="F11" s="64"/>
      <c r="G11" s="91"/>
      <c r="I11" s="74"/>
    </row>
    <row r="12" spans="2:12" ht="17.25" x14ac:dyDescent="0.3">
      <c r="B12" s="389"/>
      <c r="C12" s="65" t="s">
        <v>178</v>
      </c>
      <c r="F12" s="64"/>
      <c r="G12" s="64"/>
      <c r="I12" s="74"/>
      <c r="L12" s="74"/>
    </row>
    <row r="13" spans="2:12" ht="17.25" x14ac:dyDescent="0.3">
      <c r="B13" s="389"/>
      <c r="C13" s="69"/>
      <c r="D13" s="70"/>
      <c r="E13" s="70"/>
      <c r="F13" s="71"/>
      <c r="G13" s="71"/>
      <c r="L13" s="74"/>
    </row>
    <row r="14" spans="2:12" ht="15.75" customHeight="1" x14ac:dyDescent="0.25">
      <c r="B14" s="386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387"/>
      <c r="C15" s="390" t="s">
        <v>179</v>
      </c>
      <c r="D15" s="391"/>
      <c r="E15" s="391"/>
      <c r="F15" s="391"/>
      <c r="G15" s="392"/>
    </row>
    <row r="16" spans="2:12" ht="15" customHeight="1" x14ac:dyDescent="0.3">
      <c r="B16" s="387"/>
      <c r="C16" s="65"/>
      <c r="D16" s="68"/>
      <c r="E16" s="68"/>
      <c r="F16" s="68"/>
      <c r="G16" s="67"/>
    </row>
    <row r="17" spans="2:11" ht="15.75" customHeight="1" x14ac:dyDescent="0.3">
      <c r="B17" s="387"/>
      <c r="C17" s="65"/>
      <c r="G17" s="64"/>
    </row>
    <row r="18" spans="2:11" ht="15" customHeight="1" x14ac:dyDescent="0.25">
      <c r="B18" s="357"/>
      <c r="C18" s="73"/>
      <c r="D18" s="70"/>
      <c r="E18" s="70"/>
      <c r="F18" s="70"/>
      <c r="G18" s="71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83</v>
      </c>
      <c r="C21" s="377"/>
      <c r="D21" s="377"/>
      <c r="E21" s="377"/>
      <c r="F21" s="380">
        <v>5.2</v>
      </c>
      <c r="G21" s="382" t="s">
        <v>87</v>
      </c>
      <c r="K21" s="74"/>
    </row>
    <row r="22" spans="2:11" ht="15.75" customHeight="1" x14ac:dyDescent="0.25">
      <c r="B22" s="378"/>
      <c r="C22" s="379"/>
      <c r="D22" s="379"/>
      <c r="E22" s="379"/>
      <c r="F22" s="381"/>
      <c r="G22" s="383"/>
    </row>
    <row r="23" spans="2:11" ht="15.75" x14ac:dyDescent="0.3">
      <c r="B23" s="354" t="s">
        <v>91</v>
      </c>
      <c r="C23" s="58"/>
      <c r="D23" s="59"/>
      <c r="E23" s="60"/>
      <c r="F23" s="61"/>
      <c r="G23" s="62"/>
    </row>
    <row r="24" spans="2:11" ht="16.5" x14ac:dyDescent="0.25">
      <c r="B24" s="355"/>
      <c r="C24" s="63" t="s">
        <v>121</v>
      </c>
      <c r="F24" s="64"/>
      <c r="G24" s="64"/>
      <c r="J24" s="74"/>
    </row>
    <row r="25" spans="2:11" ht="17.25" x14ac:dyDescent="0.3">
      <c r="B25" s="355"/>
      <c r="C25" s="65" t="s">
        <v>180</v>
      </c>
      <c r="D25" s="68"/>
      <c r="E25" s="68"/>
      <c r="F25" s="67"/>
      <c r="G25" s="64"/>
      <c r="J25" s="74"/>
    </row>
    <row r="26" spans="2:11" ht="15.75" customHeight="1" x14ac:dyDescent="0.3">
      <c r="B26" s="355"/>
      <c r="C26" s="65"/>
      <c r="F26" s="64"/>
      <c r="G26" s="64"/>
    </row>
    <row r="27" spans="2:11" ht="15.75" x14ac:dyDescent="0.3">
      <c r="B27" s="355"/>
      <c r="C27" s="65"/>
      <c r="F27" s="64"/>
      <c r="G27" s="64"/>
    </row>
    <row r="28" spans="2:11" x14ac:dyDescent="0.25">
      <c r="B28" s="355"/>
      <c r="F28" s="64"/>
      <c r="G28" s="64"/>
    </row>
    <row r="29" spans="2:11" ht="15.75" customHeight="1" x14ac:dyDescent="0.3">
      <c r="B29" s="355"/>
      <c r="D29" s="68"/>
      <c r="E29" s="68"/>
      <c r="F29" s="67"/>
      <c r="G29" s="87"/>
    </row>
    <row r="30" spans="2:11" ht="15.75" customHeight="1" x14ac:dyDescent="0.25">
      <c r="B30" s="355"/>
      <c r="C30" s="63"/>
      <c r="F30" s="64"/>
      <c r="G30" s="64"/>
    </row>
    <row r="31" spans="2:11" ht="15.75" customHeight="1" x14ac:dyDescent="0.3">
      <c r="B31" s="355"/>
      <c r="C31" s="65"/>
      <c r="F31" s="64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156</v>
      </c>
      <c r="D33" s="68"/>
      <c r="E33" s="68"/>
      <c r="F33" s="68"/>
      <c r="G33" s="67"/>
    </row>
    <row r="34" spans="2:7" ht="15.75" x14ac:dyDescent="0.3">
      <c r="B34" s="356"/>
      <c r="C34" s="65" t="s">
        <v>157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4:G14"/>
    <mergeCell ref="C15:G15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2957-3723-4AD8-83FE-6E23C3AE434D}">
  <dimension ref="B1:L48"/>
  <sheetViews>
    <sheetView workbookViewId="0">
      <selection activeCell="O46" sqref="O4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Kompetenzraster!Q19</f>
        <v>46314</v>
      </c>
      <c r="F1" s="341"/>
      <c r="G1" s="344">
        <v>8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398" t="s">
        <v>189</v>
      </c>
      <c r="C3" s="399"/>
      <c r="D3" s="399"/>
      <c r="E3" s="399"/>
      <c r="F3" s="402">
        <v>5.7</v>
      </c>
      <c r="G3" s="404" t="s">
        <v>87</v>
      </c>
    </row>
    <row r="4" spans="2:12" ht="14.25" customHeight="1" x14ac:dyDescent="0.25">
      <c r="B4" s="400"/>
      <c r="C4" s="401"/>
      <c r="D4" s="401"/>
      <c r="E4" s="401"/>
      <c r="F4" s="403"/>
      <c r="G4" s="405"/>
    </row>
    <row r="5" spans="2:12" ht="15.75" customHeight="1" x14ac:dyDescent="0.25">
      <c r="B5" s="393" t="s">
        <v>88</v>
      </c>
      <c r="C5" s="92"/>
      <c r="D5" s="93"/>
      <c r="E5" s="93"/>
      <c r="F5" s="94"/>
      <c r="G5" s="62"/>
    </row>
    <row r="6" spans="2:12" x14ac:dyDescent="0.25">
      <c r="B6" s="394"/>
      <c r="C6" s="63" t="s">
        <v>159</v>
      </c>
      <c r="F6" s="95"/>
      <c r="G6" s="64"/>
    </row>
    <row r="7" spans="2:12" ht="15.75" x14ac:dyDescent="0.3">
      <c r="B7" s="394"/>
      <c r="C7" s="65" t="s">
        <v>263</v>
      </c>
      <c r="F7" s="64"/>
      <c r="G7" s="64"/>
    </row>
    <row r="8" spans="2:12" ht="15.75" x14ac:dyDescent="0.3">
      <c r="B8" s="394"/>
      <c r="C8" s="65" t="s">
        <v>184</v>
      </c>
      <c r="F8" s="64"/>
      <c r="G8" s="107"/>
    </row>
    <row r="9" spans="2:12" x14ac:dyDescent="0.25">
      <c r="B9" s="394"/>
      <c r="C9" s="66"/>
      <c r="F9" s="64"/>
      <c r="G9" s="64"/>
    </row>
    <row r="10" spans="2:12" x14ac:dyDescent="0.25">
      <c r="B10" s="394"/>
      <c r="C10" s="63" t="s">
        <v>118</v>
      </c>
      <c r="F10" s="64"/>
      <c r="G10" s="64"/>
    </row>
    <row r="11" spans="2:12" ht="17.25" x14ac:dyDescent="0.3">
      <c r="B11" s="394"/>
      <c r="C11" s="65" t="s">
        <v>185</v>
      </c>
      <c r="F11" s="64"/>
      <c r="G11" s="91"/>
      <c r="I11" s="74"/>
    </row>
    <row r="12" spans="2:12" ht="17.25" x14ac:dyDescent="0.3">
      <c r="B12" s="394"/>
      <c r="C12" s="65"/>
      <c r="F12" s="64"/>
      <c r="G12" s="64"/>
      <c r="I12" s="74"/>
      <c r="L12" s="74"/>
    </row>
    <row r="13" spans="2:12" ht="17.25" x14ac:dyDescent="0.3">
      <c r="B13" s="394"/>
      <c r="C13" s="69"/>
      <c r="D13" s="70"/>
      <c r="E13" s="70"/>
      <c r="F13" s="71"/>
      <c r="G13" s="71"/>
      <c r="L13" s="74"/>
    </row>
    <row r="14" spans="2:12" ht="15.75" customHeight="1" x14ac:dyDescent="0.25">
      <c r="B14" s="395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396"/>
      <c r="C15" s="72" t="s">
        <v>200</v>
      </c>
      <c r="D15" s="97"/>
      <c r="E15" s="97"/>
      <c r="F15" s="97"/>
      <c r="G15" s="98"/>
    </row>
    <row r="16" spans="2:12" ht="15" customHeight="1" x14ac:dyDescent="0.3">
      <c r="B16" s="396"/>
      <c r="C16" s="65" t="s">
        <v>186</v>
      </c>
      <c r="D16" s="68"/>
      <c r="E16" s="68"/>
      <c r="F16" s="68"/>
      <c r="G16" s="67"/>
    </row>
    <row r="17" spans="2:11" ht="15.75" customHeight="1" x14ac:dyDescent="0.3">
      <c r="B17" s="396"/>
      <c r="C17" s="65"/>
      <c r="G17" s="64"/>
    </row>
    <row r="18" spans="2:11" ht="15" customHeight="1" x14ac:dyDescent="0.25">
      <c r="B18" s="397"/>
      <c r="C18" s="73"/>
      <c r="D18" s="70"/>
      <c r="E18" s="70"/>
      <c r="F18" s="70"/>
      <c r="G18" s="71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83</v>
      </c>
      <c r="C21" s="377"/>
      <c r="D21" s="377"/>
      <c r="E21" s="377"/>
      <c r="F21" s="380">
        <v>5.2</v>
      </c>
      <c r="G21" s="382" t="s">
        <v>87</v>
      </c>
      <c r="K21" s="74"/>
    </row>
    <row r="22" spans="2:11" ht="15.75" customHeight="1" x14ac:dyDescent="0.25">
      <c r="B22" s="378"/>
      <c r="C22" s="379"/>
      <c r="D22" s="379"/>
      <c r="E22" s="379"/>
      <c r="F22" s="381"/>
      <c r="G22" s="383"/>
    </row>
    <row r="23" spans="2:11" ht="15.75" x14ac:dyDescent="0.3">
      <c r="B23" s="354" t="s">
        <v>91</v>
      </c>
      <c r="C23" s="58"/>
      <c r="D23" s="59"/>
      <c r="E23" s="60"/>
      <c r="F23" s="61"/>
      <c r="G23" s="62"/>
    </row>
    <row r="24" spans="2:11" ht="16.5" x14ac:dyDescent="0.25">
      <c r="B24" s="355"/>
      <c r="C24" s="63" t="s">
        <v>187</v>
      </c>
      <c r="F24" s="64"/>
      <c r="G24" s="64"/>
      <c r="J24" s="74"/>
    </row>
    <row r="25" spans="2:11" ht="17.25" x14ac:dyDescent="0.3">
      <c r="B25" s="355"/>
      <c r="C25" s="65" t="s">
        <v>188</v>
      </c>
      <c r="D25" s="68"/>
      <c r="E25" s="68"/>
      <c r="F25" s="67"/>
      <c r="G25" s="64"/>
      <c r="J25" s="74"/>
    </row>
    <row r="26" spans="2:11" ht="15.75" customHeight="1" x14ac:dyDescent="0.3">
      <c r="B26" s="355"/>
      <c r="C26" s="65" t="s">
        <v>193</v>
      </c>
      <c r="F26" s="64"/>
      <c r="G26" s="64"/>
    </row>
    <row r="27" spans="2:11" ht="15.75" x14ac:dyDescent="0.3">
      <c r="B27" s="355"/>
      <c r="C27" s="65"/>
      <c r="F27" s="64"/>
      <c r="G27" s="64"/>
    </row>
    <row r="28" spans="2:11" x14ac:dyDescent="0.25">
      <c r="B28" s="355"/>
      <c r="F28" s="64"/>
      <c r="G28" s="64"/>
    </row>
    <row r="29" spans="2:11" ht="15.75" customHeight="1" x14ac:dyDescent="0.3">
      <c r="B29" s="355"/>
      <c r="D29" s="68"/>
      <c r="E29" s="68"/>
      <c r="F29" s="67"/>
      <c r="G29" s="87"/>
    </row>
    <row r="30" spans="2:11" ht="15.75" customHeight="1" x14ac:dyDescent="0.25">
      <c r="B30" s="355"/>
      <c r="C30" s="63"/>
      <c r="F30" s="64"/>
      <c r="G30" s="64"/>
    </row>
    <row r="31" spans="2:11" ht="15.75" customHeight="1" x14ac:dyDescent="0.3">
      <c r="B31" s="355"/>
      <c r="C31" s="65"/>
      <c r="F31" s="64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156</v>
      </c>
      <c r="D33" s="68"/>
      <c r="E33" s="68"/>
      <c r="F33" s="68"/>
      <c r="G33" s="67"/>
    </row>
    <row r="34" spans="2:7" ht="15.75" x14ac:dyDescent="0.3">
      <c r="B34" s="356"/>
      <c r="C34" s="65" t="s">
        <v>157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6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4:G14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5FC8-E80F-440D-905D-A83CF4331C3A}">
  <dimension ref="B1:L48"/>
  <sheetViews>
    <sheetView workbookViewId="0">
      <selection activeCell="C10" sqref="C10:F11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Kompetenzraster!Q21</f>
        <v>46321</v>
      </c>
      <c r="F1" s="341"/>
      <c r="G1" s="344">
        <v>9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398" t="s">
        <v>189</v>
      </c>
      <c r="C3" s="399"/>
      <c r="D3" s="399"/>
      <c r="E3" s="399"/>
      <c r="F3" s="402">
        <v>5.7</v>
      </c>
      <c r="G3" s="404" t="s">
        <v>87</v>
      </c>
    </row>
    <row r="4" spans="2:12" ht="14.25" customHeight="1" x14ac:dyDescent="0.25">
      <c r="B4" s="400"/>
      <c r="C4" s="401"/>
      <c r="D4" s="401"/>
      <c r="E4" s="401"/>
      <c r="F4" s="403"/>
      <c r="G4" s="405"/>
    </row>
    <row r="5" spans="2:12" ht="15.75" customHeight="1" x14ac:dyDescent="0.25">
      <c r="B5" s="393" t="s">
        <v>88</v>
      </c>
      <c r="C5" s="92"/>
      <c r="D5" s="93"/>
      <c r="E5" s="93"/>
      <c r="F5" s="94"/>
      <c r="G5" s="62"/>
    </row>
    <row r="6" spans="2:12" x14ac:dyDescent="0.25">
      <c r="B6" s="394"/>
      <c r="C6" s="63" t="s">
        <v>121</v>
      </c>
      <c r="F6" s="95"/>
      <c r="G6" s="64"/>
    </row>
    <row r="7" spans="2:12" ht="15.75" x14ac:dyDescent="0.3">
      <c r="B7" s="394"/>
      <c r="C7" s="65" t="s">
        <v>190</v>
      </c>
      <c r="F7" s="64"/>
      <c r="G7" s="64"/>
    </row>
    <row r="8" spans="2:12" ht="15.75" x14ac:dyDescent="0.3">
      <c r="B8" s="394"/>
      <c r="C8" s="65" t="s">
        <v>191</v>
      </c>
      <c r="F8" s="64"/>
      <c r="G8" s="107"/>
    </row>
    <row r="9" spans="2:12" x14ac:dyDescent="0.25">
      <c r="B9" s="394"/>
      <c r="C9" s="66"/>
      <c r="F9" s="64"/>
      <c r="G9" s="64"/>
    </row>
    <row r="10" spans="2:12" x14ac:dyDescent="0.25">
      <c r="B10" s="394"/>
      <c r="C10" s="63" t="s">
        <v>187</v>
      </c>
      <c r="F10" s="64"/>
      <c r="G10" s="64"/>
    </row>
    <row r="11" spans="2:12" ht="17.25" x14ac:dyDescent="0.3">
      <c r="B11" s="394"/>
      <c r="C11" s="65" t="s">
        <v>192</v>
      </c>
      <c r="F11" s="64"/>
      <c r="G11" s="91"/>
      <c r="I11" s="74"/>
    </row>
    <row r="12" spans="2:12" ht="17.25" x14ac:dyDescent="0.3">
      <c r="B12" s="394"/>
      <c r="C12" s="65"/>
      <c r="F12" s="64"/>
      <c r="G12" s="64"/>
      <c r="I12" s="74"/>
      <c r="L12" s="74"/>
    </row>
    <row r="13" spans="2:12" ht="17.25" x14ac:dyDescent="0.3">
      <c r="B13" s="394"/>
      <c r="C13" s="69"/>
      <c r="D13" s="70"/>
      <c r="E13" s="70"/>
      <c r="F13" s="71"/>
      <c r="G13" s="71"/>
      <c r="L13" s="74"/>
    </row>
    <row r="14" spans="2:12" ht="15.75" customHeight="1" x14ac:dyDescent="0.25">
      <c r="B14" s="395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396"/>
      <c r="C15" s="72" t="s">
        <v>200</v>
      </c>
      <c r="D15" s="97"/>
      <c r="E15" s="97"/>
      <c r="F15" s="97"/>
      <c r="G15" s="98"/>
    </row>
    <row r="16" spans="2:12" ht="15" customHeight="1" x14ac:dyDescent="0.3">
      <c r="B16" s="396"/>
      <c r="C16" s="65" t="s">
        <v>186</v>
      </c>
      <c r="D16" s="68"/>
      <c r="E16" s="68"/>
      <c r="F16" s="68"/>
      <c r="G16" s="67"/>
    </row>
    <row r="17" spans="2:11" ht="15.75" customHeight="1" x14ac:dyDescent="0.3">
      <c r="B17" s="396"/>
      <c r="C17" s="65"/>
      <c r="G17" s="64"/>
    </row>
    <row r="18" spans="2:11" ht="15" customHeight="1" x14ac:dyDescent="0.25">
      <c r="B18" s="397"/>
      <c r="C18" s="73"/>
      <c r="D18" s="70"/>
      <c r="E18" s="70"/>
      <c r="F18" s="70"/>
      <c r="G18" s="71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83</v>
      </c>
      <c r="C21" s="377"/>
      <c r="D21" s="377"/>
      <c r="E21" s="377"/>
      <c r="F21" s="380">
        <v>5.2</v>
      </c>
      <c r="G21" s="382" t="s">
        <v>87</v>
      </c>
      <c r="K21" s="74"/>
    </row>
    <row r="22" spans="2:11" ht="15.75" customHeight="1" x14ac:dyDescent="0.25">
      <c r="B22" s="378"/>
      <c r="C22" s="379"/>
      <c r="D22" s="379"/>
      <c r="E22" s="379"/>
      <c r="F22" s="381"/>
      <c r="G22" s="383"/>
    </row>
    <row r="23" spans="2:11" ht="15.75" x14ac:dyDescent="0.3">
      <c r="B23" s="354" t="s">
        <v>91</v>
      </c>
      <c r="C23" s="58"/>
      <c r="D23" s="59"/>
      <c r="E23" s="60"/>
      <c r="F23" s="61"/>
      <c r="G23" s="62"/>
    </row>
    <row r="24" spans="2:11" ht="16.5" x14ac:dyDescent="0.25">
      <c r="B24" s="355"/>
      <c r="C24" s="63" t="s">
        <v>187</v>
      </c>
      <c r="F24" s="64"/>
      <c r="G24" s="64"/>
      <c r="J24" s="74"/>
    </row>
    <row r="25" spans="2:11" ht="17.25" x14ac:dyDescent="0.3">
      <c r="B25" s="355"/>
      <c r="C25" s="65" t="s">
        <v>188</v>
      </c>
      <c r="D25" s="68"/>
      <c r="E25" s="68"/>
      <c r="F25" s="67"/>
      <c r="G25" s="64"/>
      <c r="J25" s="74"/>
    </row>
    <row r="26" spans="2:11" ht="15.75" customHeight="1" x14ac:dyDescent="0.3">
      <c r="B26" s="355"/>
      <c r="C26" s="65" t="s">
        <v>194</v>
      </c>
      <c r="F26" s="64"/>
      <c r="G26" s="64"/>
    </row>
    <row r="27" spans="2:11" ht="15.75" x14ac:dyDescent="0.3">
      <c r="B27" s="355"/>
      <c r="C27" s="65"/>
      <c r="F27" s="64"/>
      <c r="G27" s="64"/>
    </row>
    <row r="28" spans="2:11" x14ac:dyDescent="0.25">
      <c r="B28" s="355"/>
      <c r="F28" s="64"/>
      <c r="G28" s="64"/>
    </row>
    <row r="29" spans="2:11" ht="15.75" customHeight="1" x14ac:dyDescent="0.3">
      <c r="B29" s="355"/>
      <c r="D29" s="68"/>
      <c r="E29" s="68"/>
      <c r="F29" s="67"/>
      <c r="G29" s="87"/>
    </row>
    <row r="30" spans="2:11" ht="15.75" customHeight="1" x14ac:dyDescent="0.25">
      <c r="B30" s="355"/>
      <c r="C30" s="63"/>
      <c r="F30" s="64"/>
      <c r="G30" s="64"/>
    </row>
    <row r="31" spans="2:11" ht="15.75" customHeight="1" x14ac:dyDescent="0.3">
      <c r="B31" s="355"/>
      <c r="C31" s="65"/>
      <c r="F31" s="64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156</v>
      </c>
      <c r="D33" s="68"/>
      <c r="E33" s="68"/>
      <c r="F33" s="68"/>
      <c r="G33" s="67"/>
    </row>
    <row r="34" spans="2:7" ht="15.75" x14ac:dyDescent="0.3">
      <c r="B34" s="356"/>
      <c r="C34" s="65" t="s">
        <v>157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6">
    <mergeCell ref="B23:B35"/>
    <mergeCell ref="C32:G32"/>
    <mergeCell ref="B36:D37"/>
    <mergeCell ref="E36:G37"/>
    <mergeCell ref="B5:B18"/>
    <mergeCell ref="C14:G14"/>
    <mergeCell ref="B19:G20"/>
    <mergeCell ref="B21:E22"/>
    <mergeCell ref="F21:F22"/>
    <mergeCell ref="G21:G2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6CB7-CB19-4245-95BE-383BC9C2A35F}">
  <dimension ref="B1:T48"/>
  <sheetViews>
    <sheetView workbookViewId="0">
      <selection activeCell="P45" sqref="P4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20" x14ac:dyDescent="0.25">
      <c r="B1" s="336" t="s">
        <v>86</v>
      </c>
      <c r="C1" s="337"/>
      <c r="D1" s="337"/>
      <c r="E1" s="340">
        <f>Kompetenzraster!Q23</f>
        <v>46328</v>
      </c>
      <c r="F1" s="341"/>
      <c r="G1" s="344">
        <v>10</v>
      </c>
    </row>
    <row r="2" spans="2:20" x14ac:dyDescent="0.25">
      <c r="B2" s="338"/>
      <c r="C2" s="339"/>
      <c r="D2" s="339"/>
      <c r="E2" s="342"/>
      <c r="F2" s="343"/>
      <c r="G2" s="345"/>
    </row>
    <row r="3" spans="2:20" ht="15.75" customHeight="1" x14ac:dyDescent="0.25">
      <c r="B3" s="398" t="s">
        <v>189</v>
      </c>
      <c r="C3" s="399"/>
      <c r="D3" s="399"/>
      <c r="E3" s="399"/>
      <c r="F3" s="402">
        <v>5.7</v>
      </c>
      <c r="G3" s="404" t="s">
        <v>87</v>
      </c>
    </row>
    <row r="4" spans="2:20" ht="14.25" customHeight="1" x14ac:dyDescent="0.25">
      <c r="B4" s="400"/>
      <c r="C4" s="401"/>
      <c r="D4" s="401"/>
      <c r="E4" s="401"/>
      <c r="F4" s="403"/>
      <c r="G4" s="405"/>
    </row>
    <row r="5" spans="2:20" ht="15.75" customHeight="1" x14ac:dyDescent="0.25">
      <c r="B5" s="393" t="s">
        <v>88</v>
      </c>
      <c r="C5" s="92"/>
      <c r="D5" s="93"/>
      <c r="E5" s="93"/>
      <c r="F5" s="94"/>
      <c r="G5" s="62"/>
    </row>
    <row r="6" spans="2:20" x14ac:dyDescent="0.25">
      <c r="B6" s="394"/>
      <c r="C6" s="63" t="s">
        <v>187</v>
      </c>
      <c r="F6" s="95"/>
      <c r="G6" s="64"/>
    </row>
    <row r="7" spans="2:20" ht="15.75" x14ac:dyDescent="0.3">
      <c r="B7" s="394"/>
      <c r="C7" s="65" t="s">
        <v>192</v>
      </c>
      <c r="F7" s="64"/>
      <c r="G7" s="107"/>
    </row>
    <row r="8" spans="2:20" ht="15.75" x14ac:dyDescent="0.3">
      <c r="B8" s="394"/>
      <c r="C8" s="65"/>
      <c r="F8" s="64"/>
      <c r="G8" s="67"/>
    </row>
    <row r="9" spans="2:20" x14ac:dyDescent="0.25">
      <c r="B9" s="394"/>
      <c r="C9" s="63" t="s">
        <v>197</v>
      </c>
      <c r="F9" s="64"/>
      <c r="G9" s="64"/>
    </row>
    <row r="10" spans="2:20" ht="15.75" x14ac:dyDescent="0.3">
      <c r="B10" s="394"/>
      <c r="C10" s="65" t="s">
        <v>198</v>
      </c>
      <c r="F10" s="64"/>
      <c r="G10" s="64"/>
      <c r="P10" s="406"/>
      <c r="Q10" s="407"/>
      <c r="R10" s="407"/>
      <c r="S10" s="407"/>
      <c r="T10" s="407"/>
    </row>
    <row r="11" spans="2:20" ht="17.25" x14ac:dyDescent="0.3">
      <c r="B11" s="394"/>
      <c r="C11" s="66"/>
      <c r="F11" s="64"/>
      <c r="G11" s="87" t="s">
        <v>138</v>
      </c>
      <c r="I11" s="74"/>
      <c r="P11" s="68"/>
      <c r="Q11" s="68"/>
      <c r="R11" s="68"/>
      <c r="S11" s="68"/>
      <c r="T11" s="68"/>
    </row>
    <row r="12" spans="2:20" ht="17.25" x14ac:dyDescent="0.3">
      <c r="B12" s="394"/>
      <c r="C12" s="65"/>
      <c r="F12" s="64"/>
      <c r="G12" s="64"/>
      <c r="I12" s="74"/>
      <c r="L12" s="74"/>
    </row>
    <row r="13" spans="2:20" ht="17.25" x14ac:dyDescent="0.3">
      <c r="B13" s="394"/>
      <c r="C13" s="69"/>
      <c r="D13" s="70"/>
      <c r="E13" s="70"/>
      <c r="F13" s="71"/>
      <c r="G13" s="71"/>
      <c r="L13" s="74"/>
    </row>
    <row r="14" spans="2:20" ht="15.75" customHeight="1" x14ac:dyDescent="0.25">
      <c r="B14" s="395"/>
      <c r="C14" s="367" t="s">
        <v>89</v>
      </c>
      <c r="D14" s="368"/>
      <c r="E14" s="368"/>
      <c r="F14" s="368"/>
      <c r="G14" s="369"/>
      <c r="L14" s="74"/>
    </row>
    <row r="15" spans="2:20" ht="15" customHeight="1" x14ac:dyDescent="0.3">
      <c r="B15" s="396"/>
      <c r="C15" s="72" t="s">
        <v>200</v>
      </c>
      <c r="D15" s="97"/>
      <c r="E15" s="97"/>
      <c r="F15" s="97"/>
      <c r="G15" s="98"/>
    </row>
    <row r="16" spans="2:20" ht="15" customHeight="1" x14ac:dyDescent="0.3">
      <c r="B16" s="396"/>
      <c r="C16" s="65" t="s">
        <v>186</v>
      </c>
      <c r="D16" s="68"/>
      <c r="E16" s="68"/>
      <c r="F16" s="68"/>
      <c r="G16" s="67"/>
    </row>
    <row r="17" spans="2:11" ht="15.75" customHeight="1" x14ac:dyDescent="0.3">
      <c r="B17" s="396"/>
      <c r="C17" s="65"/>
      <c r="G17" s="64"/>
    </row>
    <row r="18" spans="2:11" ht="15" customHeight="1" x14ac:dyDescent="0.25">
      <c r="B18" s="397"/>
      <c r="C18" s="73"/>
      <c r="D18" s="70"/>
      <c r="E18" s="70"/>
      <c r="F18" s="70"/>
      <c r="G18" s="71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83</v>
      </c>
      <c r="C21" s="377"/>
      <c r="D21" s="377"/>
      <c r="E21" s="377"/>
      <c r="F21" s="380">
        <v>5.2</v>
      </c>
      <c r="G21" s="382" t="s">
        <v>87</v>
      </c>
      <c r="K21" s="74"/>
    </row>
    <row r="22" spans="2:11" ht="15.75" customHeight="1" x14ac:dyDescent="0.25">
      <c r="B22" s="378"/>
      <c r="C22" s="379"/>
      <c r="D22" s="379"/>
      <c r="E22" s="379"/>
      <c r="F22" s="381"/>
      <c r="G22" s="383"/>
    </row>
    <row r="23" spans="2:11" ht="15.75" x14ac:dyDescent="0.3">
      <c r="B23" s="354" t="s">
        <v>91</v>
      </c>
      <c r="C23" s="58"/>
      <c r="D23" s="59"/>
      <c r="E23" s="60"/>
      <c r="F23" s="61"/>
      <c r="G23" s="62"/>
    </row>
    <row r="24" spans="2:11" ht="16.5" x14ac:dyDescent="0.25">
      <c r="B24" s="355"/>
      <c r="C24" s="63" t="s">
        <v>187</v>
      </c>
      <c r="F24" s="64"/>
      <c r="G24" s="64"/>
      <c r="J24" s="74"/>
    </row>
    <row r="25" spans="2:11" ht="17.25" x14ac:dyDescent="0.3">
      <c r="B25" s="355"/>
      <c r="C25" s="65" t="s">
        <v>195</v>
      </c>
      <c r="D25" s="68"/>
      <c r="E25" s="68"/>
      <c r="F25" s="67"/>
      <c r="G25" s="64"/>
      <c r="J25" s="74"/>
    </row>
    <row r="26" spans="2:11" ht="15.75" customHeight="1" x14ac:dyDescent="0.3">
      <c r="B26" s="355"/>
      <c r="C26" s="65" t="s">
        <v>196</v>
      </c>
      <c r="F26" s="64"/>
      <c r="G26" s="64"/>
    </row>
    <row r="27" spans="2:11" ht="15.75" x14ac:dyDescent="0.3">
      <c r="B27" s="355"/>
      <c r="C27" s="65"/>
      <c r="F27" s="64"/>
      <c r="G27" s="64"/>
    </row>
    <row r="28" spans="2:11" ht="15.75" x14ac:dyDescent="0.3">
      <c r="B28" s="355"/>
      <c r="C28" s="96"/>
      <c r="F28" s="64"/>
      <c r="G28" s="64"/>
    </row>
    <row r="29" spans="2:11" ht="15.75" customHeight="1" x14ac:dyDescent="0.3">
      <c r="B29" s="355"/>
      <c r="D29" s="68"/>
      <c r="E29" s="68"/>
      <c r="F29" s="67"/>
      <c r="G29" s="87" t="s">
        <v>138</v>
      </c>
    </row>
    <row r="30" spans="2:11" ht="15.75" customHeight="1" x14ac:dyDescent="0.25">
      <c r="B30" s="355"/>
      <c r="C30" s="63"/>
      <c r="F30" s="64"/>
      <c r="G30" s="64"/>
    </row>
    <row r="31" spans="2:11" ht="15.75" customHeight="1" x14ac:dyDescent="0.3">
      <c r="B31" s="355"/>
      <c r="C31" s="65"/>
      <c r="F31" s="64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156</v>
      </c>
      <c r="D33" s="68"/>
      <c r="E33" s="68"/>
      <c r="F33" s="68"/>
      <c r="G33" s="67"/>
    </row>
    <row r="34" spans="2:7" ht="15.75" x14ac:dyDescent="0.3">
      <c r="B34" s="356"/>
      <c r="C34" s="65" t="s">
        <v>157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P10:T10"/>
    <mergeCell ref="B23:B35"/>
    <mergeCell ref="C32:G32"/>
    <mergeCell ref="B36:D37"/>
    <mergeCell ref="E36:G37"/>
    <mergeCell ref="B5:B18"/>
    <mergeCell ref="C14:G14"/>
    <mergeCell ref="B19:G20"/>
    <mergeCell ref="B21:E22"/>
    <mergeCell ref="F21:F22"/>
    <mergeCell ref="G21:G2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EE9F-71E6-43E0-BCE1-67B87BBBA59F}">
  <dimension ref="B1:L48"/>
  <sheetViews>
    <sheetView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Kompetenzraster!Q25</f>
        <v>46335</v>
      </c>
      <c r="F1" s="341"/>
      <c r="G1" s="344">
        <v>11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408" t="s">
        <v>199</v>
      </c>
      <c r="C3" s="409"/>
      <c r="D3" s="409"/>
      <c r="E3" s="409"/>
      <c r="F3" s="412">
        <v>5.8</v>
      </c>
      <c r="G3" s="414" t="s">
        <v>87</v>
      </c>
    </row>
    <row r="4" spans="2:12" ht="14.25" customHeight="1" x14ac:dyDescent="0.25">
      <c r="B4" s="410"/>
      <c r="C4" s="411"/>
      <c r="D4" s="411"/>
      <c r="E4" s="411"/>
      <c r="F4" s="413"/>
      <c r="G4" s="415"/>
    </row>
    <row r="5" spans="2:12" ht="15.75" customHeight="1" x14ac:dyDescent="0.25">
      <c r="B5" s="416" t="s">
        <v>88</v>
      </c>
      <c r="C5" s="88" t="s">
        <v>210</v>
      </c>
      <c r="D5" s="89"/>
      <c r="E5" s="89"/>
      <c r="F5" s="90" t="s">
        <v>147</v>
      </c>
      <c r="G5" s="62"/>
    </row>
    <row r="6" spans="2:12" x14ac:dyDescent="0.25">
      <c r="B6" s="417"/>
      <c r="C6" s="63" t="s">
        <v>159</v>
      </c>
      <c r="F6" s="95"/>
      <c r="G6" s="64"/>
    </row>
    <row r="7" spans="2:12" ht="15.75" x14ac:dyDescent="0.3">
      <c r="B7" s="417"/>
      <c r="C7" s="65" t="s">
        <v>205</v>
      </c>
      <c r="F7" s="64"/>
      <c r="G7" s="64"/>
    </row>
    <row r="8" spans="2:12" ht="15.75" x14ac:dyDescent="0.3">
      <c r="B8" s="417"/>
      <c r="C8" s="66"/>
      <c r="F8" s="64"/>
      <c r="G8" s="67"/>
    </row>
    <row r="9" spans="2:12" x14ac:dyDescent="0.25">
      <c r="B9" s="417"/>
      <c r="C9" s="63" t="s">
        <v>118</v>
      </c>
      <c r="F9" s="64"/>
      <c r="G9" s="64"/>
    </row>
    <row r="10" spans="2:12" ht="15.75" x14ac:dyDescent="0.3">
      <c r="B10" s="417"/>
      <c r="C10" s="65" t="s">
        <v>206</v>
      </c>
      <c r="F10" s="64"/>
      <c r="G10" s="64"/>
    </row>
    <row r="11" spans="2:12" ht="17.25" x14ac:dyDescent="0.3">
      <c r="B11" s="417"/>
      <c r="C11" s="65" t="s">
        <v>207</v>
      </c>
      <c r="F11" s="64"/>
      <c r="G11" s="87"/>
      <c r="I11" s="74"/>
    </row>
    <row r="12" spans="2:12" ht="17.25" x14ac:dyDescent="0.3">
      <c r="B12" s="417"/>
      <c r="C12" s="65" t="s">
        <v>213</v>
      </c>
      <c r="F12" s="64"/>
      <c r="G12" s="64"/>
      <c r="I12" s="74"/>
      <c r="L12" s="74"/>
    </row>
    <row r="13" spans="2:12" ht="17.25" x14ac:dyDescent="0.3">
      <c r="B13" s="417"/>
      <c r="C13" s="69"/>
      <c r="D13" s="70"/>
      <c r="E13" s="70"/>
      <c r="F13" s="71"/>
      <c r="G13" s="71"/>
      <c r="L13" s="74"/>
    </row>
    <row r="14" spans="2:12" ht="15.75" customHeight="1" x14ac:dyDescent="0.25">
      <c r="B14" s="418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419"/>
      <c r="C15" s="390" t="s">
        <v>204</v>
      </c>
      <c r="D15" s="426"/>
      <c r="E15" s="426"/>
      <c r="F15" s="426"/>
      <c r="G15" s="427"/>
    </row>
    <row r="16" spans="2:12" ht="15" customHeight="1" x14ac:dyDescent="0.3">
      <c r="B16" s="419"/>
      <c r="C16" s="424" t="s">
        <v>202</v>
      </c>
      <c r="D16" s="406"/>
      <c r="E16" s="406"/>
      <c r="F16" s="406"/>
      <c r="G16" s="425"/>
    </row>
    <row r="17" spans="2:11" ht="15.75" customHeight="1" x14ac:dyDescent="0.3">
      <c r="B17" s="419"/>
      <c r="C17" s="424" t="s">
        <v>203</v>
      </c>
      <c r="D17" s="406"/>
      <c r="E17" s="406"/>
      <c r="F17" s="406"/>
      <c r="G17" s="425"/>
    </row>
    <row r="18" spans="2:11" ht="15" customHeight="1" x14ac:dyDescent="0.3">
      <c r="B18" s="420"/>
      <c r="C18" s="421" t="s">
        <v>201</v>
      </c>
      <c r="D18" s="422"/>
      <c r="E18" s="422"/>
      <c r="F18" s="422"/>
      <c r="G18" s="423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208</v>
      </c>
      <c r="C21" s="377"/>
      <c r="D21" s="377"/>
      <c r="E21" s="377"/>
      <c r="F21" s="380">
        <v>5.2</v>
      </c>
      <c r="G21" s="382" t="s">
        <v>87</v>
      </c>
      <c r="K21" s="74"/>
    </row>
    <row r="22" spans="2:11" ht="15.75" customHeight="1" x14ac:dyDescent="0.25">
      <c r="B22" s="378"/>
      <c r="C22" s="237"/>
      <c r="D22" s="237"/>
      <c r="E22" s="237"/>
      <c r="F22" s="381"/>
      <c r="G22" s="383"/>
    </row>
    <row r="23" spans="2:11" ht="15.75" x14ac:dyDescent="0.3">
      <c r="B23" s="354" t="s">
        <v>91</v>
      </c>
      <c r="C23" s="72" t="s">
        <v>224</v>
      </c>
      <c r="D23" s="75"/>
      <c r="E23" s="75"/>
      <c r="F23" s="99"/>
      <c r="G23" s="62"/>
    </row>
    <row r="24" spans="2:11" ht="16.5" x14ac:dyDescent="0.25">
      <c r="B24" s="355"/>
      <c r="C24" s="88" t="s">
        <v>211</v>
      </c>
      <c r="D24" s="89"/>
      <c r="E24" s="89"/>
      <c r="F24" s="90" t="s">
        <v>212</v>
      </c>
      <c r="G24" s="64"/>
      <c r="J24" s="74"/>
    </row>
    <row r="25" spans="2:11" ht="16.5" x14ac:dyDescent="0.25">
      <c r="B25" s="355"/>
      <c r="C25" s="66"/>
      <c r="F25" s="64"/>
      <c r="G25" s="64"/>
      <c r="J25" s="74"/>
    </row>
    <row r="26" spans="2:11" ht="15.75" customHeight="1" x14ac:dyDescent="0.3">
      <c r="B26" s="355"/>
      <c r="C26" s="65"/>
      <c r="F26" s="64"/>
      <c r="G26" s="64"/>
    </row>
    <row r="27" spans="2:11" ht="15.75" x14ac:dyDescent="0.3">
      <c r="B27" s="355"/>
      <c r="C27" s="65"/>
      <c r="F27" s="64"/>
      <c r="G27" s="64"/>
    </row>
    <row r="28" spans="2:11" ht="15.75" x14ac:dyDescent="0.3">
      <c r="B28" s="355"/>
      <c r="C28" s="96"/>
      <c r="F28" s="64"/>
      <c r="G28" s="64"/>
    </row>
    <row r="29" spans="2:11" ht="15.75" customHeight="1" x14ac:dyDescent="0.3">
      <c r="B29" s="355"/>
      <c r="C29" s="66"/>
      <c r="D29" s="68"/>
      <c r="E29" s="68"/>
      <c r="F29" s="67"/>
      <c r="G29" s="91"/>
    </row>
    <row r="30" spans="2:11" ht="15.75" customHeight="1" x14ac:dyDescent="0.25">
      <c r="B30" s="355"/>
      <c r="C30" s="63"/>
      <c r="F30" s="64"/>
      <c r="G30" s="64"/>
    </row>
    <row r="31" spans="2:11" ht="15.75" customHeight="1" x14ac:dyDescent="0.3">
      <c r="B31" s="355"/>
      <c r="C31" s="69"/>
      <c r="D31" s="70"/>
      <c r="E31" s="70"/>
      <c r="F31" s="71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225</v>
      </c>
      <c r="D33" s="68"/>
      <c r="E33" s="68"/>
      <c r="F33" s="68"/>
      <c r="G33" s="67"/>
    </row>
    <row r="34" spans="2:7" ht="15.75" x14ac:dyDescent="0.3">
      <c r="B34" s="356"/>
      <c r="C34" s="65" t="s">
        <v>226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20">
    <mergeCell ref="B23:B35"/>
    <mergeCell ref="C32:G32"/>
    <mergeCell ref="B36:D37"/>
    <mergeCell ref="E36:G37"/>
    <mergeCell ref="B5:B18"/>
    <mergeCell ref="C14:G14"/>
    <mergeCell ref="C18:G18"/>
    <mergeCell ref="B19:G20"/>
    <mergeCell ref="B21:E22"/>
    <mergeCell ref="F21:F22"/>
    <mergeCell ref="G21:G22"/>
    <mergeCell ref="C16:G16"/>
    <mergeCell ref="C15:G15"/>
    <mergeCell ref="C17:G17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BC89-B295-452C-B269-6ACEE8A76320}">
  <dimension ref="B1:L48"/>
  <sheetViews>
    <sheetView view="pageLayout" zoomScaleNormal="100"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Kompetenzraster!Q27</f>
        <v>46342</v>
      </c>
      <c r="F1" s="341"/>
      <c r="G1" s="344">
        <v>12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408" t="s">
        <v>199</v>
      </c>
      <c r="C3" s="409"/>
      <c r="D3" s="409"/>
      <c r="E3" s="409"/>
      <c r="F3" s="412">
        <v>5.8</v>
      </c>
      <c r="G3" s="414" t="s">
        <v>87</v>
      </c>
    </row>
    <row r="4" spans="2:12" ht="14.25" customHeight="1" x14ac:dyDescent="0.25">
      <c r="B4" s="410"/>
      <c r="C4" s="411"/>
      <c r="D4" s="411"/>
      <c r="E4" s="411"/>
      <c r="F4" s="413"/>
      <c r="G4" s="415"/>
    </row>
    <row r="5" spans="2:12" ht="15.75" customHeight="1" x14ac:dyDescent="0.25">
      <c r="B5" s="416" t="s">
        <v>88</v>
      </c>
      <c r="C5" s="92"/>
      <c r="D5" s="93"/>
      <c r="E5" s="93"/>
      <c r="F5" s="94"/>
      <c r="G5" s="62"/>
    </row>
    <row r="6" spans="2:12" x14ac:dyDescent="0.25">
      <c r="B6" s="417"/>
      <c r="C6" s="63" t="s">
        <v>118</v>
      </c>
      <c r="F6" s="95"/>
      <c r="G6" s="64"/>
    </row>
    <row r="7" spans="2:12" ht="15.75" x14ac:dyDescent="0.3">
      <c r="B7" s="417"/>
      <c r="C7" s="65" t="s">
        <v>215</v>
      </c>
      <c r="F7" s="64"/>
      <c r="G7" s="64"/>
    </row>
    <row r="8" spans="2:12" ht="15.75" x14ac:dyDescent="0.3">
      <c r="B8" s="417"/>
      <c r="C8" s="65"/>
      <c r="F8" s="64"/>
      <c r="G8" s="67"/>
    </row>
    <row r="9" spans="2:12" x14ac:dyDescent="0.25">
      <c r="B9" s="417"/>
      <c r="C9" s="63" t="s">
        <v>121</v>
      </c>
      <c r="F9" s="64"/>
      <c r="G9" s="64"/>
    </row>
    <row r="10" spans="2:12" ht="15.75" x14ac:dyDescent="0.3">
      <c r="B10" s="417"/>
      <c r="C10" s="65" t="s">
        <v>214</v>
      </c>
      <c r="F10" s="64"/>
      <c r="G10" s="64"/>
    </row>
    <row r="11" spans="2:12" ht="16.5" x14ac:dyDescent="0.25">
      <c r="B11" s="417"/>
      <c r="C11" s="66"/>
      <c r="F11" s="64"/>
      <c r="G11" s="91"/>
      <c r="I11" s="74"/>
    </row>
    <row r="12" spans="2:12" ht="16.5" x14ac:dyDescent="0.25">
      <c r="B12" s="417"/>
      <c r="C12" s="66"/>
      <c r="F12" s="64"/>
      <c r="G12" s="64"/>
      <c r="I12" s="74"/>
      <c r="L12" s="74"/>
    </row>
    <row r="13" spans="2:12" ht="17.25" x14ac:dyDescent="0.3">
      <c r="B13" s="417"/>
      <c r="C13" s="69"/>
      <c r="D13" s="70"/>
      <c r="E13" s="70"/>
      <c r="F13" s="71"/>
      <c r="G13" s="71"/>
      <c r="L13" s="74"/>
    </row>
    <row r="14" spans="2:12" ht="15.75" customHeight="1" x14ac:dyDescent="0.25">
      <c r="B14" s="418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419"/>
      <c r="C15" s="390" t="s">
        <v>204</v>
      </c>
      <c r="D15" s="426"/>
      <c r="E15" s="426"/>
      <c r="F15" s="426"/>
      <c r="G15" s="427"/>
    </row>
    <row r="16" spans="2:12" ht="15" customHeight="1" x14ac:dyDescent="0.3">
      <c r="B16" s="419"/>
      <c r="C16" s="424" t="s">
        <v>202</v>
      </c>
      <c r="D16" s="406"/>
      <c r="E16" s="406"/>
      <c r="F16" s="406"/>
      <c r="G16" s="425"/>
    </row>
    <row r="17" spans="2:11" ht="15.75" customHeight="1" x14ac:dyDescent="0.3">
      <c r="B17" s="419"/>
      <c r="C17" s="424" t="s">
        <v>203</v>
      </c>
      <c r="D17" s="406"/>
      <c r="E17" s="406"/>
      <c r="F17" s="406"/>
      <c r="G17" s="425"/>
    </row>
    <row r="18" spans="2:11" ht="15" customHeight="1" x14ac:dyDescent="0.3">
      <c r="B18" s="420"/>
      <c r="C18" s="421" t="s">
        <v>201</v>
      </c>
      <c r="D18" s="422"/>
      <c r="E18" s="422"/>
      <c r="F18" s="422"/>
      <c r="G18" s="423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208</v>
      </c>
      <c r="C21" s="377"/>
      <c r="D21" s="377"/>
      <c r="E21" s="377"/>
      <c r="F21" s="380">
        <v>5.3</v>
      </c>
      <c r="G21" s="382" t="s">
        <v>87</v>
      </c>
      <c r="K21" s="74"/>
    </row>
    <row r="22" spans="2:11" ht="15.75" customHeight="1" x14ac:dyDescent="0.25">
      <c r="B22" s="378"/>
      <c r="C22" s="237"/>
      <c r="D22" s="237"/>
      <c r="E22" s="237"/>
      <c r="F22" s="381"/>
      <c r="G22" s="383"/>
    </row>
    <row r="23" spans="2:11" x14ac:dyDescent="0.25">
      <c r="B23" s="428" t="s">
        <v>91</v>
      </c>
      <c r="C23" s="92"/>
      <c r="D23" s="93"/>
      <c r="E23" s="93"/>
      <c r="F23" s="94"/>
      <c r="G23" s="62"/>
    </row>
    <row r="24" spans="2:11" ht="17.25" x14ac:dyDescent="0.3">
      <c r="B24" s="429"/>
      <c r="C24" s="63" t="s">
        <v>159</v>
      </c>
      <c r="D24" s="68"/>
      <c r="F24" s="64"/>
      <c r="G24" s="64"/>
      <c r="J24" s="74"/>
    </row>
    <row r="25" spans="2:11" ht="17.25" x14ac:dyDescent="0.3">
      <c r="B25" s="429"/>
      <c r="C25" s="65" t="s">
        <v>209</v>
      </c>
      <c r="E25" s="68"/>
      <c r="F25" s="67"/>
      <c r="G25" s="64"/>
      <c r="J25" s="74"/>
    </row>
    <row r="26" spans="2:11" ht="15.75" customHeight="1" x14ac:dyDescent="0.25">
      <c r="B26" s="429"/>
      <c r="C26" s="66"/>
      <c r="F26" s="64"/>
      <c r="G26" s="64"/>
    </row>
    <row r="27" spans="2:11" ht="15.75" x14ac:dyDescent="0.3">
      <c r="B27" s="429"/>
      <c r="C27" s="65"/>
      <c r="F27" s="64"/>
      <c r="G27" s="64"/>
    </row>
    <row r="28" spans="2:11" ht="15.75" x14ac:dyDescent="0.3">
      <c r="B28" s="429"/>
      <c r="C28" s="96"/>
      <c r="F28" s="64"/>
      <c r="G28" s="64"/>
    </row>
    <row r="29" spans="2:11" ht="15.75" customHeight="1" x14ac:dyDescent="0.3">
      <c r="B29" s="429"/>
      <c r="C29" s="66"/>
      <c r="D29" s="68"/>
      <c r="E29" s="68"/>
      <c r="F29" s="67"/>
      <c r="G29" s="91"/>
    </row>
    <row r="30" spans="2:11" ht="15.75" customHeight="1" x14ac:dyDescent="0.25">
      <c r="B30" s="429"/>
      <c r="C30" s="63"/>
      <c r="F30" s="64"/>
      <c r="G30" s="64"/>
    </row>
    <row r="31" spans="2:11" ht="15.75" customHeight="1" x14ac:dyDescent="0.3">
      <c r="B31" s="429"/>
      <c r="C31" s="69"/>
      <c r="D31" s="70"/>
      <c r="E31" s="70"/>
      <c r="F31" s="71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225</v>
      </c>
      <c r="D33" s="68"/>
      <c r="E33" s="68"/>
      <c r="F33" s="68"/>
      <c r="G33" s="67"/>
    </row>
    <row r="34" spans="2:7" ht="15.75" x14ac:dyDescent="0.3">
      <c r="B34" s="356"/>
      <c r="C34" s="65" t="s">
        <v>226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20">
    <mergeCell ref="B36:D37"/>
    <mergeCell ref="E36:G37"/>
    <mergeCell ref="B19:G20"/>
    <mergeCell ref="B21:E22"/>
    <mergeCell ref="F21:F22"/>
    <mergeCell ref="G21:G22"/>
    <mergeCell ref="B23:B35"/>
    <mergeCell ref="C32:G32"/>
    <mergeCell ref="B5:B18"/>
    <mergeCell ref="C14:G14"/>
    <mergeCell ref="C15:G15"/>
    <mergeCell ref="C16:G16"/>
    <mergeCell ref="C17:G17"/>
    <mergeCell ref="C18:G18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F748-4A8F-4702-A1D9-525B199A213B}">
  <dimension ref="B1:L48"/>
  <sheetViews>
    <sheetView view="pageLayout" zoomScaleNormal="100" workbookViewId="0">
      <selection activeCell="F7" sqref="C7:F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Kompetenzraster!Q29</f>
        <v>46349</v>
      </c>
      <c r="F1" s="341"/>
      <c r="G1" s="344">
        <v>13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408" t="s">
        <v>216</v>
      </c>
      <c r="C3" s="409"/>
      <c r="D3" s="409"/>
      <c r="E3" s="409"/>
      <c r="F3" s="412">
        <v>5.9</v>
      </c>
      <c r="G3" s="414" t="s">
        <v>87</v>
      </c>
    </row>
    <row r="4" spans="2:12" ht="14.25" customHeight="1" x14ac:dyDescent="0.25">
      <c r="B4" s="410"/>
      <c r="C4" s="411"/>
      <c r="D4" s="411"/>
      <c r="E4" s="411"/>
      <c r="F4" s="413"/>
      <c r="G4" s="415"/>
    </row>
    <row r="5" spans="2:12" ht="15.75" customHeight="1" x14ac:dyDescent="0.25">
      <c r="B5" s="416" t="s">
        <v>88</v>
      </c>
      <c r="C5" s="92"/>
      <c r="D5" s="93"/>
      <c r="E5" s="93"/>
      <c r="F5" s="94"/>
      <c r="G5" s="62"/>
    </row>
    <row r="6" spans="2:12" x14ac:dyDescent="0.25">
      <c r="B6" s="417"/>
      <c r="C6" s="63" t="s">
        <v>159</v>
      </c>
      <c r="F6" s="95"/>
      <c r="G6" s="64"/>
    </row>
    <row r="7" spans="2:12" ht="15.75" x14ac:dyDescent="0.3">
      <c r="B7" s="417"/>
      <c r="C7" s="65" t="s">
        <v>221</v>
      </c>
      <c r="F7" s="64"/>
      <c r="G7" s="64"/>
    </row>
    <row r="8" spans="2:12" ht="15.75" x14ac:dyDescent="0.3">
      <c r="B8" s="417"/>
      <c r="C8" s="66"/>
      <c r="F8" s="64"/>
      <c r="G8" s="67"/>
    </row>
    <row r="9" spans="2:12" x14ac:dyDescent="0.25">
      <c r="B9" s="417"/>
      <c r="C9" s="63" t="s">
        <v>118</v>
      </c>
      <c r="F9" s="64"/>
      <c r="G9" s="64"/>
    </row>
    <row r="10" spans="2:12" ht="15.75" x14ac:dyDescent="0.3">
      <c r="B10" s="417"/>
      <c r="C10" s="65" t="s">
        <v>222</v>
      </c>
      <c r="F10" s="64"/>
      <c r="G10" s="64"/>
    </row>
    <row r="11" spans="2:12" ht="17.25" x14ac:dyDescent="0.3">
      <c r="B11" s="417"/>
      <c r="C11" s="65" t="s">
        <v>223</v>
      </c>
      <c r="F11" s="64"/>
      <c r="G11" s="91"/>
      <c r="I11" s="74"/>
    </row>
    <row r="12" spans="2:12" ht="16.5" x14ac:dyDescent="0.25">
      <c r="B12" s="417"/>
      <c r="C12" s="66"/>
      <c r="F12" s="64"/>
      <c r="G12" s="64"/>
      <c r="I12" s="74"/>
      <c r="L12" s="74"/>
    </row>
    <row r="13" spans="2:12" ht="17.25" x14ac:dyDescent="0.3">
      <c r="B13" s="417"/>
      <c r="C13" s="69"/>
      <c r="D13" s="70"/>
      <c r="E13" s="70"/>
      <c r="F13" s="71"/>
      <c r="G13" s="71"/>
      <c r="L13" s="74"/>
    </row>
    <row r="14" spans="2:12" ht="15.75" customHeight="1" x14ac:dyDescent="0.25">
      <c r="B14" s="418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419"/>
      <c r="C15" s="390" t="s">
        <v>217</v>
      </c>
      <c r="D15" s="426"/>
      <c r="E15" s="426"/>
      <c r="F15" s="426"/>
      <c r="G15" s="427"/>
    </row>
    <row r="16" spans="2:12" ht="15" customHeight="1" x14ac:dyDescent="0.3">
      <c r="B16" s="419"/>
      <c r="C16" s="424"/>
      <c r="D16" s="406"/>
      <c r="E16" s="406"/>
      <c r="F16" s="406"/>
      <c r="G16" s="425"/>
    </row>
    <row r="17" spans="2:11" ht="15.75" customHeight="1" x14ac:dyDescent="0.3">
      <c r="B17" s="419"/>
      <c r="C17" s="424"/>
      <c r="D17" s="406"/>
      <c r="E17" s="406"/>
      <c r="F17" s="406"/>
      <c r="G17" s="425"/>
    </row>
    <row r="18" spans="2:11" ht="15" customHeight="1" x14ac:dyDescent="0.3">
      <c r="B18" s="420"/>
      <c r="C18" s="421"/>
      <c r="D18" s="422"/>
      <c r="E18" s="422"/>
      <c r="F18" s="422"/>
      <c r="G18" s="423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208</v>
      </c>
      <c r="C21" s="377"/>
      <c r="D21" s="377"/>
      <c r="E21" s="377"/>
      <c r="F21" s="380">
        <v>5.3</v>
      </c>
      <c r="G21" s="382" t="s">
        <v>87</v>
      </c>
      <c r="K21" s="74"/>
    </row>
    <row r="22" spans="2:11" ht="15.75" customHeight="1" x14ac:dyDescent="0.25">
      <c r="B22" s="378"/>
      <c r="C22" s="237"/>
      <c r="D22" s="237"/>
      <c r="E22" s="237"/>
      <c r="F22" s="381"/>
      <c r="G22" s="383"/>
    </row>
    <row r="23" spans="2:11" x14ac:dyDescent="0.25">
      <c r="B23" s="428" t="s">
        <v>91</v>
      </c>
      <c r="C23" s="92"/>
      <c r="D23" s="93"/>
      <c r="E23" s="93"/>
      <c r="F23" s="94"/>
      <c r="G23" s="62"/>
    </row>
    <row r="24" spans="2:11" ht="17.25" x14ac:dyDescent="0.3">
      <c r="B24" s="429"/>
      <c r="C24" s="63" t="s">
        <v>159</v>
      </c>
      <c r="D24" s="68"/>
      <c r="F24" s="64"/>
      <c r="G24" s="64"/>
      <c r="J24" s="74"/>
    </row>
    <row r="25" spans="2:11" ht="17.25" x14ac:dyDescent="0.3">
      <c r="B25" s="429"/>
      <c r="C25" s="65" t="s">
        <v>283</v>
      </c>
      <c r="E25" s="68"/>
      <c r="F25" s="67"/>
      <c r="G25" s="64"/>
      <c r="J25" s="74"/>
    </row>
    <row r="26" spans="2:11" ht="15.75" customHeight="1" x14ac:dyDescent="0.25">
      <c r="B26" s="429"/>
      <c r="C26" s="66"/>
      <c r="F26" s="64"/>
      <c r="G26" s="64"/>
    </row>
    <row r="27" spans="2:11" ht="15.75" x14ac:dyDescent="0.3">
      <c r="B27" s="429"/>
      <c r="C27" s="65"/>
      <c r="F27" s="64"/>
      <c r="G27" s="64"/>
    </row>
    <row r="28" spans="2:11" ht="15.75" x14ac:dyDescent="0.3">
      <c r="B28" s="429"/>
      <c r="C28" s="96"/>
      <c r="F28" s="64"/>
      <c r="G28" s="64"/>
    </row>
    <row r="29" spans="2:11" ht="15.75" customHeight="1" x14ac:dyDescent="0.3">
      <c r="B29" s="429"/>
      <c r="C29" s="66"/>
      <c r="D29" s="68"/>
      <c r="E29" s="68"/>
      <c r="F29" s="67"/>
      <c r="G29" s="91"/>
    </row>
    <row r="30" spans="2:11" ht="15.75" customHeight="1" x14ac:dyDescent="0.25">
      <c r="B30" s="429"/>
      <c r="C30" s="63"/>
      <c r="F30" s="64"/>
      <c r="G30" s="64"/>
    </row>
    <row r="31" spans="2:11" ht="15.75" customHeight="1" x14ac:dyDescent="0.3">
      <c r="B31" s="429"/>
      <c r="C31" s="69"/>
      <c r="D31" s="70"/>
      <c r="E31" s="70"/>
      <c r="F31" s="71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225</v>
      </c>
      <c r="D33" s="68"/>
      <c r="E33" s="68"/>
      <c r="F33" s="68"/>
      <c r="G33" s="67"/>
    </row>
    <row r="34" spans="2:7" ht="15.75" x14ac:dyDescent="0.3">
      <c r="B34" s="356"/>
      <c r="C34" s="65" t="s">
        <v>226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20">
    <mergeCell ref="B1:D2"/>
    <mergeCell ref="E1:F2"/>
    <mergeCell ref="G1:G2"/>
    <mergeCell ref="B3:E4"/>
    <mergeCell ref="F3:F4"/>
    <mergeCell ref="G3:G4"/>
    <mergeCell ref="B5:B18"/>
    <mergeCell ref="C14:G14"/>
    <mergeCell ref="C15:G15"/>
    <mergeCell ref="C16:G16"/>
    <mergeCell ref="C17:G17"/>
    <mergeCell ref="C18:G18"/>
    <mergeCell ref="B36:D37"/>
    <mergeCell ref="E36:G37"/>
    <mergeCell ref="B19:G20"/>
    <mergeCell ref="B21:E22"/>
    <mergeCell ref="F21:F22"/>
    <mergeCell ref="G21:G22"/>
    <mergeCell ref="B23:B35"/>
    <mergeCell ref="C32:G32"/>
  </mergeCells>
  <pageMargins left="0.25" right="0.25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5F58-534F-467C-BCFF-566AC8F95D28}">
  <dimension ref="B1:L48"/>
  <sheetViews>
    <sheetView view="pageLayout" zoomScaleNormal="100" workbookViewId="0">
      <selection activeCell="C25" sqref="C25:F2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Kompetenzraster!Q31</f>
        <v>46356</v>
      </c>
      <c r="F1" s="341"/>
      <c r="G1" s="344">
        <v>14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408" t="s">
        <v>216</v>
      </c>
      <c r="C3" s="409"/>
      <c r="D3" s="409"/>
      <c r="E3" s="409"/>
      <c r="F3" s="412">
        <v>5.9</v>
      </c>
      <c r="G3" s="414" t="s">
        <v>87</v>
      </c>
    </row>
    <row r="4" spans="2:12" ht="14.25" customHeight="1" x14ac:dyDescent="0.25">
      <c r="B4" s="410"/>
      <c r="C4" s="411"/>
      <c r="D4" s="411"/>
      <c r="E4" s="411"/>
      <c r="F4" s="413"/>
      <c r="G4" s="415"/>
    </row>
    <row r="5" spans="2:12" ht="15.75" customHeight="1" x14ac:dyDescent="0.25">
      <c r="B5" s="416" t="s">
        <v>88</v>
      </c>
      <c r="C5" s="92"/>
      <c r="D5" s="93"/>
      <c r="E5" s="93"/>
      <c r="F5" s="94"/>
      <c r="G5" s="62"/>
    </row>
    <row r="6" spans="2:12" x14ac:dyDescent="0.25">
      <c r="B6" s="417"/>
      <c r="C6" s="63" t="s">
        <v>118</v>
      </c>
      <c r="F6" s="95"/>
      <c r="G6" s="64"/>
    </row>
    <row r="7" spans="2:12" ht="15.75" x14ac:dyDescent="0.3">
      <c r="B7" s="417"/>
      <c r="C7" s="65" t="s">
        <v>228</v>
      </c>
      <c r="F7" s="64"/>
      <c r="G7" s="64"/>
    </row>
    <row r="8" spans="2:12" ht="15.75" x14ac:dyDescent="0.3">
      <c r="B8" s="417"/>
      <c r="C8" s="66"/>
      <c r="F8" s="64"/>
      <c r="G8" s="67"/>
    </row>
    <row r="9" spans="2:12" x14ac:dyDescent="0.25">
      <c r="B9" s="417"/>
      <c r="C9" s="63" t="s">
        <v>121</v>
      </c>
      <c r="F9" s="64"/>
      <c r="G9" s="64"/>
    </row>
    <row r="10" spans="2:12" ht="15.75" x14ac:dyDescent="0.3">
      <c r="B10" s="417"/>
      <c r="C10" s="65" t="s">
        <v>229</v>
      </c>
      <c r="F10" s="64"/>
      <c r="G10" s="64"/>
    </row>
    <row r="11" spans="2:12" ht="17.25" x14ac:dyDescent="0.3">
      <c r="B11" s="417"/>
      <c r="C11" s="65" t="s">
        <v>230</v>
      </c>
      <c r="F11" s="64"/>
      <c r="G11" s="91"/>
      <c r="I11" s="74"/>
    </row>
    <row r="12" spans="2:12" ht="17.25" x14ac:dyDescent="0.3">
      <c r="B12" s="417"/>
      <c r="C12" s="65" t="s">
        <v>231</v>
      </c>
      <c r="F12" s="64"/>
      <c r="G12" s="64"/>
      <c r="I12" s="74"/>
      <c r="L12" s="74"/>
    </row>
    <row r="13" spans="2:12" ht="17.25" x14ac:dyDescent="0.3">
      <c r="B13" s="417"/>
      <c r="C13" s="69"/>
      <c r="D13" s="70"/>
      <c r="E13" s="70"/>
      <c r="F13" s="71"/>
      <c r="G13" s="71"/>
      <c r="L13" s="74"/>
    </row>
    <row r="14" spans="2:12" ht="15.75" customHeight="1" x14ac:dyDescent="0.25">
      <c r="B14" s="418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419"/>
      <c r="C15" s="390" t="s">
        <v>218</v>
      </c>
      <c r="D15" s="426"/>
      <c r="E15" s="426"/>
      <c r="F15" s="426"/>
      <c r="G15" s="427"/>
    </row>
    <row r="16" spans="2:12" ht="15" customHeight="1" x14ac:dyDescent="0.3">
      <c r="B16" s="419"/>
      <c r="C16" s="424" t="s">
        <v>219</v>
      </c>
      <c r="D16" s="406"/>
      <c r="E16" s="406"/>
      <c r="F16" s="406"/>
      <c r="G16" s="425"/>
    </row>
    <row r="17" spans="2:11" ht="15.75" customHeight="1" x14ac:dyDescent="0.3">
      <c r="B17" s="419"/>
      <c r="C17" s="424" t="s">
        <v>220</v>
      </c>
      <c r="D17" s="407"/>
      <c r="E17" s="407"/>
      <c r="F17" s="407"/>
      <c r="G17" s="430"/>
    </row>
    <row r="18" spans="2:11" ht="15" customHeight="1" x14ac:dyDescent="0.25">
      <c r="B18" s="420"/>
      <c r="C18" s="73"/>
      <c r="D18" s="70"/>
      <c r="E18" s="70"/>
      <c r="F18" s="70"/>
      <c r="G18" s="71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208</v>
      </c>
      <c r="C21" s="377"/>
      <c r="D21" s="377"/>
      <c r="E21" s="377"/>
      <c r="F21" s="380">
        <v>5.3</v>
      </c>
      <c r="G21" s="382" t="s">
        <v>87</v>
      </c>
      <c r="K21" s="74"/>
    </row>
    <row r="22" spans="2:11" ht="15.75" customHeight="1" x14ac:dyDescent="0.25">
      <c r="B22" s="378"/>
      <c r="C22" s="237"/>
      <c r="D22" s="237"/>
      <c r="E22" s="237"/>
      <c r="F22" s="381"/>
      <c r="G22" s="383"/>
    </row>
    <row r="23" spans="2:11" x14ac:dyDescent="0.25">
      <c r="B23" s="428" t="s">
        <v>91</v>
      </c>
      <c r="C23" s="92"/>
      <c r="D23" s="93"/>
      <c r="E23" s="93"/>
      <c r="F23" s="94"/>
      <c r="G23" s="62"/>
    </row>
    <row r="24" spans="2:11" ht="17.25" x14ac:dyDescent="0.3">
      <c r="B24" s="429"/>
      <c r="C24" s="63" t="s">
        <v>159</v>
      </c>
      <c r="D24" s="68"/>
      <c r="F24" s="64"/>
      <c r="G24" s="64"/>
      <c r="J24" s="74"/>
    </row>
    <row r="25" spans="2:11" ht="17.25" x14ac:dyDescent="0.3">
      <c r="B25" s="429"/>
      <c r="C25" s="65" t="s">
        <v>227</v>
      </c>
      <c r="E25" s="68"/>
      <c r="F25" s="67"/>
      <c r="G25" s="64"/>
      <c r="J25" s="74"/>
    </row>
    <row r="26" spans="2:11" ht="15.75" customHeight="1" x14ac:dyDescent="0.25">
      <c r="B26" s="429"/>
      <c r="C26" s="66"/>
      <c r="F26" s="64"/>
      <c r="G26" s="64"/>
    </row>
    <row r="27" spans="2:11" ht="15.75" x14ac:dyDescent="0.3">
      <c r="B27" s="429"/>
      <c r="C27" s="65"/>
      <c r="F27" s="64"/>
      <c r="G27" s="64"/>
    </row>
    <row r="28" spans="2:11" ht="15.75" x14ac:dyDescent="0.3">
      <c r="B28" s="429"/>
      <c r="C28" s="96"/>
      <c r="F28" s="64"/>
      <c r="G28" s="64"/>
    </row>
    <row r="29" spans="2:11" ht="15.75" customHeight="1" x14ac:dyDescent="0.3">
      <c r="B29" s="429"/>
      <c r="C29" s="66"/>
      <c r="D29" s="68"/>
      <c r="E29" s="68"/>
      <c r="F29" s="67"/>
      <c r="G29" s="91"/>
    </row>
    <row r="30" spans="2:11" ht="15.75" customHeight="1" x14ac:dyDescent="0.25">
      <c r="B30" s="429"/>
      <c r="C30" s="63"/>
      <c r="F30" s="64"/>
      <c r="G30" s="64"/>
    </row>
    <row r="31" spans="2:11" ht="15.75" customHeight="1" x14ac:dyDescent="0.3">
      <c r="B31" s="429"/>
      <c r="C31" s="69"/>
      <c r="D31" s="70"/>
      <c r="E31" s="70"/>
      <c r="F31" s="71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225</v>
      </c>
      <c r="D33" s="68"/>
      <c r="E33" s="68"/>
      <c r="F33" s="68"/>
      <c r="G33" s="67"/>
    </row>
    <row r="34" spans="2:7" ht="15.75" x14ac:dyDescent="0.3">
      <c r="B34" s="356"/>
      <c r="C34" s="65" t="s">
        <v>226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9">
    <mergeCell ref="B36:D37"/>
    <mergeCell ref="E36:G37"/>
    <mergeCell ref="B19:G20"/>
    <mergeCell ref="B21:E22"/>
    <mergeCell ref="F21:F22"/>
    <mergeCell ref="G21:G22"/>
    <mergeCell ref="B23:B35"/>
    <mergeCell ref="C32:G32"/>
    <mergeCell ref="B5:B18"/>
    <mergeCell ref="C14:G14"/>
    <mergeCell ref="C15:G15"/>
    <mergeCell ref="C16:G16"/>
    <mergeCell ref="C17:G17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873F-F683-4F8B-9533-C8D1A4F6313F}">
  <dimension ref="B1:L48"/>
  <sheetViews>
    <sheetView view="pageLayout" zoomScaleNormal="100"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Kompetenzraster!Q33</f>
        <v>46363</v>
      </c>
      <c r="F1" s="341"/>
      <c r="G1" s="344">
        <v>15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408" t="s">
        <v>216</v>
      </c>
      <c r="C3" s="409"/>
      <c r="D3" s="409"/>
      <c r="E3" s="409"/>
      <c r="F3" s="412">
        <v>5.9</v>
      </c>
      <c r="G3" s="414" t="s">
        <v>87</v>
      </c>
    </row>
    <row r="4" spans="2:12" ht="14.25" customHeight="1" x14ac:dyDescent="0.25">
      <c r="B4" s="410"/>
      <c r="C4" s="411"/>
      <c r="D4" s="411"/>
      <c r="E4" s="411"/>
      <c r="F4" s="413"/>
      <c r="G4" s="415"/>
    </row>
    <row r="5" spans="2:12" ht="15.75" customHeight="1" x14ac:dyDescent="0.3">
      <c r="B5" s="416" t="s">
        <v>88</v>
      </c>
      <c r="C5" s="72" t="s">
        <v>233</v>
      </c>
      <c r="D5" s="93"/>
      <c r="E5" s="93"/>
      <c r="F5" s="94"/>
      <c r="G5" s="62"/>
    </row>
    <row r="6" spans="2:12" x14ac:dyDescent="0.25">
      <c r="B6" s="417"/>
      <c r="C6" s="66"/>
      <c r="F6" s="95"/>
      <c r="G6" s="64"/>
    </row>
    <row r="7" spans="2:12" x14ac:dyDescent="0.25">
      <c r="B7" s="417"/>
      <c r="C7" s="63" t="s">
        <v>187</v>
      </c>
      <c r="F7" s="64"/>
      <c r="G7" s="64"/>
    </row>
    <row r="8" spans="2:12" ht="15.75" x14ac:dyDescent="0.3">
      <c r="B8" s="417"/>
      <c r="C8" s="65" t="s">
        <v>232</v>
      </c>
      <c r="F8" s="64"/>
      <c r="G8" s="67"/>
    </row>
    <row r="9" spans="2:12" x14ac:dyDescent="0.25">
      <c r="B9" s="417"/>
      <c r="C9" s="66"/>
      <c r="F9" s="64"/>
      <c r="G9" s="64"/>
    </row>
    <row r="10" spans="2:12" x14ac:dyDescent="0.25">
      <c r="B10" s="417"/>
      <c r="C10" s="63" t="s">
        <v>197</v>
      </c>
      <c r="F10" s="64"/>
      <c r="G10" s="64"/>
    </row>
    <row r="11" spans="2:12" ht="17.25" x14ac:dyDescent="0.3">
      <c r="B11" s="417"/>
      <c r="C11" s="65" t="s">
        <v>234</v>
      </c>
      <c r="F11" s="64"/>
      <c r="G11" s="91"/>
      <c r="I11" s="74"/>
    </row>
    <row r="12" spans="2:12" ht="17.25" x14ac:dyDescent="0.3">
      <c r="B12" s="417"/>
      <c r="C12" s="65" t="s">
        <v>235</v>
      </c>
      <c r="F12" s="64"/>
      <c r="G12" s="64"/>
      <c r="I12" s="74"/>
      <c r="L12" s="74"/>
    </row>
    <row r="13" spans="2:12" ht="17.25" x14ac:dyDescent="0.3">
      <c r="B13" s="417"/>
      <c r="C13" s="69"/>
      <c r="D13" s="70"/>
      <c r="E13" s="70"/>
      <c r="F13" s="71"/>
      <c r="G13" s="71"/>
      <c r="L13" s="74"/>
    </row>
    <row r="14" spans="2:12" ht="15.75" customHeight="1" x14ac:dyDescent="0.25">
      <c r="B14" s="418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419"/>
      <c r="C15" s="390" t="s">
        <v>218</v>
      </c>
      <c r="D15" s="426"/>
      <c r="E15" s="426"/>
      <c r="F15" s="426"/>
      <c r="G15" s="427"/>
    </row>
    <row r="16" spans="2:12" ht="15" customHeight="1" x14ac:dyDescent="0.3">
      <c r="B16" s="419"/>
      <c r="C16" s="424" t="s">
        <v>219</v>
      </c>
      <c r="D16" s="406"/>
      <c r="E16" s="406"/>
      <c r="F16" s="406"/>
      <c r="G16" s="425"/>
    </row>
    <row r="17" spans="2:11" ht="15.75" customHeight="1" x14ac:dyDescent="0.3">
      <c r="B17" s="419"/>
      <c r="C17" s="424" t="s">
        <v>220</v>
      </c>
      <c r="D17" s="407"/>
      <c r="E17" s="407"/>
      <c r="F17" s="407"/>
      <c r="G17" s="430"/>
    </row>
    <row r="18" spans="2:11" ht="15" customHeight="1" x14ac:dyDescent="0.25">
      <c r="B18" s="420"/>
      <c r="C18" s="73"/>
      <c r="D18" s="70"/>
      <c r="E18" s="70"/>
      <c r="F18" s="70"/>
      <c r="G18" s="71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208</v>
      </c>
      <c r="C21" s="377"/>
      <c r="D21" s="377"/>
      <c r="E21" s="377"/>
      <c r="F21" s="380">
        <v>5.3</v>
      </c>
      <c r="G21" s="382" t="s">
        <v>87</v>
      </c>
      <c r="K21" s="74"/>
    </row>
    <row r="22" spans="2:11" ht="15.75" customHeight="1" x14ac:dyDescent="0.25">
      <c r="B22" s="378"/>
      <c r="C22" s="237"/>
      <c r="D22" s="237"/>
      <c r="E22" s="237"/>
      <c r="F22" s="381"/>
      <c r="G22" s="383"/>
    </row>
    <row r="23" spans="2:11" x14ac:dyDescent="0.25">
      <c r="B23" s="428" t="s">
        <v>91</v>
      </c>
      <c r="C23" s="92"/>
      <c r="D23" s="93"/>
      <c r="E23" s="93"/>
      <c r="F23" s="94"/>
      <c r="G23" s="62"/>
    </row>
    <row r="24" spans="2:11" ht="17.25" x14ac:dyDescent="0.3">
      <c r="B24" s="429"/>
      <c r="C24" s="63" t="s">
        <v>159</v>
      </c>
      <c r="D24" s="68"/>
      <c r="F24" s="64"/>
      <c r="G24" s="64"/>
      <c r="J24" s="74"/>
    </row>
    <row r="25" spans="2:11" ht="17.25" x14ac:dyDescent="0.3">
      <c r="B25" s="429"/>
      <c r="C25" s="65" t="s">
        <v>236</v>
      </c>
      <c r="E25" s="68"/>
      <c r="F25" s="67"/>
      <c r="G25" s="64"/>
      <c r="J25" s="74"/>
    </row>
    <row r="26" spans="2:11" ht="15.75" customHeight="1" x14ac:dyDescent="0.25">
      <c r="B26" s="429"/>
      <c r="C26" s="66"/>
      <c r="F26" s="64"/>
      <c r="G26" s="64"/>
    </row>
    <row r="27" spans="2:11" ht="15.75" x14ac:dyDescent="0.3">
      <c r="B27" s="429"/>
      <c r="C27" s="65"/>
      <c r="F27" s="64"/>
      <c r="G27" s="64"/>
    </row>
    <row r="28" spans="2:11" ht="15.75" x14ac:dyDescent="0.3">
      <c r="B28" s="429"/>
      <c r="C28" s="96"/>
      <c r="F28" s="64"/>
      <c r="G28" s="64"/>
    </row>
    <row r="29" spans="2:11" ht="15.75" customHeight="1" x14ac:dyDescent="0.3">
      <c r="B29" s="429"/>
      <c r="C29" s="66"/>
      <c r="D29" s="68"/>
      <c r="E29" s="68"/>
      <c r="F29" s="67"/>
      <c r="G29" s="91"/>
    </row>
    <row r="30" spans="2:11" ht="15.75" customHeight="1" x14ac:dyDescent="0.25">
      <c r="B30" s="429"/>
      <c r="C30" s="63"/>
      <c r="F30" s="64"/>
      <c r="G30" s="64"/>
    </row>
    <row r="31" spans="2:11" ht="15.75" customHeight="1" x14ac:dyDescent="0.3">
      <c r="B31" s="429"/>
      <c r="C31" s="69"/>
      <c r="D31" s="70"/>
      <c r="E31" s="70"/>
      <c r="F31" s="71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225</v>
      </c>
      <c r="D33" s="68"/>
      <c r="E33" s="68"/>
      <c r="F33" s="68"/>
      <c r="G33" s="67"/>
    </row>
    <row r="34" spans="2:7" ht="15.75" x14ac:dyDescent="0.3">
      <c r="B34" s="356"/>
      <c r="C34" s="65" t="s">
        <v>226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9">
    <mergeCell ref="B1:D2"/>
    <mergeCell ref="E1:F2"/>
    <mergeCell ref="G1:G2"/>
    <mergeCell ref="B3:E4"/>
    <mergeCell ref="F3:F4"/>
    <mergeCell ref="G3:G4"/>
    <mergeCell ref="B36:D37"/>
    <mergeCell ref="E36:G37"/>
    <mergeCell ref="B5:B18"/>
    <mergeCell ref="C14:G14"/>
    <mergeCell ref="C15:G15"/>
    <mergeCell ref="C16:G16"/>
    <mergeCell ref="C17:G17"/>
    <mergeCell ref="B19:G20"/>
    <mergeCell ref="B21:E22"/>
    <mergeCell ref="F21:F22"/>
    <mergeCell ref="G21:G22"/>
    <mergeCell ref="B23:B35"/>
    <mergeCell ref="C32:G32"/>
  </mergeCells>
  <pageMargins left="0.25" right="0.25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0C41-C3CE-4477-A2AF-6BCE26D92B1A}">
  <dimension ref="B1:L48"/>
  <sheetViews>
    <sheetView view="pageLayout" zoomScaleNormal="100"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Kompetenzraster!Q35</f>
        <v>46370</v>
      </c>
      <c r="F1" s="341"/>
      <c r="G1" s="344">
        <v>16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408" t="s">
        <v>216</v>
      </c>
      <c r="C3" s="409"/>
      <c r="D3" s="409"/>
      <c r="E3" s="409"/>
      <c r="F3" s="412">
        <v>5.9</v>
      </c>
      <c r="G3" s="414" t="s">
        <v>87</v>
      </c>
    </row>
    <row r="4" spans="2:12" ht="14.25" customHeight="1" x14ac:dyDescent="0.25">
      <c r="B4" s="410"/>
      <c r="C4" s="411"/>
      <c r="D4" s="411"/>
      <c r="E4" s="411"/>
      <c r="F4" s="413"/>
      <c r="G4" s="415"/>
    </row>
    <row r="5" spans="2:12" ht="15.75" customHeight="1" x14ac:dyDescent="0.3">
      <c r="B5" s="416" t="s">
        <v>88</v>
      </c>
      <c r="C5" s="72"/>
      <c r="D5" s="93"/>
      <c r="E5" s="93"/>
      <c r="F5" s="94"/>
      <c r="G5" s="62"/>
    </row>
    <row r="6" spans="2:12" x14ac:dyDescent="0.25">
      <c r="B6" s="417"/>
      <c r="C6" s="63" t="s">
        <v>197</v>
      </c>
      <c r="F6" s="95"/>
      <c r="G6" s="64"/>
    </row>
    <row r="7" spans="2:12" ht="15.75" x14ac:dyDescent="0.3">
      <c r="B7" s="417"/>
      <c r="C7" s="65" t="s">
        <v>237</v>
      </c>
      <c r="F7" s="64"/>
      <c r="G7" s="64"/>
    </row>
    <row r="8" spans="2:12" ht="15.75" x14ac:dyDescent="0.3">
      <c r="B8" s="417"/>
      <c r="C8" s="65"/>
      <c r="F8" s="64"/>
      <c r="G8" s="67"/>
    </row>
    <row r="9" spans="2:12" x14ac:dyDescent="0.25">
      <c r="B9" s="417"/>
      <c r="C9" s="63" t="s">
        <v>238</v>
      </c>
      <c r="F9" s="64"/>
      <c r="G9" s="64"/>
    </row>
    <row r="10" spans="2:12" ht="15.75" x14ac:dyDescent="0.3">
      <c r="B10" s="417"/>
      <c r="C10" s="65" t="s">
        <v>239</v>
      </c>
      <c r="F10" s="64"/>
      <c r="G10" s="64"/>
    </row>
    <row r="11" spans="2:12" ht="16.5" x14ac:dyDescent="0.25">
      <c r="B11" s="417"/>
      <c r="C11" s="66"/>
      <c r="F11" s="64"/>
      <c r="G11" s="91" t="s">
        <v>138</v>
      </c>
      <c r="I11" s="74"/>
    </row>
    <row r="12" spans="2:12" ht="16.5" x14ac:dyDescent="0.25">
      <c r="B12" s="417"/>
      <c r="C12" s="66"/>
      <c r="F12" s="64"/>
      <c r="G12" s="64"/>
      <c r="I12" s="74"/>
      <c r="L12" s="74"/>
    </row>
    <row r="13" spans="2:12" ht="17.25" x14ac:dyDescent="0.3">
      <c r="B13" s="417"/>
      <c r="C13" s="69"/>
      <c r="D13" s="70"/>
      <c r="E13" s="70"/>
      <c r="F13" s="71"/>
      <c r="G13" s="71"/>
      <c r="L13" s="74"/>
    </row>
    <row r="14" spans="2:12" ht="15.75" customHeight="1" x14ac:dyDescent="0.25">
      <c r="B14" s="418"/>
      <c r="C14" s="367" t="s">
        <v>89</v>
      </c>
      <c r="D14" s="368"/>
      <c r="E14" s="368"/>
      <c r="F14" s="368"/>
      <c r="G14" s="369"/>
      <c r="L14" s="74"/>
    </row>
    <row r="15" spans="2:12" ht="15" customHeight="1" x14ac:dyDescent="0.3">
      <c r="B15" s="419"/>
      <c r="C15" s="390" t="s">
        <v>218</v>
      </c>
      <c r="D15" s="426"/>
      <c r="E15" s="426"/>
      <c r="F15" s="426"/>
      <c r="G15" s="427"/>
    </row>
    <row r="16" spans="2:12" ht="15" customHeight="1" x14ac:dyDescent="0.3">
      <c r="B16" s="419"/>
      <c r="C16" s="424" t="s">
        <v>219</v>
      </c>
      <c r="D16" s="406"/>
      <c r="E16" s="406"/>
      <c r="F16" s="406"/>
      <c r="G16" s="425"/>
    </row>
    <row r="17" spans="2:11" ht="15.75" customHeight="1" x14ac:dyDescent="0.3">
      <c r="B17" s="419"/>
      <c r="C17" s="424" t="s">
        <v>220</v>
      </c>
      <c r="D17" s="407"/>
      <c r="E17" s="407"/>
      <c r="F17" s="407"/>
      <c r="G17" s="430"/>
    </row>
    <row r="18" spans="2:11" ht="15" customHeight="1" x14ac:dyDescent="0.25">
      <c r="B18" s="420"/>
      <c r="C18" s="73"/>
      <c r="D18" s="70"/>
      <c r="E18" s="70"/>
      <c r="F18" s="70"/>
      <c r="G18" s="71"/>
    </row>
    <row r="19" spans="2:11" ht="15.75" customHeight="1" x14ac:dyDescent="0.25">
      <c r="B19" s="370" t="s">
        <v>90</v>
      </c>
      <c r="C19" s="371"/>
      <c r="D19" s="371"/>
      <c r="E19" s="371"/>
      <c r="F19" s="371"/>
      <c r="G19" s="372"/>
    </row>
    <row r="20" spans="2:11" ht="15" customHeight="1" x14ac:dyDescent="0.25">
      <c r="B20" s="373"/>
      <c r="C20" s="374"/>
      <c r="D20" s="374"/>
      <c r="E20" s="374"/>
      <c r="F20" s="374"/>
      <c r="G20" s="375"/>
    </row>
    <row r="21" spans="2:11" ht="16.5" customHeight="1" x14ac:dyDescent="0.25">
      <c r="B21" s="376" t="s">
        <v>208</v>
      </c>
      <c r="C21" s="377"/>
      <c r="D21" s="377"/>
      <c r="E21" s="377"/>
      <c r="F21" s="380">
        <v>5.3</v>
      </c>
      <c r="G21" s="382" t="s">
        <v>87</v>
      </c>
      <c r="K21" s="74"/>
    </row>
    <row r="22" spans="2:11" ht="15.75" customHeight="1" x14ac:dyDescent="0.25">
      <c r="B22" s="378"/>
      <c r="C22" s="237"/>
      <c r="D22" s="237"/>
      <c r="E22" s="237"/>
      <c r="F22" s="381"/>
      <c r="G22" s="383"/>
    </row>
    <row r="23" spans="2:11" x14ac:dyDescent="0.25">
      <c r="B23" s="428" t="s">
        <v>91</v>
      </c>
      <c r="C23" s="92"/>
      <c r="D23" s="93"/>
      <c r="E23" s="93"/>
      <c r="F23" s="94"/>
      <c r="G23" s="62"/>
    </row>
    <row r="24" spans="2:11" ht="17.25" x14ac:dyDescent="0.3">
      <c r="B24" s="429"/>
      <c r="C24" s="63" t="s">
        <v>159</v>
      </c>
      <c r="D24" s="68"/>
      <c r="F24" s="64"/>
      <c r="G24" s="64"/>
      <c r="J24" s="74"/>
    </row>
    <row r="25" spans="2:11" ht="17.25" x14ac:dyDescent="0.3">
      <c r="B25" s="429"/>
      <c r="C25" s="65" t="s">
        <v>240</v>
      </c>
      <c r="E25" s="68"/>
      <c r="F25" s="64"/>
      <c r="G25" s="64"/>
      <c r="J25" s="74"/>
    </row>
    <row r="26" spans="2:11" ht="15.75" customHeight="1" x14ac:dyDescent="0.3">
      <c r="B26" s="429"/>
      <c r="C26" s="65" t="s">
        <v>241</v>
      </c>
      <c r="F26" s="64"/>
      <c r="G26" s="64"/>
    </row>
    <row r="27" spans="2:11" ht="15.75" x14ac:dyDescent="0.3">
      <c r="B27" s="429"/>
      <c r="C27" s="65"/>
      <c r="F27" s="64"/>
      <c r="G27" s="64"/>
    </row>
    <row r="28" spans="2:11" ht="15.75" x14ac:dyDescent="0.3">
      <c r="B28" s="429"/>
      <c r="C28" s="96"/>
      <c r="F28" s="64"/>
      <c r="G28" s="64"/>
    </row>
    <row r="29" spans="2:11" ht="15.75" customHeight="1" x14ac:dyDescent="0.3">
      <c r="B29" s="429"/>
      <c r="C29" s="66"/>
      <c r="D29" s="68"/>
      <c r="E29" s="68"/>
      <c r="F29" s="67"/>
      <c r="G29" s="91" t="s">
        <v>138</v>
      </c>
    </row>
    <row r="30" spans="2:11" ht="15.75" customHeight="1" x14ac:dyDescent="0.25">
      <c r="B30" s="429"/>
      <c r="C30" s="63"/>
      <c r="F30" s="64"/>
      <c r="G30" s="64"/>
    </row>
    <row r="31" spans="2:11" ht="15.75" customHeight="1" x14ac:dyDescent="0.3">
      <c r="B31" s="429"/>
      <c r="C31" s="69"/>
      <c r="D31" s="70"/>
      <c r="E31" s="70"/>
      <c r="F31" s="71"/>
      <c r="G31" s="71"/>
    </row>
    <row r="32" spans="2:11" x14ac:dyDescent="0.25">
      <c r="B32" s="355"/>
      <c r="C32" s="358" t="s">
        <v>89</v>
      </c>
      <c r="D32" s="359"/>
      <c r="E32" s="359"/>
      <c r="F32" s="359"/>
      <c r="G32" s="360"/>
    </row>
    <row r="33" spans="2:7" ht="15.75" x14ac:dyDescent="0.3">
      <c r="B33" s="355"/>
      <c r="C33" s="65" t="s">
        <v>225</v>
      </c>
      <c r="D33" s="68"/>
      <c r="E33" s="68"/>
      <c r="F33" s="68"/>
      <c r="G33" s="67"/>
    </row>
    <row r="34" spans="2:7" ht="15.75" x14ac:dyDescent="0.3">
      <c r="B34" s="356"/>
      <c r="C34" s="65" t="s">
        <v>226</v>
      </c>
      <c r="G34" s="64"/>
    </row>
    <row r="35" spans="2:7" ht="15.75" customHeight="1" x14ac:dyDescent="0.3">
      <c r="B35" s="357"/>
      <c r="C35" s="69"/>
      <c r="D35" s="70"/>
      <c r="E35" s="70"/>
      <c r="F35" s="70"/>
      <c r="G35" s="71"/>
    </row>
    <row r="36" spans="2:7" ht="15.75" customHeight="1" x14ac:dyDescent="0.25">
      <c r="B36" s="361" t="s">
        <v>92</v>
      </c>
      <c r="C36" s="362"/>
      <c r="D36" s="362"/>
      <c r="E36" s="361" t="s">
        <v>93</v>
      </c>
      <c r="F36" s="362"/>
      <c r="G36" s="365"/>
    </row>
    <row r="37" spans="2:7" ht="15.75" customHeight="1" x14ac:dyDescent="0.25">
      <c r="B37" s="363"/>
      <c r="C37" s="364"/>
      <c r="D37" s="364"/>
      <c r="E37" s="363"/>
      <c r="F37" s="364"/>
      <c r="G37" s="366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9">
    <mergeCell ref="B36:D37"/>
    <mergeCell ref="E36:G37"/>
    <mergeCell ref="B5:B18"/>
    <mergeCell ref="C14:G14"/>
    <mergeCell ref="C15:G15"/>
    <mergeCell ref="C16:G16"/>
    <mergeCell ref="C17:G17"/>
    <mergeCell ref="B19:G20"/>
    <mergeCell ref="B21:E22"/>
    <mergeCell ref="F21:F22"/>
    <mergeCell ref="G21:G22"/>
    <mergeCell ref="B23:B35"/>
    <mergeCell ref="C32:G3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D2BD-4389-4E11-A3CA-D8CB9FA00745}">
  <dimension ref="B1:L48"/>
  <sheetViews>
    <sheetView view="pageLayout" zoomScaleNormal="100" workbookViewId="0">
      <selection activeCell="R42" sqref="R4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Kompetenzraster!Q37</f>
        <v>46391</v>
      </c>
      <c r="F1" s="341"/>
      <c r="G1" s="344">
        <v>17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376" t="s">
        <v>242</v>
      </c>
      <c r="C3" s="165"/>
      <c r="D3" s="165"/>
      <c r="E3" s="165"/>
      <c r="F3" s="436">
        <v>5.0999999999999996</v>
      </c>
      <c r="G3" s="382" t="s">
        <v>87</v>
      </c>
    </row>
    <row r="4" spans="2:12" ht="14.25" customHeight="1" x14ac:dyDescent="0.25">
      <c r="B4" s="435"/>
      <c r="C4" s="167"/>
      <c r="D4" s="167"/>
      <c r="E4" s="167"/>
      <c r="F4" s="437"/>
      <c r="G4" s="383"/>
    </row>
    <row r="5" spans="2:12" ht="15.75" customHeight="1" x14ac:dyDescent="0.25">
      <c r="B5" s="428" t="s">
        <v>88</v>
      </c>
      <c r="C5" s="88" t="s">
        <v>256</v>
      </c>
      <c r="D5" s="89"/>
      <c r="E5" s="89"/>
      <c r="F5" s="90" t="s">
        <v>212</v>
      </c>
      <c r="G5" s="62"/>
    </row>
    <row r="6" spans="2:12" x14ac:dyDescent="0.25">
      <c r="B6" s="429"/>
      <c r="C6" s="66"/>
      <c r="F6" s="95"/>
      <c r="G6" s="64"/>
    </row>
    <row r="7" spans="2:12" x14ac:dyDescent="0.25">
      <c r="B7" s="429"/>
      <c r="C7" s="63" t="s">
        <v>243</v>
      </c>
      <c r="F7" s="64"/>
      <c r="G7" s="64"/>
    </row>
    <row r="8" spans="2:12" ht="15.75" x14ac:dyDescent="0.3">
      <c r="B8" s="429"/>
      <c r="C8" s="65" t="s">
        <v>244</v>
      </c>
      <c r="F8" s="64"/>
      <c r="G8" s="67"/>
    </row>
    <row r="9" spans="2:12" ht="15.75" x14ac:dyDescent="0.3">
      <c r="B9" s="429"/>
      <c r="C9" s="65" t="s">
        <v>245</v>
      </c>
      <c r="F9" s="64"/>
      <c r="G9" s="64"/>
    </row>
    <row r="10" spans="2:12" ht="15.75" x14ac:dyDescent="0.3">
      <c r="B10" s="429"/>
      <c r="C10" s="65" t="s">
        <v>259</v>
      </c>
      <c r="F10" s="64"/>
      <c r="G10" s="64"/>
    </row>
    <row r="11" spans="2:12" ht="16.5" x14ac:dyDescent="0.25">
      <c r="B11" s="429"/>
      <c r="C11" s="66"/>
      <c r="F11" s="64"/>
      <c r="G11" s="64"/>
      <c r="I11" s="74"/>
      <c r="L11" s="74"/>
    </row>
    <row r="12" spans="2:12" ht="16.5" x14ac:dyDescent="0.25">
      <c r="B12" s="429"/>
      <c r="C12" s="101" t="s">
        <v>255</v>
      </c>
      <c r="D12" s="70"/>
      <c r="E12" s="70"/>
      <c r="F12" s="71"/>
      <c r="G12" s="71"/>
      <c r="L12" s="74"/>
    </row>
    <row r="13" spans="2:12" ht="15.75" customHeight="1" x14ac:dyDescent="0.25">
      <c r="B13" s="431"/>
      <c r="C13" s="367" t="s">
        <v>89</v>
      </c>
      <c r="D13" s="368"/>
      <c r="E13" s="368"/>
      <c r="F13" s="368"/>
      <c r="G13" s="369"/>
      <c r="L13" s="74"/>
    </row>
    <row r="14" spans="2:12" ht="15" customHeight="1" x14ac:dyDescent="0.25">
      <c r="B14" s="432"/>
      <c r="C14" s="58"/>
      <c r="D14" s="75"/>
      <c r="E14" s="75"/>
      <c r="F14" s="75"/>
      <c r="G14" s="99"/>
    </row>
    <row r="15" spans="2:12" ht="15" customHeight="1" x14ac:dyDescent="0.3">
      <c r="B15" s="432"/>
      <c r="C15" s="65" t="s">
        <v>247</v>
      </c>
      <c r="D15" s="68"/>
      <c r="E15" s="100"/>
      <c r="G15" s="64"/>
    </row>
    <row r="16" spans="2:12" ht="15" customHeight="1" x14ac:dyDescent="0.3">
      <c r="B16" s="432"/>
      <c r="C16" s="65" t="s">
        <v>248</v>
      </c>
      <c r="D16" s="100"/>
      <c r="E16" s="100"/>
      <c r="G16" s="64"/>
    </row>
    <row r="17" spans="2:11" ht="15" customHeight="1" x14ac:dyDescent="0.3">
      <c r="B17" s="432"/>
      <c r="C17" s="65" t="s">
        <v>249</v>
      </c>
      <c r="D17" s="100"/>
      <c r="E17" s="100"/>
      <c r="G17" s="64"/>
    </row>
    <row r="18" spans="2:11" ht="15" customHeight="1" x14ac:dyDescent="0.3">
      <c r="B18" s="432"/>
      <c r="C18" s="65" t="s">
        <v>246</v>
      </c>
      <c r="D18" s="100"/>
      <c r="E18" s="100"/>
      <c r="G18" s="64"/>
    </row>
    <row r="19" spans="2:11" ht="15" customHeight="1" x14ac:dyDescent="0.3">
      <c r="B19" s="432"/>
      <c r="C19" s="65" t="s">
        <v>250</v>
      </c>
      <c r="D19" s="100"/>
      <c r="E19" s="100"/>
      <c r="G19" s="64"/>
    </row>
    <row r="20" spans="2:11" ht="15" customHeight="1" x14ac:dyDescent="0.3">
      <c r="B20" s="432"/>
      <c r="C20" s="65" t="s">
        <v>251</v>
      </c>
      <c r="D20" s="100"/>
      <c r="E20" s="100"/>
      <c r="G20" s="64"/>
    </row>
    <row r="21" spans="2:11" ht="15" customHeight="1" x14ac:dyDescent="0.3">
      <c r="B21" s="432"/>
      <c r="C21" s="65" t="s">
        <v>252</v>
      </c>
      <c r="D21" s="100"/>
      <c r="E21" s="100"/>
      <c r="G21" s="64"/>
    </row>
    <row r="22" spans="2:11" ht="15" customHeight="1" x14ac:dyDescent="0.3">
      <c r="B22" s="432"/>
      <c r="C22" s="65" t="s">
        <v>253</v>
      </c>
      <c r="D22" s="100"/>
      <c r="E22" s="100"/>
      <c r="G22" s="64"/>
    </row>
    <row r="23" spans="2:11" ht="15.75" customHeight="1" x14ac:dyDescent="0.3">
      <c r="B23" s="432"/>
      <c r="C23" s="65" t="s">
        <v>254</v>
      </c>
      <c r="D23" s="100"/>
      <c r="E23" s="100"/>
      <c r="G23" s="64"/>
    </row>
    <row r="24" spans="2:11" ht="15.75" customHeight="1" x14ac:dyDescent="0.25">
      <c r="B24" s="370" t="s">
        <v>90</v>
      </c>
      <c r="C24" s="433"/>
      <c r="D24" s="433"/>
      <c r="E24" s="433"/>
      <c r="F24" s="433"/>
      <c r="G24" s="434"/>
    </row>
    <row r="25" spans="2:11" ht="15" customHeight="1" x14ac:dyDescent="0.25">
      <c r="B25" s="373"/>
      <c r="C25" s="374"/>
      <c r="D25" s="374"/>
      <c r="E25" s="374"/>
      <c r="F25" s="374"/>
      <c r="G25" s="375"/>
    </row>
    <row r="26" spans="2:11" ht="16.5" customHeight="1" x14ac:dyDescent="0.25">
      <c r="B26" s="376" t="s">
        <v>242</v>
      </c>
      <c r="C26" s="165"/>
      <c r="D26" s="165"/>
      <c r="E26" s="165"/>
      <c r="F26" s="436">
        <v>5.0999999999999996</v>
      </c>
      <c r="G26" s="382" t="s">
        <v>87</v>
      </c>
      <c r="K26" s="74"/>
    </row>
    <row r="27" spans="2:11" ht="15.75" customHeight="1" x14ac:dyDescent="0.25">
      <c r="B27" s="435"/>
      <c r="C27" s="167"/>
      <c r="D27" s="167"/>
      <c r="E27" s="167"/>
      <c r="F27" s="437"/>
      <c r="G27" s="383"/>
    </row>
    <row r="28" spans="2:11" x14ac:dyDescent="0.25">
      <c r="B28" s="428" t="s">
        <v>91</v>
      </c>
      <c r="C28" s="92"/>
      <c r="D28" s="93"/>
      <c r="E28" s="93"/>
      <c r="F28" s="94"/>
      <c r="G28" s="62"/>
    </row>
    <row r="29" spans="2:11" ht="15.75" customHeight="1" x14ac:dyDescent="0.25">
      <c r="B29" s="429"/>
      <c r="C29" s="63" t="s">
        <v>255</v>
      </c>
      <c r="F29" s="64"/>
      <c r="G29" s="64"/>
    </row>
    <row r="30" spans="2:11" ht="15.75" customHeight="1" x14ac:dyDescent="0.3">
      <c r="B30" s="429"/>
      <c r="C30" s="69"/>
      <c r="D30" s="70"/>
      <c r="E30" s="70"/>
      <c r="F30" s="71"/>
      <c r="G30" s="71"/>
    </row>
    <row r="31" spans="2:11" x14ac:dyDescent="0.25">
      <c r="B31" s="355"/>
      <c r="C31" s="358" t="s">
        <v>89</v>
      </c>
      <c r="D31" s="359"/>
      <c r="E31" s="359"/>
      <c r="F31" s="359"/>
      <c r="G31" s="360"/>
    </row>
    <row r="32" spans="2:11" ht="15.75" x14ac:dyDescent="0.3">
      <c r="B32" s="355"/>
      <c r="C32" s="65"/>
      <c r="D32" s="68"/>
      <c r="E32" s="68"/>
      <c r="F32" s="68"/>
      <c r="G32" s="67"/>
    </row>
    <row r="33" spans="2:7" ht="15.75" x14ac:dyDescent="0.3">
      <c r="B33" s="356"/>
      <c r="C33" s="65"/>
      <c r="G33" s="64"/>
    </row>
    <row r="34" spans="2:7" ht="15.75" customHeight="1" x14ac:dyDescent="0.3">
      <c r="B34" s="357"/>
      <c r="C34" s="69"/>
      <c r="D34" s="70"/>
      <c r="E34" s="70"/>
      <c r="F34" s="70"/>
      <c r="G34" s="71"/>
    </row>
    <row r="35" spans="2:7" ht="15.75" customHeight="1" x14ac:dyDescent="0.25">
      <c r="B35" s="361" t="s">
        <v>92</v>
      </c>
      <c r="C35" s="362"/>
      <c r="D35" s="362"/>
      <c r="E35" s="361" t="s">
        <v>93</v>
      </c>
      <c r="F35" s="362"/>
      <c r="G35" s="365"/>
    </row>
    <row r="36" spans="2:7" ht="15.75" customHeight="1" x14ac:dyDescent="0.25">
      <c r="B36" s="363"/>
      <c r="C36" s="364"/>
      <c r="D36" s="364"/>
      <c r="E36" s="363"/>
      <c r="F36" s="364"/>
      <c r="G36" s="366"/>
    </row>
    <row r="37" spans="2:7" ht="15.75" customHeight="1" x14ac:dyDescent="0.25">
      <c r="B37" s="66"/>
      <c r="D37" s="64"/>
      <c r="E37" s="66"/>
      <c r="G37" s="64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6">
    <mergeCell ref="B1:D2"/>
    <mergeCell ref="E1:F2"/>
    <mergeCell ref="G1:G2"/>
    <mergeCell ref="B3:E4"/>
    <mergeCell ref="F3:F4"/>
    <mergeCell ref="G3:G4"/>
    <mergeCell ref="B35:D36"/>
    <mergeCell ref="E35:G36"/>
    <mergeCell ref="B5:B23"/>
    <mergeCell ref="C13:G13"/>
    <mergeCell ref="B24:G25"/>
    <mergeCell ref="B26:E27"/>
    <mergeCell ref="F26:F27"/>
    <mergeCell ref="G26:G27"/>
    <mergeCell ref="B28:B34"/>
    <mergeCell ref="C31:G31"/>
  </mergeCells>
  <pageMargins left="0.25" right="0.25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7F9A-0A28-48E5-A951-3EDC9153E710}">
  <dimension ref="B1:L48"/>
  <sheetViews>
    <sheetView view="pageLayout" zoomScaleNormal="100" workbookViewId="0">
      <selection activeCell="C5" sqref="C5:F11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Kompetenzraster!Q39</f>
        <v>46398</v>
      </c>
      <c r="F1" s="341"/>
      <c r="G1" s="344">
        <v>18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376" t="s">
        <v>242</v>
      </c>
      <c r="C3" s="165"/>
      <c r="D3" s="165"/>
      <c r="E3" s="165"/>
      <c r="F3" s="436">
        <v>5.0999999999999996</v>
      </c>
      <c r="G3" s="382" t="s">
        <v>87</v>
      </c>
    </row>
    <row r="4" spans="2:12" ht="14.25" customHeight="1" x14ac:dyDescent="0.25">
      <c r="B4" s="435"/>
      <c r="C4" s="167"/>
      <c r="D4" s="167"/>
      <c r="E4" s="167"/>
      <c r="F4" s="437"/>
      <c r="G4" s="383"/>
    </row>
    <row r="5" spans="2:12" ht="15.75" customHeight="1" x14ac:dyDescent="0.25">
      <c r="B5" s="428" t="s">
        <v>88</v>
      </c>
      <c r="C5" s="86" t="s">
        <v>255</v>
      </c>
      <c r="D5" s="75"/>
      <c r="E5" s="93"/>
      <c r="F5" s="94"/>
      <c r="G5" s="62"/>
    </row>
    <row r="6" spans="2:12" x14ac:dyDescent="0.25">
      <c r="B6" s="429"/>
      <c r="C6" s="66"/>
      <c r="F6" s="95"/>
      <c r="G6" s="64"/>
    </row>
    <row r="7" spans="2:12" x14ac:dyDescent="0.25">
      <c r="B7" s="429"/>
      <c r="C7" s="63"/>
      <c r="F7" s="64"/>
      <c r="G7" s="64"/>
    </row>
    <row r="8" spans="2:12" ht="15.75" x14ac:dyDescent="0.3">
      <c r="B8" s="429"/>
      <c r="C8" s="65"/>
      <c r="F8" s="64"/>
      <c r="G8" s="67"/>
    </row>
    <row r="9" spans="2:12" ht="15.75" x14ac:dyDescent="0.3">
      <c r="B9" s="429"/>
      <c r="C9" s="65"/>
      <c r="F9" s="64"/>
      <c r="G9" s="64"/>
    </row>
    <row r="10" spans="2:12" ht="15.75" x14ac:dyDescent="0.3">
      <c r="B10" s="429"/>
      <c r="C10" s="65"/>
      <c r="F10" s="64"/>
      <c r="G10" s="64"/>
    </row>
    <row r="11" spans="2:12" ht="16.5" x14ac:dyDescent="0.25">
      <c r="B11" s="429"/>
      <c r="C11" s="66"/>
      <c r="F11" s="64"/>
      <c r="G11" s="64"/>
      <c r="I11" s="74"/>
      <c r="L11" s="74"/>
    </row>
    <row r="12" spans="2:12" ht="16.5" x14ac:dyDescent="0.25">
      <c r="B12" s="429"/>
      <c r="C12" s="438" t="s">
        <v>264</v>
      </c>
      <c r="D12" s="439"/>
      <c r="E12" s="439"/>
      <c r="F12" s="440"/>
      <c r="G12" s="71"/>
      <c r="L12" s="74"/>
    </row>
    <row r="13" spans="2:12" ht="15.75" customHeight="1" x14ac:dyDescent="0.25">
      <c r="B13" s="431"/>
      <c r="C13" s="367" t="s">
        <v>89</v>
      </c>
      <c r="D13" s="368"/>
      <c r="E13" s="368"/>
      <c r="F13" s="368"/>
      <c r="G13" s="369"/>
      <c r="L13" s="74"/>
    </row>
    <row r="14" spans="2:12" ht="15" customHeight="1" x14ac:dyDescent="0.25">
      <c r="B14" s="432"/>
      <c r="C14" s="58"/>
      <c r="D14" s="75"/>
      <c r="E14" s="75"/>
      <c r="F14" s="75"/>
      <c r="G14" s="99"/>
    </row>
    <row r="15" spans="2:12" ht="15" customHeight="1" x14ac:dyDescent="0.3">
      <c r="B15" s="432"/>
      <c r="C15" s="65" t="s">
        <v>247</v>
      </c>
      <c r="D15" s="68"/>
      <c r="E15" s="100"/>
      <c r="G15" s="64"/>
    </row>
    <row r="16" spans="2:12" ht="15" customHeight="1" x14ac:dyDescent="0.3">
      <c r="B16" s="432"/>
      <c r="C16" s="65" t="s">
        <v>248</v>
      </c>
      <c r="D16" s="100"/>
      <c r="E16" s="100"/>
      <c r="G16" s="64"/>
    </row>
    <row r="17" spans="2:11" ht="15" customHeight="1" x14ac:dyDescent="0.3">
      <c r="B17" s="432"/>
      <c r="C17" s="65" t="s">
        <v>249</v>
      </c>
      <c r="D17" s="100"/>
      <c r="E17" s="100"/>
      <c r="G17" s="64"/>
    </row>
    <row r="18" spans="2:11" ht="15" customHeight="1" x14ac:dyDescent="0.3">
      <c r="B18" s="432"/>
      <c r="C18" s="65" t="s">
        <v>246</v>
      </c>
      <c r="D18" s="100"/>
      <c r="E18" s="100"/>
      <c r="G18" s="64"/>
    </row>
    <row r="19" spans="2:11" ht="15" customHeight="1" x14ac:dyDescent="0.3">
      <c r="B19" s="432"/>
      <c r="C19" s="65" t="s">
        <v>250</v>
      </c>
      <c r="D19" s="100"/>
      <c r="E19" s="100"/>
      <c r="G19" s="64"/>
    </row>
    <row r="20" spans="2:11" ht="15" customHeight="1" x14ac:dyDescent="0.3">
      <c r="B20" s="432"/>
      <c r="C20" s="65" t="s">
        <v>251</v>
      </c>
      <c r="D20" s="100"/>
      <c r="E20" s="100"/>
      <c r="G20" s="64"/>
    </row>
    <row r="21" spans="2:11" ht="15" customHeight="1" x14ac:dyDescent="0.3">
      <c r="B21" s="432"/>
      <c r="C21" s="65" t="s">
        <v>252</v>
      </c>
      <c r="D21" s="100"/>
      <c r="E21" s="100"/>
      <c r="G21" s="64"/>
    </row>
    <row r="22" spans="2:11" ht="15" customHeight="1" x14ac:dyDescent="0.3">
      <c r="B22" s="432"/>
      <c r="C22" s="65" t="s">
        <v>253</v>
      </c>
      <c r="D22" s="100"/>
      <c r="E22" s="100"/>
      <c r="G22" s="64"/>
    </row>
    <row r="23" spans="2:11" ht="15.75" customHeight="1" x14ac:dyDescent="0.3">
      <c r="B23" s="432"/>
      <c r="C23" s="65" t="s">
        <v>254</v>
      </c>
      <c r="D23" s="100"/>
      <c r="E23" s="100"/>
      <c r="G23" s="64"/>
    </row>
    <row r="24" spans="2:11" ht="15.75" customHeight="1" x14ac:dyDescent="0.25">
      <c r="B24" s="370" t="s">
        <v>90</v>
      </c>
      <c r="C24" s="433"/>
      <c r="D24" s="433"/>
      <c r="E24" s="433"/>
      <c r="F24" s="433"/>
      <c r="G24" s="434"/>
    </row>
    <row r="25" spans="2:11" ht="15" customHeight="1" x14ac:dyDescent="0.25">
      <c r="B25" s="373"/>
      <c r="C25" s="374"/>
      <c r="D25" s="374"/>
      <c r="E25" s="374"/>
      <c r="F25" s="374"/>
      <c r="G25" s="375"/>
    </row>
    <row r="26" spans="2:11" ht="16.5" customHeight="1" x14ac:dyDescent="0.25">
      <c r="B26" s="376" t="s">
        <v>242</v>
      </c>
      <c r="C26" s="165"/>
      <c r="D26" s="165"/>
      <c r="E26" s="165"/>
      <c r="F26" s="436">
        <v>5.0999999999999996</v>
      </c>
      <c r="G26" s="382" t="s">
        <v>87</v>
      </c>
      <c r="K26" s="74"/>
    </row>
    <row r="27" spans="2:11" ht="15.75" customHeight="1" x14ac:dyDescent="0.25">
      <c r="B27" s="435"/>
      <c r="C27" s="167"/>
      <c r="D27" s="167"/>
      <c r="E27" s="167"/>
      <c r="F27" s="437"/>
      <c r="G27" s="383"/>
    </row>
    <row r="28" spans="2:11" x14ac:dyDescent="0.25">
      <c r="B28" s="428" t="s">
        <v>91</v>
      </c>
      <c r="C28" s="92"/>
      <c r="D28" s="93"/>
      <c r="E28" s="93"/>
      <c r="F28" s="94"/>
      <c r="G28" s="62"/>
    </row>
    <row r="29" spans="2:11" ht="15.75" customHeight="1" x14ac:dyDescent="0.25">
      <c r="B29" s="429"/>
      <c r="C29" s="63" t="s">
        <v>255</v>
      </c>
      <c r="F29" s="64"/>
      <c r="G29" s="64"/>
    </row>
    <row r="30" spans="2:11" ht="15.75" customHeight="1" x14ac:dyDescent="0.3">
      <c r="B30" s="429"/>
      <c r="C30" s="69"/>
      <c r="D30" s="70"/>
      <c r="E30" s="70"/>
      <c r="F30" s="71"/>
      <c r="G30" s="71"/>
    </row>
    <row r="31" spans="2:11" x14ac:dyDescent="0.25">
      <c r="B31" s="355"/>
      <c r="C31" s="358" t="s">
        <v>89</v>
      </c>
      <c r="D31" s="359"/>
      <c r="E31" s="359"/>
      <c r="F31" s="359"/>
      <c r="G31" s="360"/>
    </row>
    <row r="32" spans="2:11" ht="15.75" x14ac:dyDescent="0.3">
      <c r="B32" s="355"/>
      <c r="C32" s="65"/>
      <c r="D32" s="68"/>
      <c r="E32" s="68"/>
      <c r="F32" s="68"/>
      <c r="G32" s="67"/>
    </row>
    <row r="33" spans="2:7" ht="15.75" x14ac:dyDescent="0.3">
      <c r="B33" s="356"/>
      <c r="C33" s="65"/>
      <c r="G33" s="64"/>
    </row>
    <row r="34" spans="2:7" ht="15.75" customHeight="1" x14ac:dyDescent="0.3">
      <c r="B34" s="357"/>
      <c r="C34" s="69"/>
      <c r="D34" s="70"/>
      <c r="E34" s="70"/>
      <c r="F34" s="70"/>
      <c r="G34" s="71"/>
    </row>
    <row r="35" spans="2:7" ht="15.75" customHeight="1" x14ac:dyDescent="0.25">
      <c r="B35" s="361" t="s">
        <v>92</v>
      </c>
      <c r="C35" s="362"/>
      <c r="D35" s="362"/>
      <c r="E35" s="361" t="s">
        <v>93</v>
      </c>
      <c r="F35" s="362"/>
      <c r="G35" s="365"/>
    </row>
    <row r="36" spans="2:7" ht="15.75" customHeight="1" x14ac:dyDescent="0.25">
      <c r="B36" s="363"/>
      <c r="C36" s="364"/>
      <c r="D36" s="364"/>
      <c r="E36" s="363"/>
      <c r="F36" s="364"/>
      <c r="G36" s="366"/>
    </row>
    <row r="37" spans="2:7" ht="15.75" customHeight="1" x14ac:dyDescent="0.25">
      <c r="B37" s="66"/>
      <c r="D37" s="64"/>
      <c r="E37" s="66"/>
      <c r="G37" s="64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B1:D2"/>
    <mergeCell ref="E1:F2"/>
    <mergeCell ref="G1:G2"/>
    <mergeCell ref="B3:E4"/>
    <mergeCell ref="F3:F4"/>
    <mergeCell ref="G3:G4"/>
    <mergeCell ref="B28:B34"/>
    <mergeCell ref="C31:G31"/>
    <mergeCell ref="B35:D36"/>
    <mergeCell ref="E35:G36"/>
    <mergeCell ref="B5:B23"/>
    <mergeCell ref="C13:G13"/>
    <mergeCell ref="B24:G25"/>
    <mergeCell ref="B26:E27"/>
    <mergeCell ref="F26:F27"/>
    <mergeCell ref="G26:G27"/>
    <mergeCell ref="C12:F12"/>
  </mergeCells>
  <pageMargins left="0.25" right="0.25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AF46-6EB5-4A4E-97F6-FAB8C5FF54E2}">
  <dimension ref="B1:L48"/>
  <sheetViews>
    <sheetView tabSelected="1" view="pageLayout" zoomScaleNormal="100" workbookViewId="0">
      <selection activeCell="F19" sqref="F1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336" t="s">
        <v>86</v>
      </c>
      <c r="C1" s="337"/>
      <c r="D1" s="337"/>
      <c r="E1" s="340">
        <f>ST_18_KW_3!E1+7</f>
        <v>46405</v>
      </c>
      <c r="F1" s="341"/>
      <c r="G1" s="344">
        <v>19</v>
      </c>
    </row>
    <row r="2" spans="2:12" x14ac:dyDescent="0.25">
      <c r="B2" s="338"/>
      <c r="C2" s="339"/>
      <c r="D2" s="339"/>
      <c r="E2" s="342"/>
      <c r="F2" s="343"/>
      <c r="G2" s="345"/>
    </row>
    <row r="3" spans="2:12" ht="15.75" customHeight="1" x14ac:dyDescent="0.25">
      <c r="B3" s="376"/>
      <c r="C3" s="165"/>
      <c r="D3" s="165"/>
      <c r="E3" s="165"/>
      <c r="F3" s="436"/>
      <c r="G3" s="382" t="s">
        <v>87</v>
      </c>
    </row>
    <row r="4" spans="2:12" ht="14.25" customHeight="1" x14ac:dyDescent="0.25">
      <c r="B4" s="435"/>
      <c r="C4" s="167"/>
      <c r="D4" s="167"/>
      <c r="E4" s="167"/>
      <c r="F4" s="437"/>
      <c r="G4" s="383"/>
    </row>
    <row r="5" spans="2:12" ht="15.75" customHeight="1" x14ac:dyDescent="0.25">
      <c r="B5" s="428" t="s">
        <v>88</v>
      </c>
      <c r="C5" s="86"/>
      <c r="D5" s="75"/>
      <c r="E5" s="93"/>
      <c r="F5" s="94"/>
      <c r="G5" s="62"/>
    </row>
    <row r="6" spans="2:12" x14ac:dyDescent="0.25">
      <c r="B6" s="429"/>
      <c r="C6" s="66"/>
      <c r="F6" s="95"/>
      <c r="G6" s="64"/>
    </row>
    <row r="7" spans="2:12" x14ac:dyDescent="0.25">
      <c r="B7" s="429"/>
      <c r="C7" s="63"/>
      <c r="F7" s="64"/>
      <c r="G7" s="64"/>
    </row>
    <row r="8" spans="2:12" ht="15.75" x14ac:dyDescent="0.3">
      <c r="B8" s="429"/>
      <c r="C8" s="65"/>
      <c r="F8" s="64"/>
      <c r="G8" s="67"/>
    </row>
    <row r="9" spans="2:12" ht="15.75" x14ac:dyDescent="0.3">
      <c r="B9" s="429"/>
      <c r="C9" s="65"/>
      <c r="F9" s="64"/>
      <c r="G9" s="64"/>
    </row>
    <row r="10" spans="2:12" ht="15.75" x14ac:dyDescent="0.3">
      <c r="B10" s="429"/>
      <c r="C10" s="65"/>
      <c r="F10" s="64"/>
      <c r="G10" s="64"/>
    </row>
    <row r="11" spans="2:12" ht="16.5" x14ac:dyDescent="0.25">
      <c r="B11" s="429"/>
      <c r="C11" s="66"/>
      <c r="F11" s="64"/>
      <c r="G11" s="64"/>
      <c r="I11" s="74"/>
      <c r="L11" s="74"/>
    </row>
    <row r="12" spans="2:12" ht="16.5" x14ac:dyDescent="0.25">
      <c r="B12" s="429"/>
      <c r="C12" s="477"/>
      <c r="D12" s="478"/>
      <c r="E12" s="478"/>
      <c r="F12" s="479"/>
      <c r="G12" s="71"/>
      <c r="L12" s="74"/>
    </row>
    <row r="13" spans="2:12" ht="15.75" customHeight="1" x14ac:dyDescent="0.25">
      <c r="B13" s="431"/>
      <c r="C13" s="367" t="s">
        <v>89</v>
      </c>
      <c r="D13" s="368"/>
      <c r="E13" s="368"/>
      <c r="F13" s="368"/>
      <c r="G13" s="369"/>
      <c r="L13" s="74"/>
    </row>
    <row r="14" spans="2:12" ht="15" customHeight="1" x14ac:dyDescent="0.25">
      <c r="B14" s="432"/>
      <c r="C14" s="58"/>
      <c r="D14" s="75"/>
      <c r="E14" s="75"/>
      <c r="F14" s="75"/>
      <c r="G14" s="99"/>
    </row>
    <row r="15" spans="2:12" ht="15" customHeight="1" x14ac:dyDescent="0.3">
      <c r="B15" s="432"/>
      <c r="C15" s="65"/>
      <c r="D15" s="68"/>
      <c r="E15" s="100"/>
      <c r="G15" s="64"/>
    </row>
    <row r="16" spans="2:12" ht="15" customHeight="1" x14ac:dyDescent="0.3">
      <c r="B16" s="432"/>
      <c r="C16" s="65"/>
      <c r="D16" s="100"/>
      <c r="E16" s="100"/>
      <c r="G16" s="64"/>
    </row>
    <row r="17" spans="2:11" ht="15" customHeight="1" x14ac:dyDescent="0.3">
      <c r="B17" s="432"/>
      <c r="C17" s="65"/>
      <c r="D17" s="100"/>
      <c r="E17" s="100"/>
      <c r="G17" s="64"/>
    </row>
    <row r="18" spans="2:11" ht="15" customHeight="1" x14ac:dyDescent="0.3">
      <c r="B18" s="432"/>
      <c r="C18" s="65"/>
      <c r="D18" s="100"/>
      <c r="E18" s="100"/>
      <c r="G18" s="64"/>
    </row>
    <row r="19" spans="2:11" ht="15" customHeight="1" x14ac:dyDescent="0.3">
      <c r="B19" s="432"/>
      <c r="C19" s="65"/>
      <c r="D19" s="100"/>
      <c r="E19" s="100"/>
      <c r="G19" s="64"/>
    </row>
    <row r="20" spans="2:11" ht="15" customHeight="1" x14ac:dyDescent="0.3">
      <c r="B20" s="432"/>
      <c r="C20" s="65"/>
      <c r="D20" s="100"/>
      <c r="E20" s="100"/>
      <c r="G20" s="64"/>
    </row>
    <row r="21" spans="2:11" ht="15" customHeight="1" x14ac:dyDescent="0.3">
      <c r="B21" s="432"/>
      <c r="C21" s="65"/>
      <c r="D21" s="100"/>
      <c r="E21" s="100"/>
      <c r="G21" s="64"/>
    </row>
    <row r="22" spans="2:11" ht="15" customHeight="1" x14ac:dyDescent="0.3">
      <c r="B22" s="432"/>
      <c r="C22" s="65"/>
      <c r="D22" s="100"/>
      <c r="E22" s="100"/>
      <c r="G22" s="64"/>
    </row>
    <row r="23" spans="2:11" ht="15.75" customHeight="1" x14ac:dyDescent="0.3">
      <c r="B23" s="432"/>
      <c r="C23" s="65"/>
      <c r="D23" s="100"/>
      <c r="E23" s="100"/>
      <c r="G23" s="64"/>
    </row>
    <row r="24" spans="2:11" ht="15.75" customHeight="1" x14ac:dyDescent="0.25">
      <c r="B24" s="370" t="s">
        <v>90</v>
      </c>
      <c r="C24" s="433"/>
      <c r="D24" s="433"/>
      <c r="E24" s="433"/>
      <c r="F24" s="433"/>
      <c r="G24" s="434"/>
    </row>
    <row r="25" spans="2:11" ht="15" customHeight="1" x14ac:dyDescent="0.25">
      <c r="B25" s="373"/>
      <c r="C25" s="374"/>
      <c r="D25" s="374"/>
      <c r="E25" s="374"/>
      <c r="F25" s="374"/>
      <c r="G25" s="375"/>
    </row>
    <row r="26" spans="2:11" ht="16.5" customHeight="1" x14ac:dyDescent="0.25">
      <c r="B26" s="376"/>
      <c r="C26" s="165"/>
      <c r="D26" s="165"/>
      <c r="E26" s="165"/>
      <c r="F26" s="436"/>
      <c r="G26" s="382" t="s">
        <v>87</v>
      </c>
      <c r="K26" s="74"/>
    </row>
    <row r="27" spans="2:11" ht="15.75" customHeight="1" x14ac:dyDescent="0.25">
      <c r="B27" s="435"/>
      <c r="C27" s="167"/>
      <c r="D27" s="167"/>
      <c r="E27" s="167"/>
      <c r="F27" s="437"/>
      <c r="G27" s="383"/>
    </row>
    <row r="28" spans="2:11" x14ac:dyDescent="0.25">
      <c r="B28" s="428" t="s">
        <v>91</v>
      </c>
      <c r="C28" s="92"/>
      <c r="D28" s="93"/>
      <c r="E28" s="93"/>
      <c r="F28" s="94"/>
      <c r="G28" s="62"/>
    </row>
    <row r="29" spans="2:11" ht="15.75" customHeight="1" x14ac:dyDescent="0.25">
      <c r="B29" s="429"/>
      <c r="C29" s="63"/>
      <c r="F29" s="64"/>
      <c r="G29" s="64"/>
    </row>
    <row r="30" spans="2:11" ht="15.75" customHeight="1" x14ac:dyDescent="0.3">
      <c r="B30" s="429"/>
      <c r="C30" s="69"/>
      <c r="D30" s="70"/>
      <c r="E30" s="70"/>
      <c r="F30" s="71"/>
      <c r="G30" s="71"/>
    </row>
    <row r="31" spans="2:11" x14ac:dyDescent="0.25">
      <c r="B31" s="355"/>
      <c r="C31" s="358" t="s">
        <v>89</v>
      </c>
      <c r="D31" s="359"/>
      <c r="E31" s="359"/>
      <c r="F31" s="359"/>
      <c r="G31" s="360"/>
    </row>
    <row r="32" spans="2:11" ht="15.75" x14ac:dyDescent="0.3">
      <c r="B32" s="355"/>
      <c r="C32" s="65"/>
      <c r="D32" s="68"/>
      <c r="E32" s="68"/>
      <c r="F32" s="68"/>
      <c r="G32" s="67"/>
    </row>
    <row r="33" spans="2:7" ht="15.75" x14ac:dyDescent="0.3">
      <c r="B33" s="356"/>
      <c r="C33" s="65"/>
      <c r="G33" s="64"/>
    </row>
    <row r="34" spans="2:7" ht="15.75" customHeight="1" x14ac:dyDescent="0.3">
      <c r="B34" s="357"/>
      <c r="C34" s="69"/>
      <c r="D34" s="70"/>
      <c r="E34" s="70"/>
      <c r="F34" s="70"/>
      <c r="G34" s="71"/>
    </row>
    <row r="35" spans="2:7" ht="15.75" customHeight="1" x14ac:dyDescent="0.25">
      <c r="B35" s="361" t="s">
        <v>92</v>
      </c>
      <c r="C35" s="362"/>
      <c r="D35" s="362"/>
      <c r="E35" s="361" t="s">
        <v>93</v>
      </c>
      <c r="F35" s="362"/>
      <c r="G35" s="365"/>
    </row>
    <row r="36" spans="2:7" ht="15.75" customHeight="1" x14ac:dyDescent="0.25">
      <c r="B36" s="363"/>
      <c r="C36" s="364"/>
      <c r="D36" s="364"/>
      <c r="E36" s="363"/>
      <c r="F36" s="364"/>
      <c r="G36" s="366"/>
    </row>
    <row r="37" spans="2:7" ht="15.75" customHeight="1" x14ac:dyDescent="0.25">
      <c r="B37" s="66"/>
      <c r="D37" s="64"/>
      <c r="E37" s="66"/>
      <c r="G37" s="64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B28:B34"/>
    <mergeCell ref="C31:G31"/>
    <mergeCell ref="B35:D36"/>
    <mergeCell ref="E35:G36"/>
    <mergeCell ref="B5:B23"/>
    <mergeCell ref="C12:F12"/>
    <mergeCell ref="C13:G13"/>
    <mergeCell ref="B24:G25"/>
    <mergeCell ref="B26:E27"/>
    <mergeCell ref="F26:F27"/>
    <mergeCell ref="G26:G27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0FB2-E774-4141-A776-816EA64E6FE5}">
  <dimension ref="B1:L103"/>
  <sheetViews>
    <sheetView topLeftCell="A66" zoomScaleNormal="100" workbookViewId="0">
      <selection activeCell="B100" sqref="B100"/>
    </sheetView>
  </sheetViews>
  <sheetFormatPr baseColWidth="10" defaultColWidth="11.42578125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140625" customWidth="1"/>
    <col min="7" max="7" width="2.85546875" customWidth="1"/>
  </cols>
  <sheetData>
    <row r="1" spans="2:6" x14ac:dyDescent="0.25">
      <c r="B1" s="452" t="s">
        <v>96</v>
      </c>
      <c r="C1" s="453"/>
      <c r="D1" s="453"/>
      <c r="E1" s="454"/>
      <c r="F1" s="455"/>
    </row>
    <row r="2" spans="2:6" x14ac:dyDescent="0.25">
      <c r="B2" s="456"/>
      <c r="C2" s="457"/>
      <c r="D2" s="457"/>
      <c r="E2" s="458"/>
      <c r="F2" s="459"/>
    </row>
    <row r="3" spans="2:6" ht="12.75" customHeight="1" x14ac:dyDescent="0.25">
      <c r="C3" s="76"/>
      <c r="D3" s="76"/>
      <c r="E3" s="76"/>
      <c r="F3" s="76"/>
    </row>
    <row r="4" spans="2:6" x14ac:dyDescent="0.25">
      <c r="B4" s="441" t="s">
        <v>24</v>
      </c>
      <c r="C4" s="443" t="s">
        <v>108</v>
      </c>
      <c r="D4" s="444"/>
      <c r="E4" s="444"/>
      <c r="F4" s="445"/>
    </row>
    <row r="5" spans="2:6" ht="15.75" customHeight="1" x14ac:dyDescent="0.25">
      <c r="B5" s="442"/>
      <c r="C5" s="446"/>
      <c r="D5" s="447"/>
      <c r="E5" s="447"/>
      <c r="F5" s="448"/>
    </row>
    <row r="6" spans="2:6" x14ac:dyDescent="0.25">
      <c r="B6" s="77" t="s">
        <v>97</v>
      </c>
      <c r="C6" s="446"/>
      <c r="D6" s="447"/>
      <c r="E6" s="447"/>
      <c r="F6" s="448"/>
    </row>
    <row r="7" spans="2:6" x14ac:dyDescent="0.25">
      <c r="B7" s="78">
        <f>Kompetenzraster!N10</f>
        <v>2</v>
      </c>
      <c r="C7" s="446"/>
      <c r="D7" s="447"/>
      <c r="E7" s="447"/>
      <c r="F7" s="448"/>
    </row>
    <row r="8" spans="2:6" ht="15.75" customHeight="1" x14ac:dyDescent="0.25">
      <c r="B8" s="79" t="s">
        <v>98</v>
      </c>
      <c r="C8" s="446"/>
      <c r="D8" s="447"/>
      <c r="E8" s="447"/>
      <c r="F8" s="448"/>
    </row>
    <row r="9" spans="2:6" ht="15.75" customHeight="1" x14ac:dyDescent="0.3">
      <c r="B9" s="80">
        <f>Kompetenzraster!Q5</f>
        <v>46244</v>
      </c>
      <c r="C9" s="446"/>
      <c r="D9" s="447"/>
      <c r="E9" s="447"/>
      <c r="F9" s="448"/>
    </row>
    <row r="10" spans="2:6" ht="15.75" customHeight="1" x14ac:dyDescent="0.25">
      <c r="B10" s="79" t="s">
        <v>99</v>
      </c>
      <c r="C10" s="446"/>
      <c r="D10" s="447"/>
      <c r="E10" s="447"/>
      <c r="F10" s="448"/>
    </row>
    <row r="11" spans="2:6" ht="15.75" customHeight="1" x14ac:dyDescent="0.3">
      <c r="B11" s="81">
        <f>Kompetenzraster!Q11-1</f>
        <v>46264</v>
      </c>
      <c r="C11" s="446"/>
      <c r="D11" s="447"/>
      <c r="E11" s="447"/>
      <c r="F11" s="448"/>
    </row>
    <row r="12" spans="2:6" x14ac:dyDescent="0.25">
      <c r="B12" s="85"/>
      <c r="C12" s="446"/>
      <c r="D12" s="447"/>
      <c r="E12" s="447"/>
      <c r="F12" s="448"/>
    </row>
    <row r="13" spans="2:6" x14ac:dyDescent="0.25">
      <c r="B13" s="441" t="s">
        <v>25</v>
      </c>
      <c r="C13" s="443" t="s">
        <v>109</v>
      </c>
      <c r="D13" s="444"/>
      <c r="E13" s="444"/>
      <c r="F13" s="445"/>
    </row>
    <row r="14" spans="2:6" x14ac:dyDescent="0.25">
      <c r="B14" s="442"/>
      <c r="C14" s="446"/>
      <c r="D14" s="447"/>
      <c r="E14" s="447"/>
      <c r="F14" s="448"/>
    </row>
    <row r="15" spans="2:6" x14ac:dyDescent="0.25">
      <c r="B15" s="77" t="s">
        <v>97</v>
      </c>
      <c r="C15" s="446"/>
      <c r="D15" s="447"/>
      <c r="E15" s="447"/>
      <c r="F15" s="448"/>
    </row>
    <row r="16" spans="2:6" x14ac:dyDescent="0.25">
      <c r="B16" s="78">
        <f>Kompetenzraster!N11</f>
        <v>3</v>
      </c>
      <c r="C16" s="446"/>
      <c r="D16" s="447"/>
      <c r="E16" s="447"/>
      <c r="F16" s="448"/>
    </row>
    <row r="17" spans="2:6" x14ac:dyDescent="0.25">
      <c r="B17" s="79" t="s">
        <v>98</v>
      </c>
      <c r="C17" s="446"/>
      <c r="D17" s="447"/>
      <c r="E17" s="447"/>
      <c r="F17" s="448"/>
    </row>
    <row r="18" spans="2:6" ht="16.5" x14ac:dyDescent="0.3">
      <c r="B18" s="80">
        <f>Kompetenzraster!Q13</f>
        <v>46272</v>
      </c>
      <c r="C18" s="446"/>
      <c r="D18" s="447"/>
      <c r="E18" s="447"/>
      <c r="F18" s="448"/>
    </row>
    <row r="19" spans="2:6" x14ac:dyDescent="0.25">
      <c r="B19" s="79" t="s">
        <v>99</v>
      </c>
      <c r="C19" s="446"/>
      <c r="D19" s="447"/>
      <c r="E19" s="447"/>
      <c r="F19" s="448"/>
    </row>
    <row r="20" spans="2:6" ht="16.5" x14ac:dyDescent="0.3">
      <c r="B20" s="81">
        <f>Kompetenzraster!Q29-1</f>
        <v>46348</v>
      </c>
      <c r="C20" s="446"/>
      <c r="D20" s="447"/>
      <c r="E20" s="447"/>
      <c r="F20" s="448"/>
    </row>
    <row r="21" spans="2:6" x14ac:dyDescent="0.25">
      <c r="B21" s="85"/>
      <c r="C21" s="446"/>
      <c r="D21" s="447"/>
      <c r="E21" s="447"/>
      <c r="F21" s="448"/>
    </row>
    <row r="22" spans="2:6" x14ac:dyDescent="0.25">
      <c r="B22" s="441" t="s">
        <v>26</v>
      </c>
      <c r="C22" s="443" t="s">
        <v>257</v>
      </c>
      <c r="D22" s="444"/>
      <c r="E22" s="444"/>
      <c r="F22" s="445"/>
    </row>
    <row r="23" spans="2:6" x14ac:dyDescent="0.25">
      <c r="B23" s="442"/>
      <c r="C23" s="446"/>
      <c r="D23" s="447"/>
      <c r="E23" s="447"/>
      <c r="F23" s="448"/>
    </row>
    <row r="24" spans="2:6" x14ac:dyDescent="0.25">
      <c r="B24" s="77" t="s">
        <v>97</v>
      </c>
      <c r="C24" s="446"/>
      <c r="D24" s="447"/>
      <c r="E24" s="447"/>
      <c r="F24" s="448"/>
    </row>
    <row r="25" spans="2:6" x14ac:dyDescent="0.25">
      <c r="B25" s="78">
        <f>Kompetenzraster!N12</f>
        <v>2</v>
      </c>
      <c r="C25" s="446"/>
      <c r="D25" s="447"/>
      <c r="E25" s="447"/>
      <c r="F25" s="448"/>
    </row>
    <row r="26" spans="2:6" x14ac:dyDescent="0.25">
      <c r="B26" s="79" t="s">
        <v>98</v>
      </c>
      <c r="C26" s="446"/>
      <c r="D26" s="447"/>
      <c r="E26" s="447"/>
      <c r="F26" s="448"/>
    </row>
    <row r="27" spans="2:6" ht="16.5" x14ac:dyDescent="0.3">
      <c r="B27" s="80">
        <f>Kompetenzraster!Q29</f>
        <v>46349</v>
      </c>
      <c r="C27" s="446"/>
      <c r="D27" s="447"/>
      <c r="E27" s="447"/>
      <c r="F27" s="448"/>
    </row>
    <row r="28" spans="2:6" x14ac:dyDescent="0.25">
      <c r="B28" s="79" t="s">
        <v>99</v>
      </c>
      <c r="C28" s="446"/>
      <c r="D28" s="447"/>
      <c r="E28" s="447"/>
      <c r="F28" s="448"/>
    </row>
    <row r="29" spans="2:6" ht="16.5" x14ac:dyDescent="0.3">
      <c r="B29" s="81">
        <f>Kompetenzraster!Q37-1</f>
        <v>46390</v>
      </c>
      <c r="C29" s="446"/>
      <c r="D29" s="447"/>
      <c r="E29" s="447"/>
      <c r="F29" s="448"/>
    </row>
    <row r="30" spans="2:6" ht="16.5" x14ac:dyDescent="0.3">
      <c r="B30" s="80"/>
      <c r="C30" s="446"/>
      <c r="D30" s="447"/>
      <c r="E30" s="447"/>
      <c r="F30" s="448"/>
    </row>
    <row r="31" spans="2:6" x14ac:dyDescent="0.25">
      <c r="B31" s="84"/>
      <c r="C31" s="449"/>
      <c r="D31" s="450"/>
      <c r="E31" s="450"/>
      <c r="F31" s="451"/>
    </row>
    <row r="32" spans="2:6" x14ac:dyDescent="0.25">
      <c r="B32" s="441" t="s">
        <v>27</v>
      </c>
      <c r="C32" s="443" t="s">
        <v>110</v>
      </c>
      <c r="D32" s="444"/>
      <c r="E32" s="444"/>
      <c r="F32" s="445"/>
    </row>
    <row r="33" spans="2:6" x14ac:dyDescent="0.25">
      <c r="B33" s="442"/>
      <c r="C33" s="446"/>
      <c r="D33" s="447"/>
      <c r="E33" s="447"/>
      <c r="F33" s="448"/>
    </row>
    <row r="34" spans="2:6" x14ac:dyDescent="0.25">
      <c r="B34" s="77" t="s">
        <v>97</v>
      </c>
      <c r="C34" s="446"/>
      <c r="D34" s="447"/>
      <c r="E34" s="447"/>
      <c r="F34" s="448"/>
    </row>
    <row r="35" spans="2:6" x14ac:dyDescent="0.25">
      <c r="B35" s="78">
        <f>Kompetenzraster!N13</f>
        <v>2</v>
      </c>
      <c r="C35" s="446"/>
      <c r="D35" s="447"/>
      <c r="E35" s="447"/>
      <c r="F35" s="448"/>
    </row>
    <row r="36" spans="2:6" x14ac:dyDescent="0.25">
      <c r="B36" s="79" t="s">
        <v>98</v>
      </c>
      <c r="C36" s="446"/>
      <c r="D36" s="447"/>
      <c r="E36" s="447"/>
      <c r="F36" s="448"/>
    </row>
    <row r="37" spans="2:6" ht="16.5" x14ac:dyDescent="0.3">
      <c r="B37" s="80">
        <f>Kompetenzraster!Q5</f>
        <v>46244</v>
      </c>
      <c r="C37" s="446"/>
      <c r="D37" s="447"/>
      <c r="E37" s="447"/>
      <c r="F37" s="448"/>
    </row>
    <row r="38" spans="2:6" x14ac:dyDescent="0.25">
      <c r="B38" s="79" t="s">
        <v>99</v>
      </c>
      <c r="C38" s="446"/>
      <c r="D38" s="447"/>
      <c r="E38" s="447"/>
      <c r="F38" s="448"/>
    </row>
    <row r="39" spans="2:6" ht="16.5" x14ac:dyDescent="0.3">
      <c r="B39" s="81">
        <f>Kompetenzraster!Q11-1</f>
        <v>46264</v>
      </c>
      <c r="C39" s="446"/>
      <c r="D39" s="447"/>
      <c r="E39" s="447"/>
      <c r="F39" s="448"/>
    </row>
    <row r="40" spans="2:6" ht="16.5" x14ac:dyDescent="0.3">
      <c r="B40" s="80"/>
      <c r="C40" s="446"/>
      <c r="D40" s="447"/>
      <c r="E40" s="447"/>
      <c r="F40" s="448"/>
    </row>
    <row r="41" spans="2:6" ht="16.5" x14ac:dyDescent="0.3">
      <c r="B41" s="80"/>
      <c r="C41" s="446"/>
      <c r="D41" s="447"/>
      <c r="E41" s="447"/>
      <c r="F41" s="448"/>
    </row>
    <row r="42" spans="2:6" x14ac:dyDescent="0.25">
      <c r="B42" s="84"/>
      <c r="C42" s="449"/>
      <c r="D42" s="450"/>
      <c r="E42" s="450"/>
      <c r="F42" s="451"/>
    </row>
    <row r="43" spans="2:6" x14ac:dyDescent="0.25">
      <c r="B43" s="441" t="s">
        <v>42</v>
      </c>
      <c r="C43" s="443" t="s">
        <v>111</v>
      </c>
      <c r="D43" s="444"/>
      <c r="E43" s="444"/>
      <c r="F43" s="445"/>
    </row>
    <row r="44" spans="2:6" x14ac:dyDescent="0.25">
      <c r="B44" s="442"/>
      <c r="C44" s="446"/>
      <c r="D44" s="447"/>
      <c r="E44" s="447"/>
      <c r="F44" s="448"/>
    </row>
    <row r="45" spans="2:6" x14ac:dyDescent="0.25">
      <c r="B45" s="77" t="s">
        <v>97</v>
      </c>
      <c r="C45" s="446"/>
      <c r="D45" s="447"/>
      <c r="E45" s="447"/>
      <c r="F45" s="448"/>
    </row>
    <row r="46" spans="2:6" x14ac:dyDescent="0.25">
      <c r="B46" s="78">
        <v>1.5</v>
      </c>
      <c r="C46" s="446"/>
      <c r="D46" s="447"/>
      <c r="E46" s="447"/>
      <c r="F46" s="448"/>
    </row>
    <row r="47" spans="2:6" x14ac:dyDescent="0.25">
      <c r="B47" s="79" t="s">
        <v>98</v>
      </c>
      <c r="C47" s="446"/>
      <c r="D47" s="447"/>
      <c r="E47" s="447"/>
      <c r="F47" s="448"/>
    </row>
    <row r="48" spans="2:6" ht="16.5" x14ac:dyDescent="0.3">
      <c r="B48" s="80">
        <f>Kompetenzraster!Q13</f>
        <v>46272</v>
      </c>
      <c r="C48" s="446"/>
      <c r="D48" s="447"/>
      <c r="E48" s="447"/>
      <c r="F48" s="448"/>
    </row>
    <row r="49" spans="2:6" x14ac:dyDescent="0.25">
      <c r="B49" s="79" t="s">
        <v>99</v>
      </c>
      <c r="C49" s="446"/>
      <c r="D49" s="447"/>
      <c r="E49" s="447"/>
      <c r="F49" s="448"/>
    </row>
    <row r="50" spans="2:6" ht="16.5" x14ac:dyDescent="0.3">
      <c r="B50" s="81">
        <f>Kompetenzraster!Q17-1</f>
        <v>46285</v>
      </c>
      <c r="C50" s="446"/>
      <c r="D50" s="447"/>
      <c r="E50" s="447"/>
      <c r="F50" s="448"/>
    </row>
    <row r="51" spans="2:6" x14ac:dyDescent="0.25">
      <c r="B51" s="83"/>
      <c r="C51" s="446"/>
      <c r="D51" s="447"/>
      <c r="E51" s="447"/>
      <c r="F51" s="448"/>
    </row>
    <row r="52" spans="2:6" x14ac:dyDescent="0.25">
      <c r="B52" s="441" t="s">
        <v>43</v>
      </c>
      <c r="C52" s="443" t="s">
        <v>116</v>
      </c>
      <c r="D52" s="444"/>
      <c r="E52" s="444"/>
      <c r="F52" s="445"/>
    </row>
    <row r="53" spans="2:6" x14ac:dyDescent="0.25">
      <c r="B53" s="442"/>
      <c r="C53" s="446"/>
      <c r="D53" s="447"/>
      <c r="E53" s="447"/>
      <c r="F53" s="448"/>
    </row>
    <row r="54" spans="2:6" x14ac:dyDescent="0.25">
      <c r="B54" s="77" t="s">
        <v>97</v>
      </c>
      <c r="C54" s="446"/>
      <c r="D54" s="447"/>
      <c r="E54" s="447"/>
      <c r="F54" s="448"/>
    </row>
    <row r="55" spans="2:6" x14ac:dyDescent="0.25">
      <c r="B55" s="78">
        <f>Kompetenzraster!N15</f>
        <v>1</v>
      </c>
      <c r="C55" s="446"/>
      <c r="D55" s="447"/>
      <c r="E55" s="447"/>
      <c r="F55" s="448"/>
    </row>
    <row r="56" spans="2:6" x14ac:dyDescent="0.25">
      <c r="B56" s="79" t="s">
        <v>98</v>
      </c>
      <c r="C56" s="446"/>
      <c r="D56" s="447"/>
      <c r="E56" s="447"/>
      <c r="F56" s="448"/>
    </row>
    <row r="57" spans="2:6" ht="16.5" x14ac:dyDescent="0.3">
      <c r="B57" s="80">
        <f>Kompetenzraster!Q19</f>
        <v>46314</v>
      </c>
      <c r="C57" s="446"/>
      <c r="D57" s="447"/>
      <c r="E57" s="447"/>
      <c r="F57" s="448"/>
    </row>
    <row r="58" spans="2:6" x14ac:dyDescent="0.25">
      <c r="B58" s="79" t="s">
        <v>99</v>
      </c>
      <c r="C58" s="446"/>
      <c r="D58" s="447"/>
      <c r="E58" s="447"/>
      <c r="F58" s="448"/>
    </row>
    <row r="59" spans="2:6" ht="16.5" x14ac:dyDescent="0.3">
      <c r="B59" s="81">
        <f>Kompetenzraster!Q25-1</f>
        <v>46334</v>
      </c>
      <c r="C59" s="446"/>
      <c r="D59" s="447"/>
      <c r="E59" s="447"/>
      <c r="F59" s="448"/>
    </row>
    <row r="60" spans="2:6" x14ac:dyDescent="0.25">
      <c r="B60" s="460"/>
      <c r="C60" s="446"/>
      <c r="D60" s="447"/>
      <c r="E60" s="447"/>
      <c r="F60" s="448"/>
    </row>
    <row r="61" spans="2:6" x14ac:dyDescent="0.25">
      <c r="B61" s="356"/>
      <c r="C61" s="446"/>
      <c r="D61" s="447"/>
      <c r="E61" s="447"/>
      <c r="F61" s="448"/>
    </row>
    <row r="62" spans="2:6" x14ac:dyDescent="0.25">
      <c r="B62" s="441" t="s">
        <v>44</v>
      </c>
      <c r="C62" s="443" t="s">
        <v>112</v>
      </c>
      <c r="D62" s="444"/>
      <c r="E62" s="444"/>
      <c r="F62" s="445"/>
    </row>
    <row r="63" spans="2:6" x14ac:dyDescent="0.25">
      <c r="B63" s="442"/>
      <c r="C63" s="446"/>
      <c r="D63" s="447"/>
      <c r="E63" s="447"/>
      <c r="F63" s="448"/>
    </row>
    <row r="64" spans="2:6" x14ac:dyDescent="0.25">
      <c r="B64" s="77" t="s">
        <v>97</v>
      </c>
      <c r="C64" s="446"/>
      <c r="D64" s="447"/>
      <c r="E64" s="447"/>
      <c r="F64" s="448"/>
    </row>
    <row r="65" spans="2:6" x14ac:dyDescent="0.25">
      <c r="B65" s="78">
        <f>Kompetenzraster!N16</f>
        <v>1.5</v>
      </c>
      <c r="C65" s="446"/>
      <c r="D65" s="447"/>
      <c r="E65" s="447"/>
      <c r="F65" s="448"/>
    </row>
    <row r="66" spans="2:6" x14ac:dyDescent="0.25">
      <c r="B66" s="79" t="s">
        <v>98</v>
      </c>
      <c r="C66" s="446"/>
      <c r="D66" s="447"/>
      <c r="E66" s="447"/>
      <c r="F66" s="448"/>
    </row>
    <row r="67" spans="2:6" ht="16.5" x14ac:dyDescent="0.3">
      <c r="B67" s="80">
        <f>Kompetenzraster!Q25</f>
        <v>46335</v>
      </c>
      <c r="C67" s="446"/>
      <c r="D67" s="447"/>
      <c r="E67" s="447"/>
      <c r="F67" s="448"/>
    </row>
    <row r="68" spans="2:6" x14ac:dyDescent="0.25">
      <c r="B68" s="79" t="s">
        <v>99</v>
      </c>
      <c r="C68" s="446"/>
      <c r="D68" s="447"/>
      <c r="E68" s="447"/>
      <c r="F68" s="448"/>
    </row>
    <row r="69" spans="2:6" ht="16.5" x14ac:dyDescent="0.3">
      <c r="B69" s="81">
        <f>Kompetenzraster!Q29-1</f>
        <v>46348</v>
      </c>
      <c r="C69" s="446"/>
      <c r="D69" s="447"/>
      <c r="E69" s="447"/>
      <c r="F69" s="448"/>
    </row>
    <row r="70" spans="2:6" x14ac:dyDescent="0.25">
      <c r="B70" s="460"/>
      <c r="C70" s="446"/>
      <c r="D70" s="447"/>
      <c r="E70" s="447"/>
      <c r="F70" s="448"/>
    </row>
    <row r="71" spans="2:6" x14ac:dyDescent="0.25">
      <c r="B71" s="461"/>
      <c r="C71" s="446"/>
      <c r="D71" s="447"/>
      <c r="E71" s="447"/>
      <c r="F71" s="448"/>
    </row>
    <row r="72" spans="2:6" x14ac:dyDescent="0.25">
      <c r="B72" s="461"/>
      <c r="C72" s="446"/>
      <c r="D72" s="447"/>
      <c r="E72" s="447"/>
      <c r="F72" s="448"/>
    </row>
    <row r="73" spans="2:6" x14ac:dyDescent="0.25">
      <c r="B73" s="356"/>
      <c r="C73" s="446"/>
      <c r="D73" s="447"/>
      <c r="E73" s="447"/>
      <c r="F73" s="448"/>
    </row>
    <row r="74" spans="2:6" x14ac:dyDescent="0.25">
      <c r="B74" s="441" t="s">
        <v>45</v>
      </c>
      <c r="C74" s="443" t="s">
        <v>113</v>
      </c>
      <c r="D74" s="444"/>
      <c r="E74" s="444"/>
      <c r="F74" s="445"/>
    </row>
    <row r="75" spans="2:6" x14ac:dyDescent="0.25">
      <c r="B75" s="442"/>
      <c r="C75" s="446"/>
      <c r="D75" s="447"/>
      <c r="E75" s="447"/>
      <c r="F75" s="448"/>
    </row>
    <row r="76" spans="2:6" x14ac:dyDescent="0.25">
      <c r="B76" s="77" t="s">
        <v>97</v>
      </c>
      <c r="C76" s="446"/>
      <c r="D76" s="447"/>
      <c r="E76" s="447"/>
      <c r="F76" s="448"/>
    </row>
    <row r="77" spans="2:6" x14ac:dyDescent="0.25">
      <c r="B77" s="78">
        <f>Kompetenzraster!N17</f>
        <v>1.5</v>
      </c>
      <c r="C77" s="446"/>
      <c r="D77" s="447"/>
      <c r="E77" s="447"/>
      <c r="F77" s="448"/>
    </row>
    <row r="78" spans="2:6" x14ac:dyDescent="0.25">
      <c r="B78" s="79" t="s">
        <v>98</v>
      </c>
      <c r="C78" s="446"/>
      <c r="D78" s="447"/>
      <c r="E78" s="447"/>
      <c r="F78" s="448"/>
    </row>
    <row r="79" spans="2:6" ht="16.5" x14ac:dyDescent="0.3">
      <c r="B79" s="80">
        <f>Kompetenzraster!Q29</f>
        <v>46349</v>
      </c>
      <c r="C79" s="446"/>
      <c r="D79" s="447"/>
      <c r="E79" s="447"/>
      <c r="F79" s="448"/>
    </row>
    <row r="80" spans="2:6" x14ac:dyDescent="0.25">
      <c r="B80" s="79" t="s">
        <v>99</v>
      </c>
      <c r="C80" s="446"/>
      <c r="D80" s="447"/>
      <c r="E80" s="447"/>
      <c r="F80" s="448"/>
    </row>
    <row r="81" spans="2:12" ht="16.5" x14ac:dyDescent="0.3">
      <c r="B81" s="81">
        <f>Kompetenzraster!Q35-1</f>
        <v>46369</v>
      </c>
      <c r="C81" s="446"/>
      <c r="D81" s="447"/>
      <c r="E81" s="447"/>
      <c r="F81" s="448"/>
    </row>
    <row r="82" spans="2:12" x14ac:dyDescent="0.25">
      <c r="B82" s="460"/>
      <c r="C82" s="446"/>
      <c r="D82" s="447"/>
      <c r="E82" s="447"/>
      <c r="F82" s="448"/>
    </row>
    <row r="83" spans="2:12" x14ac:dyDescent="0.25">
      <c r="B83" s="461"/>
      <c r="C83" s="446"/>
      <c r="D83" s="447"/>
      <c r="E83" s="447"/>
      <c r="F83" s="448"/>
    </row>
    <row r="84" spans="2:12" x14ac:dyDescent="0.25">
      <c r="B84" s="461"/>
      <c r="C84" s="446"/>
      <c r="D84" s="447"/>
      <c r="E84" s="447"/>
      <c r="F84" s="448"/>
    </row>
    <row r="85" spans="2:12" x14ac:dyDescent="0.25">
      <c r="B85" s="357"/>
      <c r="C85" s="449"/>
      <c r="D85" s="450"/>
      <c r="E85" s="450"/>
      <c r="F85" s="451"/>
    </row>
    <row r="86" spans="2:12" x14ac:dyDescent="0.25">
      <c r="B86" s="441" t="s">
        <v>75</v>
      </c>
      <c r="C86" s="443" t="s">
        <v>114</v>
      </c>
      <c r="D86" s="444"/>
      <c r="E86" s="444"/>
      <c r="F86" s="445"/>
    </row>
    <row r="87" spans="2:12" x14ac:dyDescent="0.25">
      <c r="B87" s="442"/>
      <c r="C87" s="446"/>
      <c r="D87" s="447"/>
      <c r="E87" s="447"/>
      <c r="F87" s="448"/>
    </row>
    <row r="88" spans="2:12" x14ac:dyDescent="0.25">
      <c r="B88" s="77" t="s">
        <v>97</v>
      </c>
      <c r="C88" s="446"/>
      <c r="D88" s="447"/>
      <c r="E88" s="447"/>
      <c r="F88" s="448"/>
      <c r="L88" s="82"/>
    </row>
    <row r="89" spans="2:12" x14ac:dyDescent="0.25">
      <c r="B89" s="78">
        <f>Kompetenzraster!N18</f>
        <v>3</v>
      </c>
      <c r="C89" s="446"/>
      <c r="D89" s="447"/>
      <c r="E89" s="447"/>
      <c r="F89" s="448"/>
    </row>
    <row r="90" spans="2:12" x14ac:dyDescent="0.25">
      <c r="B90" s="79" t="s">
        <v>98</v>
      </c>
      <c r="C90" s="446"/>
      <c r="D90" s="447"/>
      <c r="E90" s="447"/>
      <c r="F90" s="448"/>
    </row>
    <row r="91" spans="2:12" ht="16.5" x14ac:dyDescent="0.3">
      <c r="B91" s="80">
        <f>Kompetenzraster!Q37</f>
        <v>46391</v>
      </c>
      <c r="C91" s="446"/>
      <c r="D91" s="447"/>
      <c r="E91" s="447"/>
      <c r="F91" s="448"/>
    </row>
    <row r="92" spans="2:12" x14ac:dyDescent="0.25">
      <c r="B92" s="79" t="s">
        <v>99</v>
      </c>
      <c r="C92" s="446"/>
      <c r="D92" s="447"/>
      <c r="E92" s="447"/>
      <c r="F92" s="448"/>
    </row>
    <row r="93" spans="2:12" ht="16.5" x14ac:dyDescent="0.3">
      <c r="B93" s="81">
        <f>Kompetenzraster!Q39</f>
        <v>46398</v>
      </c>
      <c r="C93" s="446"/>
      <c r="D93" s="447"/>
      <c r="E93" s="447"/>
      <c r="F93" s="448"/>
    </row>
    <row r="94" spans="2:12" x14ac:dyDescent="0.25">
      <c r="B94" s="56"/>
      <c r="C94" s="449"/>
      <c r="D94" s="450"/>
      <c r="E94" s="450"/>
      <c r="F94" s="451"/>
    </row>
    <row r="95" spans="2:12" x14ac:dyDescent="0.25">
      <c r="B95" s="441" t="s">
        <v>174</v>
      </c>
      <c r="C95" s="443" t="s">
        <v>183</v>
      </c>
      <c r="D95" s="444"/>
      <c r="E95" s="444"/>
      <c r="F95" s="445"/>
    </row>
    <row r="96" spans="2:12" x14ac:dyDescent="0.25">
      <c r="B96" s="442"/>
      <c r="C96" s="446"/>
      <c r="D96" s="447"/>
      <c r="E96" s="447"/>
      <c r="F96" s="448"/>
    </row>
    <row r="97" spans="2:6" x14ac:dyDescent="0.25">
      <c r="B97" s="77" t="s">
        <v>97</v>
      </c>
      <c r="C97" s="446"/>
      <c r="D97" s="447"/>
      <c r="E97" s="447"/>
      <c r="F97" s="448"/>
    </row>
    <row r="98" spans="2:6" x14ac:dyDescent="0.25">
      <c r="B98" s="78">
        <v>1</v>
      </c>
      <c r="C98" s="446"/>
      <c r="D98" s="447"/>
      <c r="E98" s="447"/>
      <c r="F98" s="448"/>
    </row>
    <row r="99" spans="2:6" x14ac:dyDescent="0.25">
      <c r="B99" s="79" t="s">
        <v>98</v>
      </c>
      <c r="C99" s="446"/>
      <c r="D99" s="447"/>
      <c r="E99" s="447"/>
      <c r="F99" s="448"/>
    </row>
    <row r="100" spans="2:6" ht="16.5" x14ac:dyDescent="0.3">
      <c r="B100" s="80">
        <f>Kompetenzraster!Q17</f>
        <v>46286</v>
      </c>
      <c r="C100" s="446"/>
      <c r="D100" s="447"/>
      <c r="E100" s="447"/>
      <c r="F100" s="448"/>
    </row>
    <row r="101" spans="2:6" x14ac:dyDescent="0.25">
      <c r="B101" s="79" t="s">
        <v>99</v>
      </c>
      <c r="C101" s="446"/>
      <c r="D101" s="447"/>
      <c r="E101" s="447"/>
      <c r="F101" s="448"/>
    </row>
    <row r="102" spans="2:6" ht="16.5" x14ac:dyDescent="0.3">
      <c r="B102" s="81">
        <f>Kompetenzraster!Q19</f>
        <v>46314</v>
      </c>
      <c r="C102" s="446"/>
      <c r="D102" s="447"/>
      <c r="E102" s="447"/>
      <c r="F102" s="448"/>
    </row>
    <row r="103" spans="2:6" x14ac:dyDescent="0.25">
      <c r="B103" s="56"/>
      <c r="C103" s="449"/>
      <c r="D103" s="450"/>
      <c r="E103" s="450"/>
      <c r="F103" s="451"/>
    </row>
  </sheetData>
  <mergeCells count="24">
    <mergeCell ref="B86:B87"/>
    <mergeCell ref="C86:F94"/>
    <mergeCell ref="B62:B63"/>
    <mergeCell ref="C62:F73"/>
    <mergeCell ref="B70:B73"/>
    <mergeCell ref="B74:B75"/>
    <mergeCell ref="C74:F85"/>
    <mergeCell ref="B82:B85"/>
    <mergeCell ref="B95:B96"/>
    <mergeCell ref="C95:F103"/>
    <mergeCell ref="B1:F2"/>
    <mergeCell ref="B4:B5"/>
    <mergeCell ref="C4:F12"/>
    <mergeCell ref="B13:B14"/>
    <mergeCell ref="C13:F21"/>
    <mergeCell ref="B22:B23"/>
    <mergeCell ref="C22:F31"/>
    <mergeCell ref="B32:B33"/>
    <mergeCell ref="C32:F42"/>
    <mergeCell ref="B43:B44"/>
    <mergeCell ref="C43:F51"/>
    <mergeCell ref="B52:B53"/>
    <mergeCell ref="C52:F61"/>
    <mergeCell ref="B60:B61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2" ma:contentTypeDescription="Ein neues Dokument erstellen." ma:contentTypeScope="" ma:versionID="2b599226ad53a28b8f653ce43371153f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1c3ce09ad3d7654387212052dc8809ce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Props1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E4EE62-0596-431E-A111-588E7A4D8C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4F57DC-141E-4AB1-87CC-0E2B5E397D59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e6d905db-4f59-4a3b-930f-acb1d61e4a6c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550b22fb-13da-4cf5-969f-c4932bbd4a2b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Kompetenzraster</vt:lpstr>
      <vt:lpstr>ST_1_KW_33</vt:lpstr>
      <vt:lpstr>ST_2_KW_34</vt:lpstr>
      <vt:lpstr>ST_3_KW_35</vt:lpstr>
      <vt:lpstr>ST_4_KW_36</vt:lpstr>
      <vt:lpstr>ST_5_KW_37</vt:lpstr>
      <vt:lpstr>ST_6_KW_38</vt:lpstr>
      <vt:lpstr>ST_7_KW_39</vt:lpstr>
      <vt:lpstr>ST_8_KW_43</vt:lpstr>
      <vt:lpstr>ST_9_KW_44</vt:lpstr>
      <vt:lpstr>ST_10_KW_45</vt:lpstr>
      <vt:lpstr>ST_11_KW_46</vt:lpstr>
      <vt:lpstr>ST_12_KW_47</vt:lpstr>
      <vt:lpstr>ST_13_KW_48</vt:lpstr>
      <vt:lpstr>ST_14_KW_49</vt:lpstr>
      <vt:lpstr>ST_15_KW_50</vt:lpstr>
      <vt:lpstr>ST_16_KW_48</vt:lpstr>
      <vt:lpstr>ST_17_KW_1</vt:lpstr>
      <vt:lpstr>ST_18_KW_3</vt:lpstr>
      <vt:lpstr>ST_19_KW_4</vt:lpstr>
      <vt:lpstr>Aufgaben_Teams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Item Marcel GBS-LPGB</cp:lastModifiedBy>
  <cp:revision/>
  <cp:lastPrinted>2024-01-16T07:47:14Z</cp:lastPrinted>
  <dcterms:created xsi:type="dcterms:W3CDTF">2018-02-19T12:02:46Z</dcterms:created>
  <dcterms:modified xsi:type="dcterms:W3CDTF">2026-06-30T12:15:46Z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