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bldsg-my.sharepoint.com/personal/marcel_item_gbssg_ch/Documents/1_Sanitärinstallateure/2_Unterrichtsmaterial_EFZ/1_Word_Vorlagen/8.Semester/"/>
    </mc:Choice>
  </mc:AlternateContent>
  <xr:revisionPtr revIDLastSave="1827" documentId="8_{A8EE25AC-42D4-4FA9-B8F7-D921ADFE97A4}" xr6:coauthVersionLast="47" xr6:coauthVersionMax="47" xr10:uidLastSave="{8BA66626-3CAC-4896-94A4-9C6A08B3D22C}"/>
  <bookViews>
    <workbookView xWindow="-120" yWindow="-120" windowWidth="51840" windowHeight="21120" xr2:uid="{00000000-000D-0000-FFFF-FFFF00000000}"/>
  </bookViews>
  <sheets>
    <sheet name="Kompetenzraster" sheetId="13" r:id="rId1"/>
    <sheet name="ST_1_KW_6" sheetId="14" r:id="rId2"/>
    <sheet name="ST_2_KW_7" sheetId="16" r:id="rId3"/>
    <sheet name="ST_3_KW_8" sheetId="17" r:id="rId4"/>
    <sheet name="ST_4_KW_9" sheetId="18" r:id="rId5"/>
    <sheet name="ST_5_KW_10" sheetId="19" r:id="rId6"/>
    <sheet name="ST_6_KW_11" sheetId="20" r:id="rId7"/>
    <sheet name="ST_7_KW_12" sheetId="22" r:id="rId8"/>
    <sheet name="ST_8_KW_13" sheetId="21" r:id="rId9"/>
    <sheet name="ST_9_KW_14 " sheetId="24" r:id="rId10"/>
    <sheet name="ST_10_KW_15" sheetId="25" r:id="rId11"/>
    <sheet name="ST_11_KW_16" sheetId="27" r:id="rId12"/>
    <sheet name="ST_12_KW_17 " sheetId="26" r:id="rId13"/>
    <sheet name="Aufgaben_Teams" sheetId="15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7" i="15" l="1"/>
  <c r="B45" i="15"/>
  <c r="Q5" i="13" l="1"/>
  <c r="Q7" i="13" s="1"/>
  <c r="B9" i="15" s="1"/>
  <c r="Q9" i="13" l="1"/>
  <c r="E1" i="16"/>
  <c r="N19" i="13"/>
  <c r="O19" i="13" s="1"/>
  <c r="Q11" i="13" l="1"/>
  <c r="Q13" i="13" s="1"/>
  <c r="E1" i="18"/>
  <c r="E1" i="17"/>
  <c r="Q15" i="13" l="1"/>
  <c r="E1" i="19"/>
  <c r="B36" i="15"/>
  <c r="B18" i="15"/>
  <c r="B11" i="15"/>
  <c r="Q17" i="13" l="1"/>
  <c r="E1" i="20"/>
  <c r="Q19" i="13" l="1"/>
  <c r="E1" i="22"/>
  <c r="Q21" i="13" l="1"/>
  <c r="E1" i="21"/>
  <c r="B38" i="15"/>
  <c r="B20" i="15"/>
  <c r="E1" i="24" l="1"/>
  <c r="Q23" i="13"/>
  <c r="E1" i="25" l="1"/>
  <c r="Q25" i="13"/>
  <c r="E1" i="27" l="1"/>
  <c r="Q27" i="13"/>
  <c r="E1" i="26" l="1"/>
  <c r="Q29" i="13"/>
  <c r="Q31" i="13" s="1"/>
  <c r="Q33" i="13" s="1"/>
  <c r="Q35" i="13" s="1"/>
  <c r="Q37" i="13" s="1"/>
</calcChain>
</file>

<file path=xl/sharedStrings.xml><?xml version="1.0" encoding="utf-8"?>
<sst xmlns="http://schemas.openxmlformats.org/spreadsheetml/2006/main" count="518" uniqueCount="179">
  <si>
    <t>Semesterstart:</t>
  </si>
  <si>
    <t>Schultag:</t>
  </si>
  <si>
    <t>Montag</t>
  </si>
  <si>
    <t>Gesetzliche Feiertage</t>
  </si>
  <si>
    <t>Allerheiligen</t>
  </si>
  <si>
    <t>Karfreitag</t>
  </si>
  <si>
    <t>Ostermontag</t>
  </si>
  <si>
    <t>Auffahrt</t>
  </si>
  <si>
    <t>Pfingstmontag</t>
  </si>
  <si>
    <t xml:space="preserve">Fachgruppe Sanitär Spengler </t>
  </si>
  <si>
    <t>itm I sanitärlernen.ch</t>
  </si>
  <si>
    <t>Bewertung / Benotung</t>
  </si>
  <si>
    <t xml:space="preserve">Die Note aus den Leistungsnachweisen berechnet sich aus den während des Semestes erzielten Punkten. </t>
  </si>
  <si>
    <t>Zeugnisnote</t>
  </si>
  <si>
    <t>Noten Prüfungen</t>
  </si>
  <si>
    <t xml:space="preserve">Note </t>
  </si>
  <si>
    <t>X</t>
  </si>
  <si>
    <t>Handlungsfelder und Kompetenzen</t>
  </si>
  <si>
    <t>Note Leistungsnachweis</t>
  </si>
  <si>
    <t>Zu einzelnen Aufträgen wird im Unterricht eine Zwischenprüfung geschrieben.</t>
  </si>
  <si>
    <t>Unterrichtsverlauf</t>
  </si>
  <si>
    <t>Filme / Theorie</t>
  </si>
  <si>
    <t>Auftrag 1</t>
  </si>
  <si>
    <t>Lernziele</t>
  </si>
  <si>
    <t>Pause</t>
  </si>
  <si>
    <t>Auftrag 2</t>
  </si>
  <si>
    <t>Hausaufgaben</t>
  </si>
  <si>
    <t>Administratives</t>
  </si>
  <si>
    <t>Aufgaben Teams</t>
  </si>
  <si>
    <t>Punkte</t>
  </si>
  <si>
    <t>Zuweisung</t>
  </si>
  <si>
    <t>Abgabe</t>
  </si>
  <si>
    <t>Kompetenzraster 8.Semester  Sanitärinstallateur/in EFZ</t>
  </si>
  <si>
    <t>QV Vorbereitung Pos 1</t>
  </si>
  <si>
    <t>1 Schultage (5L)</t>
  </si>
  <si>
    <t>Auftrag 8.1</t>
  </si>
  <si>
    <t>Auftrag 8.7</t>
  </si>
  <si>
    <t>Auftrag 8.8</t>
  </si>
  <si>
    <t>Auftrag 8.9</t>
  </si>
  <si>
    <t>Pläne</t>
  </si>
  <si>
    <t>Aufgabe</t>
  </si>
  <si>
    <t>1 Schultag</t>
  </si>
  <si>
    <r>
      <rPr>
        <b/>
        <sz val="12"/>
        <color theme="1"/>
        <rFont val="Century Gothic"/>
        <family val="2"/>
      </rPr>
      <t>Planen der Arbeiten</t>
    </r>
    <r>
      <rPr>
        <sz val="12"/>
        <color theme="1"/>
        <rFont val="Century Gothic"/>
        <family val="2"/>
      </rPr>
      <t xml:space="preserve">
</t>
    </r>
  </si>
  <si>
    <t xml:space="preserve">Position 1  </t>
  </si>
  <si>
    <t>Position 3</t>
  </si>
  <si>
    <t>Leitungsschema</t>
  </si>
  <si>
    <t>Rohrweitenbestimmung</t>
  </si>
  <si>
    <t>sanitärtechnische Berechnungen</t>
  </si>
  <si>
    <t>Arbeitsvorbereitung</t>
  </si>
  <si>
    <t>Detailplan</t>
  </si>
  <si>
    <t>Position 4</t>
  </si>
  <si>
    <t>Fachgespräch</t>
  </si>
  <si>
    <t>Inbetriebnahme, Wartung und Service</t>
  </si>
  <si>
    <t>Planen der Arbeiten</t>
  </si>
  <si>
    <t>Auftrag 8.10</t>
  </si>
  <si>
    <t>Auftrag 8.11</t>
  </si>
  <si>
    <t>Auftrag 8.12</t>
  </si>
  <si>
    <t>8.7 I 8.1</t>
  </si>
  <si>
    <t>3 Schultage (9L)</t>
  </si>
  <si>
    <t xml:space="preserve">Handlungsfelder 6.1 -6.7 </t>
  </si>
  <si>
    <r>
      <rPr>
        <b/>
        <sz val="10"/>
        <rFont val="Century Gothic"/>
        <family val="2"/>
      </rPr>
      <t>QV Vorbereitung Apparatemontage &amp; Abschlussarbeiten</t>
    </r>
    <r>
      <rPr>
        <sz val="10"/>
        <color theme="1"/>
        <rFont val="Century Gothic"/>
        <family val="2"/>
      </rPr>
      <t xml:space="preserve">
</t>
    </r>
    <r>
      <rPr>
        <sz val="6.5"/>
        <color theme="1"/>
        <rFont val="Century Gothic"/>
        <family val="2"/>
      </rPr>
      <t xml:space="preserve">Sie erstellen selbstständig Lernkarten zu den Grundlagenkenntnissen im Bereich Trinkwasserleitungen und Planen der Arbeiten. </t>
    </r>
  </si>
  <si>
    <t>Lernkarten Abschluss I TopinSan / Einrichtung…</t>
  </si>
  <si>
    <t>Grundrissberabeitung</t>
  </si>
  <si>
    <t>Die Note aus den Lernprodukten zählt zu 30%. Alle Noten der Prüfungen zählen zu 60%.</t>
  </si>
  <si>
    <r>
      <t xml:space="preserve">Grundrissbearbeitung
</t>
    </r>
    <r>
      <rPr>
        <sz val="10"/>
        <color theme="1"/>
        <rFont val="Century Gothic"/>
        <family val="2"/>
      </rPr>
      <t>Sie zeichnen einfache Installationspläne
unter Berücksichtigung der relevanten
Vorschriften.</t>
    </r>
  </si>
  <si>
    <r>
      <t xml:space="preserve">Rohrweitenbestimmung
</t>
    </r>
    <r>
      <rPr>
        <sz val="10"/>
        <color theme="1"/>
        <rFont val="Century Gothic"/>
        <family val="2"/>
      </rPr>
      <t xml:space="preserve">Sie bestimmen die Rohrweiten von Trinkwasser- Schmutzwasser-  
und Gasleitungen anhand der geltenden Vorschriften	</t>
    </r>
  </si>
  <si>
    <r>
      <t xml:space="preserve">Leitungsschema
</t>
    </r>
    <r>
      <rPr>
        <sz val="10"/>
        <color theme="1"/>
        <rFont val="Century Gothic"/>
        <family val="2"/>
      </rPr>
      <t>Sie zeichnen einfache Schemapläne
unter Berücksichtigung der relevanten
Vorschriften.</t>
    </r>
  </si>
  <si>
    <t>Auftrag 8.2</t>
  </si>
  <si>
    <t>8.8 I 8.2</t>
  </si>
  <si>
    <t xml:space="preserve">Auftrag 8.1 </t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</si>
  <si>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Grundrissbearbeitung
- Leitungsschema
- Rohrweitenbestimmung
</t>
    </r>
    <r>
      <rPr>
        <b/>
        <sz val="11"/>
        <color theme="1"/>
        <rFont val="Calibri"/>
        <family val="2"/>
        <scheme val="minor"/>
      </rPr>
      <t xml:space="preserve">Abzugebende Leistungsnachweise:
</t>
    </r>
    <r>
      <rPr>
        <sz val="11"/>
        <color theme="1"/>
        <rFont val="Calibri"/>
        <family val="2"/>
        <scheme val="minor"/>
      </rPr>
      <t xml:space="preserve">
- Leistungsnachweis «1 sauber gelöste Aufgabe pro Auftrag»
</t>
    </r>
  </si>
  <si>
    <t>8.10</t>
  </si>
  <si>
    <r>
      <t xml:space="preserve">Lernziele:
</t>
    </r>
    <r>
      <rPr>
        <sz val="11"/>
        <color theme="1"/>
        <rFont val="Calibri"/>
        <family val="2"/>
        <scheme val="minor"/>
      </rPr>
      <t xml:space="preserve">- Vernetzende Kompetenzen gemäss Auftrag </t>
    </r>
    <r>
      <rPr>
        <b/>
        <sz val="11"/>
        <color theme="1"/>
        <rFont val="Calibri"/>
        <family val="2"/>
        <scheme val="minor"/>
      </rPr>
      <t xml:space="preserve">
Abzugebende Leistungsnachweise:
</t>
    </r>
    <r>
      <rPr>
        <sz val="11"/>
        <color theme="1"/>
        <rFont val="Calibri"/>
        <family val="2"/>
        <scheme val="minor"/>
      </rPr>
      <t>- Leistungsnachweis "Lernkarten"</t>
    </r>
  </si>
  <si>
    <t>Alle Handlungsfelder</t>
  </si>
  <si>
    <t xml:space="preserve">QV Vorbereitung </t>
  </si>
  <si>
    <t>* Arbeit an den Antworten in Kleingruppen</t>
  </si>
  <si>
    <t>* Sie finalisieren die Fragekarten komplett &amp; Schliessen die Themen ab</t>
  </si>
  <si>
    <t>* Sie erhalten ihre Lernkarten zur Vorbereitung auf das Qualifikationsverfahren</t>
  </si>
  <si>
    <t>Auftrag 3</t>
  </si>
  <si>
    <t>* Übersicht Kompetenzen / Vermittlung Idee / Einteilung =&gt; Teams</t>
  </si>
  <si>
    <t xml:space="preserve">* Lernkarten drucken und zuschneiden </t>
  </si>
  <si>
    <t>Arbeit an Praxisaufträgen</t>
  </si>
  <si>
    <t>* Übersicht erhalten über die unterschiedlichen Praxisaufträge</t>
  </si>
  <si>
    <t>* Eigene Praxisaufträge sichten, verbessen und finalisieren</t>
  </si>
  <si>
    <t>* Login TopinSan kontrollieren ggfs. erneuen</t>
  </si>
  <si>
    <t>* Sie haben eine Übersicht über die vorhandenen Praxisaufträge</t>
  </si>
  <si>
    <t>* Sie eine sinnvolle Auswahl an Praxisaufträgen getroffen</t>
  </si>
  <si>
    <t xml:space="preserve">* Erste oder alle Praxisaufträge sind erledigt </t>
  </si>
  <si>
    <t>Service &amp; Inbetriebnahme</t>
  </si>
  <si>
    <t>1 - 3 Lektion</t>
  </si>
  <si>
    <t>4 - 5 Lektion</t>
  </si>
  <si>
    <t>* Sie zeichnen einfache Installationspläne unter Berücksichtigung  der relevanten Vorschriften.</t>
  </si>
  <si>
    <t>* Grundriss 2020</t>
  </si>
  <si>
    <t>* Grundriss 2022</t>
  </si>
  <si>
    <t>* Alle Handlungsfelder gemäss Auftrag 8.7</t>
  </si>
  <si>
    <t xml:space="preserve">* Einführung Idee / Auftrag </t>
  </si>
  <si>
    <t>* Erstellung von 3 Lernvideos pro Auftrag</t>
  </si>
  <si>
    <t xml:space="preserve">Einstieg </t>
  </si>
  <si>
    <t xml:space="preserve"> =&gt; Wie wird am QV gefragt?</t>
  </si>
  <si>
    <t>* Schema 2020</t>
  </si>
  <si>
    <t>* Schema 2022</t>
  </si>
  <si>
    <t>* Dimensionieren 2020</t>
  </si>
  <si>
    <t>* Dimensionieren 2022</t>
  </si>
  <si>
    <t>Lernziele / Prüfung</t>
  </si>
  <si>
    <t>Prüfung Auftrag 8.7</t>
  </si>
  <si>
    <t>Einfache Installationspläne erst.</t>
  </si>
  <si>
    <t>30min</t>
  </si>
  <si>
    <t>Prüfung Auftrag 8.1</t>
  </si>
  <si>
    <t>* Fachrechnen Serie A</t>
  </si>
  <si>
    <t>* Fachrechnen Serie B</t>
  </si>
  <si>
    <t>* Erstellung von 1 Lernvideos "Vorstellung Projekt"</t>
  </si>
  <si>
    <t>45min</t>
  </si>
  <si>
    <t>* Erstellung von je 2 Lernvideos "Praxisauftrag"</t>
  </si>
  <si>
    <t>* Aufgabe AVOR Z-Mass</t>
  </si>
  <si>
    <t>* Aufgabe AVOR X-Mass</t>
  </si>
  <si>
    <t>oder</t>
  </si>
  <si>
    <r>
      <t xml:space="preserve">Lernziele:
</t>
    </r>
    <r>
      <rPr>
        <sz val="11"/>
        <color theme="1"/>
        <rFont val="Calibri"/>
        <family val="2"/>
        <scheme val="minor"/>
      </rPr>
      <t>- Sämtliche Kompetenzen der Bildungsverordnung</t>
    </r>
    <r>
      <rPr>
        <b/>
        <sz val="11"/>
        <color theme="1"/>
        <rFont val="Calibri"/>
        <family val="2"/>
        <scheme val="minor"/>
      </rPr>
      <t xml:space="preserve">
Abzugebende Leistungsnachweise:
</t>
    </r>
    <r>
      <rPr>
        <sz val="11"/>
        <color theme="1"/>
        <rFont val="Calibri"/>
        <family val="2"/>
        <scheme val="minor"/>
      </rPr>
      <t>- Individueller Leistungsnachweis "5 Erklärvideos pro Lernender "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</si>
  <si>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Trinkwasserleitungen in Betrieb nehmen
- Apparate, Entnahmearmaturen und Garnituren montieren
</t>
    </r>
    <r>
      <rPr>
        <b/>
        <sz val="11"/>
        <color theme="1"/>
        <rFont val="Calibri"/>
        <family val="2"/>
        <scheme val="minor"/>
      </rPr>
      <t xml:space="preserve"> 
Abzugebende Leistungsnachweise:
</t>
    </r>
    <r>
      <rPr>
        <sz val="11"/>
        <color theme="1"/>
        <rFont val="Calibri"/>
        <family val="2"/>
        <scheme val="minor"/>
      </rPr>
      <t xml:space="preserve">
- Individueller Leistungsnachweis "3 Erklärvideos pro Lernender "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</si>
  <si>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Sanitärtechnische Berechnungen
- Arbeitsvorbereitung AVOR Z/X-Mass
- Detailplan erstellen
</t>
    </r>
    <r>
      <rPr>
        <b/>
        <sz val="11"/>
        <color theme="1"/>
        <rFont val="Calibri"/>
        <family val="2"/>
        <scheme val="minor"/>
      </rPr>
      <t xml:space="preserve">Abzugebende Leistungsnachweise:
</t>
    </r>
    <r>
      <rPr>
        <sz val="11"/>
        <color theme="1"/>
        <rFont val="Calibri"/>
        <family val="2"/>
        <scheme val="minor"/>
      </rPr>
      <t xml:space="preserve">
- Leistungsnachweis «1 sauber gelöste Aufgabe pro Auftrag»
</t>
    </r>
  </si>
  <si>
    <t xml:space="preserve">* Vollendung Auftrag </t>
  </si>
  <si>
    <t>* Erstellung von je 2 weiteren Lernvideos "Praxisauftrag"</t>
  </si>
  <si>
    <t>* Aufgabe Detailplan 1 von zwei</t>
  </si>
  <si>
    <t>Alle Leistungsnachweise abgeben bis 11.50 Uhr!</t>
  </si>
  <si>
    <t>Unterlagen richten für QV Probleäufe!</t>
  </si>
  <si>
    <t>Vorbereitung QV</t>
  </si>
  <si>
    <t>Aufgabe 1</t>
  </si>
  <si>
    <t>Grundrissbearbeitung</t>
  </si>
  <si>
    <t xml:space="preserve">08.40 Uhr </t>
  </si>
  <si>
    <t xml:space="preserve">07.40 Uhr </t>
  </si>
  <si>
    <t>08.40 Uhr</t>
  </si>
  <si>
    <t>60min</t>
  </si>
  <si>
    <t>Aufgabe 2</t>
  </si>
  <si>
    <t>15min</t>
  </si>
  <si>
    <t>Aufgabe 3</t>
  </si>
  <si>
    <t>40min</t>
  </si>
  <si>
    <t>09.20 Uhr</t>
  </si>
  <si>
    <t xml:space="preserve">09.20 Uhr </t>
  </si>
  <si>
    <t>09.45 Uhr</t>
  </si>
  <si>
    <t>25min</t>
  </si>
  <si>
    <t>Aufgabe 4</t>
  </si>
  <si>
    <t>Dimens. Wasser / WAS</t>
  </si>
  <si>
    <t>Dimens. Erdgas</t>
  </si>
  <si>
    <t xml:space="preserve">09.45 Uhr </t>
  </si>
  <si>
    <t>09.55 Uhr</t>
  </si>
  <si>
    <t>Aufgabe 5</t>
  </si>
  <si>
    <t>Sanitärtechnische Ber.</t>
  </si>
  <si>
    <t xml:space="preserve">10.15 Uhr </t>
  </si>
  <si>
    <t>10.20 Uhr</t>
  </si>
  <si>
    <t>5min</t>
  </si>
  <si>
    <t>Aufgabe 6</t>
  </si>
  <si>
    <t>Aufgabe 7</t>
  </si>
  <si>
    <t>Aufgabe 8</t>
  </si>
  <si>
    <t xml:space="preserve">10.20 Uhr </t>
  </si>
  <si>
    <t>10.25 Uhr</t>
  </si>
  <si>
    <t xml:space="preserve">10.25 Uhr </t>
  </si>
  <si>
    <t>10.30 Uhr</t>
  </si>
  <si>
    <t xml:space="preserve">10.30 Uhr </t>
  </si>
  <si>
    <t>Aufgabe 9</t>
  </si>
  <si>
    <t>AVOR X-Mass</t>
  </si>
  <si>
    <t xml:space="preserve">10.35 Uhr </t>
  </si>
  <si>
    <t>11.55Uhr</t>
  </si>
  <si>
    <t>10.35 Uhr</t>
  </si>
  <si>
    <t>80min</t>
  </si>
  <si>
    <t>Korrektur</t>
  </si>
  <si>
    <t>Zuhause</t>
  </si>
  <si>
    <t xml:space="preserve">Position 1 </t>
  </si>
  <si>
    <t>Hauptdokument</t>
  </si>
  <si>
    <t>Planunterlagen</t>
  </si>
  <si>
    <t>Aufgaben (5/6/7/8)</t>
  </si>
  <si>
    <t>Aufgaben (1/2/3/4/9)</t>
  </si>
  <si>
    <t>20min</t>
  </si>
  <si>
    <t xml:space="preserve">Position 3 / 4 </t>
  </si>
  <si>
    <t>1 - 5 Lektion</t>
  </si>
  <si>
    <t>Individuelle Prüfungsvorbereitung</t>
  </si>
  <si>
    <t>Unterichtsplanung 8. Semester</t>
  </si>
  <si>
    <t>QV 2024</t>
  </si>
  <si>
    <t>Auftrag 24</t>
  </si>
  <si>
    <t xml:space="preserve">Qualifikationsverfahren </t>
  </si>
  <si>
    <t>Individuelle Vorbereitung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</si>
</sst>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8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1"/>
      <color theme="1"/>
      <name val="Century Gothic"/>
      <family val="2"/>
    </font>
    <font>
      <sz val="24"/>
      <color theme="1"/>
      <name val="Century Gothic"/>
      <family val="2"/>
    </font>
    <font>
      <b/>
      <sz val="14"/>
      <color theme="1"/>
      <name val="Century Gothic"/>
      <family val="2"/>
    </font>
    <font>
      <sz val="8"/>
      <color theme="1"/>
      <name val="Century Gothic"/>
      <family val="2"/>
    </font>
    <font>
      <b/>
      <sz val="11"/>
      <color theme="1"/>
      <name val="Century Gothic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entury Gothic"/>
      <family val="2"/>
    </font>
    <font>
      <b/>
      <sz val="10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8"/>
      <color theme="1"/>
      <name val="Century Gothic"/>
      <family val="2"/>
    </font>
    <font>
      <b/>
      <sz val="12"/>
      <color theme="1"/>
      <name val="Century Gothic"/>
      <family val="2"/>
    </font>
    <font>
      <sz val="9"/>
      <color theme="1"/>
      <name val="Century Gothic"/>
      <family val="2"/>
    </font>
    <font>
      <b/>
      <sz val="10"/>
      <name val="Century Gothic"/>
      <family val="2"/>
    </font>
    <font>
      <sz val="8"/>
      <color theme="1" tint="0.499984740745262"/>
      <name val="Century Gothic"/>
      <family val="2"/>
    </font>
    <font>
      <sz val="8"/>
      <color theme="1" tint="0.499984740745262"/>
      <name val="Calibri"/>
      <family val="2"/>
      <scheme val="minor"/>
    </font>
    <font>
      <sz val="6.5"/>
      <color theme="1"/>
      <name val="Century Gothic"/>
      <family val="2"/>
    </font>
    <font>
      <i/>
      <sz val="11"/>
      <color theme="1"/>
      <name val="Century Gothic"/>
      <family val="2"/>
    </font>
    <font>
      <b/>
      <sz val="8"/>
      <color theme="1"/>
      <name val="Century Gothic"/>
      <family val="2"/>
    </font>
    <font>
      <sz val="8"/>
      <name val="Calibri"/>
      <family val="2"/>
      <scheme val="minor"/>
    </font>
    <font>
      <i/>
      <sz val="10"/>
      <color theme="0" tint="-0.34998626667073579"/>
      <name val="Century Gothic"/>
      <family val="2"/>
    </font>
    <font>
      <sz val="8"/>
      <color rgb="FF00B050"/>
      <name val="Century Gothic"/>
      <family val="2"/>
    </font>
    <font>
      <sz val="12"/>
      <color theme="0"/>
      <name val="Calibri"/>
      <family val="2"/>
      <scheme val="minor"/>
    </font>
    <font>
      <sz val="10"/>
      <color theme="6" tint="0.79998168889431442"/>
      <name val="Century Gothic"/>
      <family val="2"/>
    </font>
    <font>
      <b/>
      <sz val="10"/>
      <color theme="1"/>
      <name val="Blackadder ITC"/>
      <family val="5"/>
    </font>
    <font>
      <sz val="11"/>
      <color theme="1"/>
      <name val="Blackadder ITC"/>
      <family val="5"/>
    </font>
    <font>
      <sz val="10"/>
      <name val="Century Gothic"/>
      <family val="2"/>
    </font>
    <font>
      <i/>
      <sz val="8"/>
      <color theme="0" tint="-0.499984740745262"/>
      <name val="Century Gothic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entury Gothic"/>
      <family val="2"/>
    </font>
    <font>
      <b/>
      <sz val="9"/>
      <color theme="1"/>
      <name val="Century Gothic"/>
      <family val="2"/>
    </font>
    <font>
      <u/>
      <sz val="9"/>
      <color theme="0" tint="-0.34998626667073579"/>
      <name val="Century Gothic"/>
      <family val="2"/>
    </font>
    <font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8"/>
      <color theme="1"/>
      <name val="Century Gothic"/>
      <family val="2"/>
    </font>
    <font>
      <i/>
      <sz val="18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name val="Century Gothic"/>
      <family val="2"/>
    </font>
    <font>
      <sz val="8"/>
      <color theme="1"/>
      <name val="Calibri"/>
      <family val="2"/>
      <scheme val="minor"/>
    </font>
    <font>
      <b/>
      <sz val="12"/>
      <color theme="6"/>
      <name val="Century Gothic"/>
      <family val="2"/>
    </font>
    <font>
      <b/>
      <i/>
      <sz val="10"/>
      <color theme="1"/>
      <name val="Century Gothic"/>
      <family val="2"/>
    </font>
    <font>
      <b/>
      <sz val="12"/>
      <name val="Century Gothic"/>
      <family val="2"/>
    </font>
    <font>
      <b/>
      <i/>
      <sz val="9"/>
      <color theme="1"/>
      <name val="Century Gothic"/>
      <family val="2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E32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43">
    <xf numFmtId="0" fontId="0" fillId="0" borderId="0" xfId="0"/>
    <xf numFmtId="0" fontId="2" fillId="0" borderId="0" xfId="0" applyFont="1"/>
    <xf numFmtId="0" fontId="6" fillId="0" borderId="0" xfId="0" applyFont="1"/>
    <xf numFmtId="0" fontId="9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7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0" fontId="18" fillId="0" borderId="0" xfId="0" applyFont="1"/>
    <xf numFmtId="0" fontId="1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4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15" fillId="3" borderId="1" xfId="0" applyFont="1" applyFill="1" applyBorder="1" applyAlignment="1">
      <alignment horizontal="left" vertical="center"/>
    </xf>
    <xf numFmtId="0" fontId="28" fillId="3" borderId="3" xfId="0" applyFont="1" applyFill="1" applyBorder="1" applyAlignment="1">
      <alignment horizontal="left" vertical="center"/>
    </xf>
    <xf numFmtId="0" fontId="28" fillId="3" borderId="3" xfId="0" applyFont="1" applyFill="1" applyBorder="1" applyAlignment="1">
      <alignment horizontal="center" vertical="center"/>
    </xf>
    <xf numFmtId="14" fontId="20" fillId="3" borderId="22" xfId="0" applyNumberFormat="1" applyFont="1" applyFill="1" applyBorder="1" applyAlignment="1">
      <alignment horizontal="center" vertical="center"/>
    </xf>
    <xf numFmtId="0" fontId="20" fillId="3" borderId="18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vertical="center"/>
    </xf>
    <xf numFmtId="0" fontId="9" fillId="4" borderId="3" xfId="0" applyFont="1" applyFill="1" applyBorder="1" applyAlignment="1">
      <alignment vertical="center"/>
    </xf>
    <xf numFmtId="0" fontId="9" fillId="4" borderId="2" xfId="0" applyFont="1" applyFill="1" applyBorder="1" applyAlignment="1">
      <alignment vertical="center"/>
    </xf>
    <xf numFmtId="0" fontId="20" fillId="4" borderId="4" xfId="0" applyFont="1" applyFill="1" applyBorder="1" applyAlignment="1">
      <alignment horizontal="left"/>
    </xf>
    <xf numFmtId="0" fontId="5" fillId="4" borderId="0" xfId="0" applyFont="1" applyFill="1" applyAlignment="1">
      <alignment horizontal="center"/>
    </xf>
    <xf numFmtId="0" fontId="23" fillId="4" borderId="9" xfId="0" applyFont="1" applyFill="1" applyBorder="1" applyAlignment="1" applyProtection="1">
      <alignment horizontal="center"/>
      <protection locked="0" hidden="1"/>
    </xf>
    <xf numFmtId="0" fontId="23" fillId="4" borderId="13" xfId="0" applyFont="1" applyFill="1" applyBorder="1" applyAlignment="1" applyProtection="1">
      <alignment horizontal="center"/>
      <protection locked="0" hidden="1"/>
    </xf>
    <xf numFmtId="0" fontId="6" fillId="4" borderId="4" xfId="0" applyFont="1" applyFill="1" applyBorder="1"/>
    <xf numFmtId="0" fontId="25" fillId="4" borderId="0" xfId="0" applyFont="1" applyFill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2" fillId="4" borderId="5" xfId="0" applyFont="1" applyFill="1" applyBorder="1"/>
    <xf numFmtId="0" fontId="2" fillId="4" borderId="6" xfId="0" applyFont="1" applyFill="1" applyBorder="1"/>
    <xf numFmtId="0" fontId="2" fillId="4" borderId="10" xfId="0" applyFont="1" applyFill="1" applyBorder="1"/>
    <xf numFmtId="0" fontId="9" fillId="4" borderId="7" xfId="0" applyFont="1" applyFill="1" applyBorder="1" applyAlignment="1">
      <alignment horizontal="left" vertical="center"/>
    </xf>
    <xf numFmtId="0" fontId="9" fillId="4" borderId="8" xfId="0" applyFont="1" applyFill="1" applyBorder="1" applyAlignment="1">
      <alignment horizontal="left" vertical="center"/>
    </xf>
    <xf numFmtId="0" fontId="0" fillId="4" borderId="11" xfId="0" applyFill="1" applyBorder="1" applyAlignment="1">
      <alignment horizontal="left" vertical="center"/>
    </xf>
    <xf numFmtId="14" fontId="14" fillId="4" borderId="19" xfId="0" applyNumberFormat="1" applyFont="1" applyFill="1" applyBorder="1" applyAlignment="1">
      <alignment horizontal="left" vertical="center"/>
    </xf>
    <xf numFmtId="14" fontId="14" fillId="4" borderId="4" xfId="0" applyNumberFormat="1" applyFont="1" applyFill="1" applyBorder="1" applyAlignment="1">
      <alignment horizontal="left" vertical="center"/>
    </xf>
    <xf numFmtId="14" fontId="14" fillId="4" borderId="20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vertical="center"/>
    </xf>
    <xf numFmtId="0" fontId="2" fillId="5" borderId="3" xfId="0" applyFont="1" applyFill="1" applyBorder="1"/>
    <xf numFmtId="0" fontId="6" fillId="5" borderId="3" xfId="0" applyFont="1" applyFill="1" applyBorder="1" applyAlignment="1">
      <alignment horizontal="center" vertical="center"/>
    </xf>
    <xf numFmtId="14" fontId="19" fillId="5" borderId="3" xfId="0" applyNumberFormat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 applyProtection="1">
      <alignment horizontal="center" vertical="center"/>
      <protection locked="0" hidden="1"/>
    </xf>
    <xf numFmtId="0" fontId="14" fillId="5" borderId="1" xfId="0" applyFont="1" applyFill="1" applyBorder="1" applyAlignment="1">
      <alignment horizontal="left" vertical="center"/>
    </xf>
    <xf numFmtId="0" fontId="14" fillId="5" borderId="3" xfId="0" applyFont="1" applyFill="1" applyBorder="1" applyAlignment="1">
      <alignment vertical="center"/>
    </xf>
    <xf numFmtId="0" fontId="14" fillId="5" borderId="3" xfId="0" applyFont="1" applyFill="1" applyBorder="1" applyAlignment="1">
      <alignment horizontal="left" vertical="center"/>
    </xf>
    <xf numFmtId="0" fontId="14" fillId="5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4" borderId="7" xfId="0" applyFont="1" applyFill="1" applyBorder="1" applyAlignment="1">
      <alignment horizontal="left"/>
    </xf>
    <xf numFmtId="0" fontId="9" fillId="4" borderId="8" xfId="0" applyFont="1" applyFill="1" applyBorder="1" applyAlignment="1">
      <alignment horizontal="left"/>
    </xf>
    <xf numFmtId="0" fontId="0" fillId="4" borderId="11" xfId="0" applyFill="1" applyBorder="1" applyAlignment="1">
      <alignment horizontal="left"/>
    </xf>
    <xf numFmtId="0" fontId="28" fillId="3" borderId="2" xfId="0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vertical="center"/>
    </xf>
    <xf numFmtId="0" fontId="0" fillId="0" borderId="34" xfId="0" applyBorder="1"/>
    <xf numFmtId="0" fontId="34" fillId="0" borderId="16" xfId="1" applyFont="1" applyBorder="1"/>
    <xf numFmtId="0" fontId="14" fillId="0" borderId="16" xfId="0" applyFont="1" applyBorder="1"/>
    <xf numFmtId="0" fontId="14" fillId="0" borderId="35" xfId="0" applyFont="1" applyBorder="1"/>
    <xf numFmtId="0" fontId="33" fillId="0" borderId="35" xfId="0" applyFont="1" applyBorder="1" applyAlignment="1">
      <alignment horizontal="center"/>
    </xf>
    <xf numFmtId="0" fontId="33" fillId="0" borderId="29" xfId="0" applyFont="1" applyBorder="1"/>
    <xf numFmtId="0" fontId="14" fillId="0" borderId="0" xfId="0" applyFont="1"/>
    <xf numFmtId="0" fontId="0" fillId="0" borderId="38" xfId="0" applyBorder="1"/>
    <xf numFmtId="0" fontId="14" fillId="0" borderId="29" xfId="0" applyFont="1" applyBorder="1"/>
    <xf numFmtId="0" fontId="14" fillId="0" borderId="38" xfId="0" applyFont="1" applyBorder="1"/>
    <xf numFmtId="0" fontId="0" fillId="0" borderId="29" xfId="0" applyBorder="1"/>
    <xf numFmtId="0" fontId="30" fillId="0" borderId="38" xfId="0" applyFont="1" applyBorder="1"/>
    <xf numFmtId="0" fontId="36" fillId="0" borderId="38" xfId="0" applyFont="1" applyBorder="1"/>
    <xf numFmtId="0" fontId="0" fillId="0" borderId="36" xfId="0" applyBorder="1"/>
    <xf numFmtId="0" fontId="0" fillId="0" borderId="15" xfId="0" applyBorder="1"/>
    <xf numFmtId="0" fontId="0" fillId="0" borderId="37" xfId="0" applyBorder="1"/>
    <xf numFmtId="0" fontId="14" fillId="0" borderId="36" xfId="0" applyFont="1" applyBorder="1"/>
    <xf numFmtId="0" fontId="39" fillId="0" borderId="0" xfId="0" applyFont="1"/>
    <xf numFmtId="0" fontId="33" fillId="0" borderId="34" xfId="0" applyFont="1" applyBorder="1"/>
    <xf numFmtId="0" fontId="0" fillId="0" borderId="16" xfId="0" applyBorder="1"/>
    <xf numFmtId="0" fontId="0" fillId="0" borderId="38" xfId="0" applyBorder="1" applyAlignment="1">
      <alignment horizontal="center"/>
    </xf>
    <xf numFmtId="0" fontId="40" fillId="0" borderId="38" xfId="0" applyFont="1" applyBorder="1" applyAlignment="1">
      <alignment horizontal="center"/>
    </xf>
    <xf numFmtId="0" fontId="0" fillId="0" borderId="35" xfId="0" applyBorder="1"/>
    <xf numFmtId="0" fontId="0" fillId="0" borderId="0" xfId="0" applyAlignment="1">
      <alignment horizontal="left" vertical="top"/>
    </xf>
    <xf numFmtId="0" fontId="6" fillId="5" borderId="31" xfId="0" applyFont="1" applyFill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5" borderId="28" xfId="0" applyFont="1" applyFill="1" applyBorder="1" applyAlignment="1">
      <alignment horizontal="left" vertical="center"/>
    </xf>
    <xf numFmtId="14" fontId="2" fillId="0" borderId="32" xfId="0" applyNumberFormat="1" applyFont="1" applyBorder="1" applyAlignment="1">
      <alignment horizontal="left"/>
    </xf>
    <xf numFmtId="14" fontId="2" fillId="0" borderId="33" xfId="0" applyNumberFormat="1" applyFont="1" applyBorder="1" applyAlignment="1">
      <alignment horizontal="left"/>
    </xf>
    <xf numFmtId="0" fontId="15" fillId="2" borderId="40" xfId="0" applyFont="1" applyFill="1" applyBorder="1" applyAlignment="1">
      <alignment horizontal="center"/>
    </xf>
    <xf numFmtId="0" fontId="29" fillId="2" borderId="41" xfId="0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 vertical="center" wrapText="1"/>
    </xf>
    <xf numFmtId="0" fontId="0" fillId="2" borderId="43" xfId="0" applyFill="1" applyBorder="1" applyAlignment="1">
      <alignment horizontal="center" vertical="center" wrapText="1"/>
    </xf>
    <xf numFmtId="0" fontId="0" fillId="2" borderId="41" xfId="0" applyFill="1" applyBorder="1" applyAlignment="1">
      <alignment horizontal="center" vertical="center" wrapText="1"/>
    </xf>
    <xf numFmtId="0" fontId="0" fillId="2" borderId="44" xfId="0" applyFill="1" applyBorder="1" applyAlignment="1">
      <alignment horizontal="center" vertical="center" wrapText="1"/>
    </xf>
    <xf numFmtId="49" fontId="20" fillId="3" borderId="18" xfId="0" applyNumberFormat="1" applyFont="1" applyFill="1" applyBorder="1" applyAlignment="1">
      <alignment horizontal="center" vertical="center"/>
    </xf>
    <xf numFmtId="14" fontId="20" fillId="5" borderId="45" xfId="0" applyNumberFormat="1" applyFont="1" applyFill="1" applyBorder="1" applyAlignment="1">
      <alignment horizontal="center" vertical="center"/>
    </xf>
    <xf numFmtId="0" fontId="0" fillId="0" borderId="33" xfId="0" applyBorder="1"/>
    <xf numFmtId="0" fontId="14" fillId="0" borderId="34" xfId="0" applyFont="1" applyBorder="1"/>
    <xf numFmtId="0" fontId="40" fillId="0" borderId="32" xfId="0" applyFont="1" applyBorder="1" applyAlignment="1">
      <alignment horizontal="center"/>
    </xf>
    <xf numFmtId="0" fontId="1" fillId="7" borderId="46" xfId="0" applyFont="1" applyFill="1" applyBorder="1"/>
    <xf numFmtId="0" fontId="1" fillId="7" borderId="23" xfId="0" applyFont="1" applyFill="1" applyBorder="1"/>
    <xf numFmtId="0" fontId="1" fillId="7" borderId="39" xfId="0" applyFont="1" applyFill="1" applyBorder="1" applyAlignment="1">
      <alignment horizontal="center"/>
    </xf>
    <xf numFmtId="0" fontId="1" fillId="0" borderId="15" xfId="0" applyFont="1" applyBorder="1"/>
    <xf numFmtId="0" fontId="1" fillId="0" borderId="34" xfId="0" applyFont="1" applyBorder="1"/>
    <xf numFmtId="0" fontId="1" fillId="0" borderId="16" xfId="0" applyFont="1" applyBorder="1"/>
    <xf numFmtId="0" fontId="1" fillId="0" borderId="35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35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3" fillId="0" borderId="36" xfId="0" applyFont="1" applyBorder="1"/>
    <xf numFmtId="0" fontId="14" fillId="0" borderId="15" xfId="0" applyFont="1" applyBorder="1"/>
    <xf numFmtId="0" fontId="14" fillId="0" borderId="15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37" xfId="0" applyBorder="1" applyAlignment="1">
      <alignment vertical="center"/>
    </xf>
    <xf numFmtId="0" fontId="9" fillId="0" borderId="34" xfId="0" applyFont="1" applyBorder="1" applyAlignment="1">
      <alignment horizontal="left" vertical="center"/>
    </xf>
    <xf numFmtId="0" fontId="9" fillId="0" borderId="29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1" fillId="0" borderId="29" xfId="0" applyFont="1" applyBorder="1" applyAlignment="1">
      <alignment horizontal="center" vertical="center"/>
    </xf>
    <xf numFmtId="0" fontId="43" fillId="8" borderId="46" xfId="0" applyFont="1" applyFill="1" applyBorder="1" applyAlignment="1">
      <alignment horizontal="center" vertical="center"/>
    </xf>
    <xf numFmtId="0" fontId="47" fillId="8" borderId="23" xfId="0" applyFont="1" applyFill="1" applyBorder="1" applyAlignment="1">
      <alignment horizontal="center" vertical="center"/>
    </xf>
    <xf numFmtId="0" fontId="47" fillId="8" borderId="39" xfId="0" applyFont="1" applyFill="1" applyBorder="1" applyAlignment="1">
      <alignment horizontal="center" vertical="center"/>
    </xf>
    <xf numFmtId="0" fontId="32" fillId="5" borderId="34" xfId="0" applyFont="1" applyFill="1" applyBorder="1" applyAlignment="1">
      <alignment horizontal="left" vertical="center"/>
    </xf>
    <xf numFmtId="0" fontId="32" fillId="5" borderId="16" xfId="0" applyFont="1" applyFill="1" applyBorder="1" applyAlignment="1">
      <alignment horizontal="left" vertical="center"/>
    </xf>
    <xf numFmtId="0" fontId="32" fillId="5" borderId="36" xfId="0" applyFont="1" applyFill="1" applyBorder="1" applyAlignment="1">
      <alignment horizontal="left" vertical="center"/>
    </xf>
    <xf numFmtId="0" fontId="32" fillId="5" borderId="15" xfId="0" applyFont="1" applyFill="1" applyBorder="1" applyAlignment="1">
      <alignment horizontal="left" vertical="center"/>
    </xf>
    <xf numFmtId="14" fontId="32" fillId="5" borderId="34" xfId="0" applyNumberFormat="1" applyFont="1" applyFill="1" applyBorder="1" applyAlignment="1">
      <alignment horizontal="center" vertical="center"/>
    </xf>
    <xf numFmtId="0" fontId="32" fillId="5" borderId="35" xfId="0" applyFont="1" applyFill="1" applyBorder="1" applyAlignment="1">
      <alignment horizontal="center" vertical="center"/>
    </xf>
    <xf numFmtId="0" fontId="32" fillId="5" borderId="36" xfId="0" applyFont="1" applyFill="1" applyBorder="1" applyAlignment="1">
      <alignment horizontal="center" vertical="center"/>
    </xf>
    <xf numFmtId="0" fontId="32" fillId="5" borderId="37" xfId="0" applyFont="1" applyFill="1" applyBorder="1" applyAlignment="1">
      <alignment horizontal="center" vertical="center"/>
    </xf>
    <xf numFmtId="0" fontId="12" fillId="5" borderId="31" xfId="0" applyFont="1" applyFill="1" applyBorder="1" applyAlignment="1">
      <alignment horizontal="center" vertical="center"/>
    </xf>
    <xf numFmtId="0" fontId="12" fillId="5" borderId="33" xfId="0" applyFont="1" applyFill="1" applyBorder="1" applyAlignment="1">
      <alignment horizontal="center" vertical="center"/>
    </xf>
    <xf numFmtId="0" fontId="12" fillId="2" borderId="34" xfId="0" applyFont="1" applyFill="1" applyBorder="1" applyAlignment="1">
      <alignment horizontal="left" vertical="center"/>
    </xf>
    <xf numFmtId="0" fontId="0" fillId="2" borderId="16" xfId="0" applyFill="1" applyBorder="1" applyAlignment="1">
      <alignment horizontal="left" vertical="center"/>
    </xf>
    <xf numFmtId="0" fontId="0" fillId="0" borderId="35" xfId="0" applyBorder="1" applyAlignment="1">
      <alignment vertical="center"/>
    </xf>
    <xf numFmtId="0" fontId="0" fillId="2" borderId="36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38" xfId="0" applyBorder="1" applyAlignment="1">
      <alignment vertical="center"/>
    </xf>
    <xf numFmtId="2" fontId="12" fillId="2" borderId="31" xfId="0" applyNumberFormat="1" applyFont="1" applyFill="1" applyBorder="1" applyAlignment="1">
      <alignment horizontal="center" vertical="center"/>
    </xf>
    <xf numFmtId="2" fontId="12" fillId="2" borderId="32" xfId="0" applyNumberFormat="1" applyFont="1" applyFill="1" applyBorder="1" applyAlignment="1">
      <alignment horizontal="center" vertical="center"/>
    </xf>
    <xf numFmtId="0" fontId="32" fillId="2" borderId="34" xfId="0" applyFont="1" applyFill="1" applyBorder="1" applyAlignment="1">
      <alignment horizontal="center" vertical="center" textRotation="90"/>
    </xf>
    <xf numFmtId="0" fontId="35" fillId="2" borderId="29" xfId="0" applyFont="1" applyFill="1" applyBorder="1" applyAlignment="1">
      <alignment horizontal="center" vertical="center" textRotation="90"/>
    </xf>
    <xf numFmtId="0" fontId="35" fillId="2" borderId="36" xfId="0" applyFont="1" applyFill="1" applyBorder="1" applyAlignment="1">
      <alignment horizontal="center" vertical="center" textRotation="90"/>
    </xf>
    <xf numFmtId="14" fontId="14" fillId="4" borderId="23" xfId="0" applyNumberFormat="1" applyFont="1" applyFill="1" applyBorder="1" applyAlignment="1">
      <alignment horizontal="left" vertical="center"/>
    </xf>
    <xf numFmtId="0" fontId="0" fillId="4" borderId="21" xfId="0" applyFill="1" applyBorder="1" applyAlignment="1">
      <alignment horizontal="left"/>
    </xf>
    <xf numFmtId="0" fontId="9" fillId="2" borderId="14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0" fillId="2" borderId="11" xfId="0" applyFill="1" applyBorder="1"/>
    <xf numFmtId="0" fontId="16" fillId="2" borderId="12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0" fontId="0" fillId="2" borderId="13" xfId="0" applyFill="1" applyBorder="1"/>
    <xf numFmtId="0" fontId="22" fillId="2" borderId="3" xfId="0" applyFont="1" applyFill="1" applyBorder="1" applyAlignment="1">
      <alignment horizontal="left" vertical="center"/>
    </xf>
    <xf numFmtId="0" fontId="22" fillId="2" borderId="2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 wrapText="1"/>
    </xf>
    <xf numFmtId="0" fontId="13" fillId="2" borderId="16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3" fillId="2" borderId="5" xfId="0" applyFont="1" applyFill="1" applyBorder="1" applyAlignment="1">
      <alignment horizontal="left" vertical="center"/>
    </xf>
    <xf numFmtId="0" fontId="13" fillId="2" borderId="6" xfId="0" applyFont="1" applyFill="1" applyBorder="1" applyAlignment="1">
      <alignment horizontal="left" vertical="center"/>
    </xf>
    <xf numFmtId="14" fontId="14" fillId="4" borderId="24" xfId="0" applyNumberFormat="1" applyFont="1" applyFill="1" applyBorder="1" applyAlignment="1">
      <alignment horizontal="left" vertical="center"/>
    </xf>
    <xf numFmtId="0" fontId="0" fillId="4" borderId="25" xfId="0" applyFill="1" applyBorder="1" applyAlignment="1">
      <alignment horizontal="left"/>
    </xf>
    <xf numFmtId="0" fontId="5" fillId="2" borderId="12" xfId="0" applyFont="1" applyFill="1" applyBorder="1" applyAlignment="1">
      <alignment horizontal="center" vertical="center"/>
    </xf>
    <xf numFmtId="0" fontId="41" fillId="2" borderId="13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left" vertical="center" wrapText="1"/>
    </xf>
    <xf numFmtId="0" fontId="11" fillId="2" borderId="16" xfId="0" applyFont="1" applyFill="1" applyBorder="1" applyAlignment="1">
      <alignment horizontal="left" vertical="center"/>
    </xf>
    <xf numFmtId="0" fontId="11" fillId="2" borderId="17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1" fillId="2" borderId="9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left" vertical="center"/>
    </xf>
    <xf numFmtId="0" fontId="11" fillId="2" borderId="10" xfId="0" applyFont="1" applyFill="1" applyBorder="1" applyAlignment="1">
      <alignment horizontal="left" vertical="center"/>
    </xf>
    <xf numFmtId="0" fontId="1" fillId="2" borderId="14" xfId="0" applyFont="1" applyFill="1" applyBorder="1" applyAlignment="1">
      <alignment horizontal="center" vertical="center" wrapText="1"/>
    </xf>
    <xf numFmtId="0" fontId="43" fillId="2" borderId="14" xfId="0" applyFont="1" applyFill="1" applyBorder="1" applyAlignment="1">
      <alignment horizontal="center" vertical="center" wrapText="1"/>
    </xf>
    <xf numFmtId="0" fontId="43" fillId="2" borderId="17" xfId="0" applyFont="1" applyFill="1" applyBorder="1" applyAlignment="1">
      <alignment horizontal="center" vertical="center" wrapText="1"/>
    </xf>
    <xf numFmtId="0" fontId="43" fillId="2" borderId="4" xfId="0" applyFont="1" applyFill="1" applyBorder="1" applyAlignment="1">
      <alignment horizontal="center" vertical="center" wrapText="1"/>
    </xf>
    <xf numFmtId="0" fontId="43" fillId="2" borderId="9" xfId="0" applyFont="1" applyFill="1" applyBorder="1" applyAlignment="1">
      <alignment horizontal="center" vertical="center" wrapText="1"/>
    </xf>
    <xf numFmtId="0" fontId="43" fillId="2" borderId="5" xfId="0" applyFont="1" applyFill="1" applyBorder="1" applyAlignment="1">
      <alignment horizontal="center" vertical="center" wrapText="1"/>
    </xf>
    <xf numFmtId="0" fontId="43" fillId="2" borderId="10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49" fontId="12" fillId="2" borderId="7" xfId="0" applyNumberFormat="1" applyFont="1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15" xfId="0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15" fillId="4" borderId="7" xfId="0" applyFont="1" applyFill="1" applyBorder="1" applyAlignment="1">
      <alignment horizontal="center"/>
    </xf>
    <xf numFmtId="0" fontId="15" fillId="4" borderId="8" xfId="0" applyFont="1" applyFill="1" applyBorder="1" applyAlignment="1">
      <alignment horizontal="center"/>
    </xf>
    <xf numFmtId="0" fontId="7" fillId="4" borderId="11" xfId="0" applyFont="1" applyFill="1" applyBorder="1"/>
    <xf numFmtId="14" fontId="14" fillId="4" borderId="21" xfId="0" applyNumberFormat="1" applyFont="1" applyFill="1" applyBorder="1" applyAlignment="1">
      <alignment horizontal="left" vertical="center"/>
    </xf>
    <xf numFmtId="0" fontId="0" fillId="2" borderId="8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5" fillId="4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9" fillId="2" borderId="11" xfId="0" applyFont="1" applyFill="1" applyBorder="1" applyAlignment="1">
      <alignment horizontal="center"/>
    </xf>
    <xf numFmtId="0" fontId="41" fillId="2" borderId="15" xfId="0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0" fillId="2" borderId="9" xfId="0" applyFill="1" applyBorder="1"/>
    <xf numFmtId="0" fontId="7" fillId="2" borderId="6" xfId="0" applyFont="1" applyFill="1" applyBorder="1" applyAlignment="1">
      <alignment horizontal="center" vertical="center"/>
    </xf>
    <xf numFmtId="0" fontId="0" fillId="2" borderId="10" xfId="0" applyFill="1" applyBorder="1"/>
    <xf numFmtId="0" fontId="0" fillId="2" borderId="4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5" fillId="3" borderId="27" xfId="0" applyFont="1" applyFill="1" applyBorder="1"/>
    <xf numFmtId="0" fontId="5" fillId="3" borderId="8" xfId="0" applyFont="1" applyFill="1" applyBorder="1"/>
    <xf numFmtId="0" fontId="5" fillId="3" borderId="11" xfId="0" applyFont="1" applyFill="1" applyBorder="1"/>
    <xf numFmtId="0" fontId="5" fillId="3" borderId="30" xfId="0" applyFont="1" applyFill="1" applyBorder="1"/>
    <xf numFmtId="0" fontId="5" fillId="3" borderId="6" xfId="0" applyFont="1" applyFill="1" applyBorder="1"/>
    <xf numFmtId="0" fontId="5" fillId="3" borderId="10" xfId="0" applyFont="1" applyFill="1" applyBorder="1"/>
    <xf numFmtId="0" fontId="4" fillId="5" borderId="3" xfId="0" applyFont="1" applyFill="1" applyBorder="1" applyAlignment="1" applyProtection="1">
      <alignment horizontal="left" vertical="center"/>
      <protection locked="0" hidden="1"/>
    </xf>
    <xf numFmtId="0" fontId="0" fillId="5" borderId="3" xfId="0" applyFill="1" applyBorder="1" applyAlignment="1" applyProtection="1">
      <alignment horizontal="left" vertical="center"/>
      <protection locked="0" hidden="1"/>
    </xf>
    <xf numFmtId="0" fontId="9" fillId="4" borderId="7" xfId="0" applyFont="1" applyFill="1" applyBorder="1" applyAlignment="1">
      <alignment horizontal="left"/>
    </xf>
    <xf numFmtId="0" fontId="9" fillId="4" borderId="8" xfId="0" applyFont="1" applyFill="1" applyBorder="1" applyAlignment="1">
      <alignment horizontal="left"/>
    </xf>
    <xf numFmtId="0" fontId="0" fillId="4" borderId="11" xfId="0" applyFill="1" applyBorder="1" applyAlignment="1">
      <alignment horizontal="left"/>
    </xf>
    <xf numFmtId="0" fontId="5" fillId="4" borderId="0" xfId="0" applyFont="1" applyFill="1" applyAlignment="1">
      <alignment horizontal="left" vertical="center" wrapText="1"/>
    </xf>
    <xf numFmtId="0" fontId="0" fillId="4" borderId="9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4" borderId="5" xfId="0" applyFill="1" applyBorder="1" applyAlignment="1">
      <alignment horizontal="left" vertical="center"/>
    </xf>
    <xf numFmtId="0" fontId="0" fillId="4" borderId="6" xfId="0" applyFill="1" applyBorder="1" applyAlignment="1">
      <alignment horizontal="left" vertical="center"/>
    </xf>
    <xf numFmtId="0" fontId="0" fillId="4" borderId="10" xfId="0" applyFill="1" applyBorder="1" applyAlignment="1">
      <alignment horizontal="left"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0" fillId="4" borderId="9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4" xfId="0" applyFill="1" applyBorder="1"/>
    <xf numFmtId="0" fontId="0" fillId="4" borderId="0" xfId="0" applyFill="1"/>
    <xf numFmtId="0" fontId="0" fillId="4" borderId="9" xfId="0" applyFill="1" applyBorder="1"/>
    <xf numFmtId="0" fontId="5" fillId="3" borderId="27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5" fillId="3" borderId="11" xfId="0" applyFont="1" applyFill="1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42" fillId="5" borderId="1" xfId="0" applyFont="1" applyFill="1" applyBorder="1" applyAlignment="1">
      <alignment horizontal="left" vertical="center"/>
    </xf>
    <xf numFmtId="0" fontId="42" fillId="5" borderId="3" xfId="0" applyFont="1" applyFill="1" applyBorder="1" applyAlignment="1">
      <alignment horizontal="left" vertical="center"/>
    </xf>
    <xf numFmtId="0" fontId="42" fillId="5" borderId="2" xfId="0" applyFont="1" applyFill="1" applyBorder="1" applyAlignment="1">
      <alignment horizontal="left" vertical="center"/>
    </xf>
    <xf numFmtId="0" fontId="12" fillId="6" borderId="34" xfId="0" applyFont="1" applyFill="1" applyBorder="1" applyAlignment="1">
      <alignment horizontal="left" vertical="center"/>
    </xf>
    <xf numFmtId="0" fontId="0" fillId="6" borderId="16" xfId="0" applyFill="1" applyBorder="1" applyAlignment="1">
      <alignment horizontal="left" vertical="center"/>
    </xf>
    <xf numFmtId="0" fontId="0" fillId="6" borderId="36" xfId="0" applyFill="1" applyBorder="1" applyAlignment="1">
      <alignment horizontal="left" vertical="center"/>
    </xf>
    <xf numFmtId="0" fontId="0" fillId="6" borderId="15" xfId="0" applyFill="1" applyBorder="1" applyAlignment="1">
      <alignment horizontal="left" vertical="center"/>
    </xf>
    <xf numFmtId="164" fontId="32" fillId="6" borderId="31" xfId="0" applyNumberFormat="1" applyFont="1" applyFill="1" applyBorder="1" applyAlignment="1">
      <alignment horizontal="center" vertical="center"/>
    </xf>
    <xf numFmtId="164" fontId="32" fillId="6" borderId="32" xfId="0" applyNumberFormat="1" applyFont="1" applyFill="1" applyBorder="1" applyAlignment="1">
      <alignment horizontal="center" vertical="center"/>
    </xf>
    <xf numFmtId="0" fontId="33" fillId="6" borderId="31" xfId="0" applyFont="1" applyFill="1" applyBorder="1" applyAlignment="1">
      <alignment horizontal="center" vertical="center"/>
    </xf>
    <xf numFmtId="0" fontId="33" fillId="6" borderId="33" xfId="0" applyFont="1" applyFill="1" applyBorder="1" applyAlignment="1">
      <alignment horizontal="center" vertical="center"/>
    </xf>
    <xf numFmtId="0" fontId="32" fillId="6" borderId="34" xfId="0" applyFont="1" applyFill="1" applyBorder="1" applyAlignment="1">
      <alignment horizontal="center" vertical="center" textRotation="90"/>
    </xf>
    <xf numFmtId="0" fontId="35" fillId="6" borderId="29" xfId="0" applyFont="1" applyFill="1" applyBorder="1" applyAlignment="1">
      <alignment horizontal="center" vertical="center" textRotation="90"/>
    </xf>
    <xf numFmtId="0" fontId="0" fillId="6" borderId="29" xfId="0" applyFill="1" applyBorder="1"/>
    <xf numFmtId="0" fontId="0" fillId="6" borderId="36" xfId="0" applyFill="1" applyBorder="1"/>
    <xf numFmtId="0" fontId="33" fillId="5" borderId="34" xfId="0" applyFont="1" applyFill="1" applyBorder="1"/>
    <xf numFmtId="0" fontId="33" fillId="5" borderId="16" xfId="0" applyFont="1" applyFill="1" applyBorder="1"/>
    <xf numFmtId="0" fontId="33" fillId="5" borderId="35" xfId="0" applyFont="1" applyFill="1" applyBorder="1"/>
    <xf numFmtId="0" fontId="32" fillId="5" borderId="3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9" xfId="0" applyBorder="1" applyAlignment="1">
      <alignment horizontal="center"/>
    </xf>
    <xf numFmtId="0" fontId="32" fillId="5" borderId="29" xfId="0" applyFont="1" applyFill="1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35" fillId="6" borderId="29" xfId="0" applyFont="1" applyFill="1" applyBorder="1"/>
    <xf numFmtId="0" fontId="33" fillId="5" borderId="46" xfId="0" applyFont="1" applyFill="1" applyBorder="1"/>
    <xf numFmtId="0" fontId="33" fillId="5" borderId="23" xfId="0" applyFont="1" applyFill="1" applyBorder="1"/>
    <xf numFmtId="0" fontId="33" fillId="5" borderId="39" xfId="0" applyFont="1" applyFill="1" applyBorder="1"/>
    <xf numFmtId="0" fontId="37" fillId="5" borderId="34" xfId="0" applyFont="1" applyFill="1" applyBorder="1" applyAlignment="1">
      <alignment horizontal="center" vertical="center"/>
    </xf>
    <xf numFmtId="0" fontId="38" fillId="5" borderId="0" xfId="0" applyFont="1" applyFill="1" applyAlignment="1">
      <alignment horizontal="center"/>
    </xf>
    <xf numFmtId="0" fontId="38" fillId="5" borderId="38" xfId="0" applyFont="1" applyFill="1" applyBorder="1" applyAlignment="1">
      <alignment horizontal="center"/>
    </xf>
    <xf numFmtId="0" fontId="38" fillId="5" borderId="36" xfId="0" applyFont="1" applyFill="1" applyBorder="1" applyAlignment="1">
      <alignment horizontal="center"/>
    </xf>
    <xf numFmtId="0" fontId="38" fillId="5" borderId="15" xfId="0" applyFont="1" applyFill="1" applyBorder="1" applyAlignment="1">
      <alignment horizontal="center"/>
    </xf>
    <xf numFmtId="0" fontId="38" fillId="5" borderId="37" xfId="0" applyFont="1" applyFill="1" applyBorder="1" applyAlignment="1">
      <alignment horizontal="center"/>
    </xf>
    <xf numFmtId="0" fontId="32" fillId="6" borderId="31" xfId="0" applyFont="1" applyFill="1" applyBorder="1" applyAlignment="1">
      <alignment horizontal="center" vertical="center"/>
    </xf>
    <xf numFmtId="0" fontId="32" fillId="6" borderId="32" xfId="0" applyFont="1" applyFill="1" applyBorder="1" applyAlignment="1">
      <alignment horizontal="center" vertical="center"/>
    </xf>
    <xf numFmtId="0" fontId="0" fillId="2" borderId="29" xfId="0" applyFill="1" applyBorder="1"/>
    <xf numFmtId="0" fontId="0" fillId="2" borderId="36" xfId="0" applyFill="1" applyBorder="1"/>
    <xf numFmtId="0" fontId="14" fillId="0" borderId="34" xfId="0" applyFont="1" applyBorder="1" applyAlignment="1">
      <alignment wrapText="1"/>
    </xf>
    <xf numFmtId="0" fontId="0" fillId="0" borderId="16" xfId="0" applyBorder="1"/>
    <xf numFmtId="0" fontId="0" fillId="0" borderId="35" xfId="0" applyBorder="1"/>
    <xf numFmtId="0" fontId="32" fillId="2" borderId="31" xfId="0" applyFont="1" applyFill="1" applyBorder="1" applyAlignment="1">
      <alignment horizontal="center" vertical="center"/>
    </xf>
    <xf numFmtId="0" fontId="32" fillId="2" borderId="32" xfId="0" applyFont="1" applyFill="1" applyBorder="1" applyAlignment="1">
      <alignment horizontal="center" vertical="center"/>
    </xf>
    <xf numFmtId="0" fontId="33" fillId="2" borderId="31" xfId="0" applyFont="1" applyFill="1" applyBorder="1" applyAlignment="1">
      <alignment horizontal="center" vertical="center"/>
    </xf>
    <xf numFmtId="0" fontId="33" fillId="2" borderId="33" xfId="0" applyFont="1" applyFill="1" applyBorder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45" fillId="8" borderId="46" xfId="0" applyFont="1" applyFill="1" applyBorder="1" applyAlignment="1">
      <alignment horizontal="center"/>
    </xf>
    <xf numFmtId="0" fontId="46" fillId="8" borderId="23" xfId="0" applyFont="1" applyFill="1" applyBorder="1" applyAlignment="1">
      <alignment horizontal="center"/>
    </xf>
    <xf numFmtId="0" fontId="46" fillId="8" borderId="39" xfId="0" applyFont="1" applyFill="1" applyBorder="1" applyAlignment="1">
      <alignment horizontal="center"/>
    </xf>
    <xf numFmtId="0" fontId="45" fillId="8" borderId="46" xfId="0" applyFont="1" applyFill="1" applyBorder="1" applyAlignment="1">
      <alignment horizontal="center" vertical="center"/>
    </xf>
    <xf numFmtId="0" fontId="46" fillId="8" borderId="23" xfId="0" applyFont="1" applyFill="1" applyBorder="1" applyAlignment="1">
      <alignment horizontal="center" vertical="center"/>
    </xf>
    <xf numFmtId="0" fontId="46" fillId="8" borderId="39" xfId="0" applyFont="1" applyFill="1" applyBorder="1" applyAlignment="1">
      <alignment horizontal="center" vertical="center"/>
    </xf>
    <xf numFmtId="0" fontId="32" fillId="2" borderId="29" xfId="0" applyFont="1" applyFill="1" applyBorder="1" applyAlignment="1">
      <alignment horizontal="center" vertical="center" textRotation="90"/>
    </xf>
    <xf numFmtId="0" fontId="6" fillId="0" borderId="34" xfId="0" applyFont="1" applyBorder="1" applyAlignment="1">
      <alignment horizontal="left" vertical="center"/>
    </xf>
    <xf numFmtId="0" fontId="6" fillId="0" borderId="36" xfId="0" applyFont="1" applyBorder="1" applyAlignment="1">
      <alignment horizontal="left" vertical="center"/>
    </xf>
    <xf numFmtId="0" fontId="31" fillId="0" borderId="34" xfId="0" applyFont="1" applyBorder="1" applyAlignment="1">
      <alignment horizontal="left" vertical="top" wrapText="1"/>
    </xf>
    <xf numFmtId="0" fontId="0" fillId="0" borderId="16" xfId="0" applyBorder="1" applyAlignment="1">
      <alignment horizontal="left" vertical="top"/>
    </xf>
    <xf numFmtId="0" fontId="0" fillId="0" borderId="35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38" xfId="0" applyBorder="1" applyAlignment="1">
      <alignment horizontal="left" vertical="top"/>
    </xf>
    <xf numFmtId="0" fontId="0" fillId="0" borderId="36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37" xfId="0" applyBorder="1" applyAlignment="1">
      <alignment horizontal="left" vertical="top"/>
    </xf>
    <xf numFmtId="0" fontId="32" fillId="2" borderId="34" xfId="0" applyFont="1" applyFill="1" applyBorder="1" applyAlignment="1">
      <alignment horizontal="left" vertical="center"/>
    </xf>
    <xf numFmtId="0" fontId="32" fillId="2" borderId="16" xfId="0" applyFont="1" applyFill="1" applyBorder="1" applyAlignment="1">
      <alignment horizontal="left" vertical="center"/>
    </xf>
    <xf numFmtId="0" fontId="0" fillId="2" borderId="16" xfId="0" applyFill="1" applyBorder="1" applyAlignment="1">
      <alignment vertical="center"/>
    </xf>
    <xf numFmtId="0" fontId="0" fillId="2" borderId="35" xfId="0" applyFill="1" applyBorder="1" applyAlignment="1">
      <alignment vertical="center"/>
    </xf>
    <xf numFmtId="0" fontId="32" fillId="2" borderId="36" xfId="0" applyFont="1" applyFill="1" applyBorder="1" applyAlignment="1">
      <alignment horizontal="left" vertical="center"/>
    </xf>
    <xf numFmtId="0" fontId="32" fillId="2" borderId="15" xfId="0" applyFont="1" applyFill="1" applyBorder="1" applyAlignment="1">
      <alignment horizontal="left" vertical="center"/>
    </xf>
    <xf numFmtId="0" fontId="0" fillId="2" borderId="15" xfId="0" applyFill="1" applyBorder="1" applyAlignment="1">
      <alignment vertical="center"/>
    </xf>
    <xf numFmtId="0" fontId="0" fillId="2" borderId="37" xfId="0" applyFill="1" applyBorder="1" applyAlignment="1">
      <alignment vertical="center"/>
    </xf>
    <xf numFmtId="0" fontId="0" fillId="0" borderId="34" xfId="0" applyBorder="1" applyAlignment="1">
      <alignment horizontal="left" vertical="top" wrapText="1"/>
    </xf>
    <xf numFmtId="0" fontId="44" fillId="3" borderId="27" xfId="0" applyFont="1" applyFill="1" applyBorder="1" applyAlignment="1">
      <alignment horizontal="left" vertical="center"/>
    </xf>
    <xf numFmtId="0" fontId="44" fillId="3" borderId="8" xfId="0" applyFont="1" applyFill="1" applyBorder="1" applyAlignment="1">
      <alignment horizontal="left" vertical="center"/>
    </xf>
    <xf numFmtId="0" fontId="44" fillId="3" borderId="11" xfId="0" applyFont="1" applyFill="1" applyBorder="1" applyAlignment="1">
      <alignment horizontal="left" vertical="center"/>
    </xf>
    <xf numFmtId="0" fontId="44" fillId="3" borderId="30" xfId="0" applyFont="1" applyFill="1" applyBorder="1" applyAlignment="1">
      <alignment horizontal="left" vertical="center"/>
    </xf>
    <xf numFmtId="0" fontId="44" fillId="3" borderId="6" xfId="0" applyFont="1" applyFill="1" applyBorder="1" applyAlignment="1">
      <alignment horizontal="left" vertical="center"/>
    </xf>
    <xf numFmtId="0" fontId="44" fillId="3" borderId="10" xfId="0" applyFont="1" applyFill="1" applyBorder="1" applyAlignment="1">
      <alignment horizontal="left" vertical="center"/>
    </xf>
    <xf numFmtId="14" fontId="20" fillId="9" borderId="22" xfId="0" applyNumberFormat="1" applyFont="1" applyFill="1" applyBorder="1" applyAlignment="1">
      <alignment horizontal="center" vertical="center"/>
    </xf>
    <xf numFmtId="0" fontId="20" fillId="9" borderId="18" xfId="0" applyFont="1" applyFill="1" applyBorder="1" applyAlignment="1">
      <alignment horizontal="center" vertical="center"/>
    </xf>
    <xf numFmtId="0" fontId="5" fillId="9" borderId="27" xfId="0" applyFont="1" applyFill="1" applyBorder="1" applyAlignment="1">
      <alignment horizontal="left" vertical="center"/>
    </xf>
    <xf numFmtId="0" fontId="5" fillId="9" borderId="8" xfId="0" applyFont="1" applyFill="1" applyBorder="1" applyAlignment="1">
      <alignment horizontal="left" vertical="center"/>
    </xf>
    <xf numFmtId="0" fontId="5" fillId="9" borderId="11" xfId="0" applyFont="1" applyFill="1" applyBorder="1" applyAlignment="1">
      <alignment horizontal="left" vertical="center"/>
    </xf>
    <xf numFmtId="0" fontId="0" fillId="9" borderId="30" xfId="0" applyFill="1" applyBorder="1" applyAlignment="1">
      <alignment horizontal="left" vertical="center"/>
    </xf>
    <xf numFmtId="0" fontId="0" fillId="9" borderId="6" xfId="0" applyFill="1" applyBorder="1" applyAlignment="1">
      <alignment horizontal="left" vertical="center"/>
    </xf>
    <xf numFmtId="0" fontId="0" fillId="9" borderId="10" xfId="0" applyFill="1" applyBorder="1" applyAlignment="1">
      <alignment horizontal="left" vertical="center"/>
    </xf>
  </cellXfs>
  <cellStyles count="2">
    <cellStyle name="Link" xfId="1" builtinId="8"/>
    <cellStyle name="Standard" xfId="0" builtinId="0"/>
  </cellStyles>
  <dxfs count="5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9" defaultPivotStyle="PivotStyleLight16"/>
  <colors>
    <mruColors>
      <color rgb="FFCE32CE"/>
      <color rgb="FF0099FF"/>
      <color rgb="FFEAEAEA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sanitaerlernen.ch/0_Datenbank/2_Uebungen/8.Semester/8.12_Uebungen_Aufgaben_1.pdf" TargetMode="External"/><Relationship Id="rId13" Type="http://schemas.openxmlformats.org/officeDocument/2006/relationships/hyperlink" Target="https://sanitaerlernen.ch/0_Datenbank/1_Auftraege/8.Semester/8.2_Auftrag.pdf" TargetMode="External"/><Relationship Id="rId3" Type="http://schemas.openxmlformats.org/officeDocument/2006/relationships/hyperlink" Target="https://sanitaerlernen.ch/0_Datenbank/2_Uebungen/8.Semester/8.10_Uebungen_Plaene_1.pdf" TargetMode="External"/><Relationship Id="rId7" Type="http://schemas.openxmlformats.org/officeDocument/2006/relationships/hyperlink" Target="https://sanitaerlernen.ch/0_Datenbank/2_Uebungen/8.Semester/8.12_Uebungen_Plaene_1.pdf" TargetMode="External"/><Relationship Id="rId12" Type="http://schemas.openxmlformats.org/officeDocument/2006/relationships/hyperlink" Target="https://sanitaerlernen.ch/0_Datenbank/1_Auftraege/8.Semester/8.8_Auftrag.pdf" TargetMode="External"/><Relationship Id="rId17" Type="http://schemas.openxmlformats.org/officeDocument/2006/relationships/hyperlink" Target="https://sanitaerlernen.ch/0_Datenbank/2_Uebungen/8.Semester/QV%202024%20SAN%20EFZ%20Pos.%201_Textaufgaben_Aufgaben.pdf" TargetMode="External"/><Relationship Id="rId2" Type="http://schemas.openxmlformats.org/officeDocument/2006/relationships/image" Target="../media/image1.png"/><Relationship Id="rId16" Type="http://schemas.openxmlformats.org/officeDocument/2006/relationships/hyperlink" Target="https://sanitaerlernen.ch/0_Datenbank/2_Uebungen/8.Semester/QV%202024%20SAN%20EFZ%20Pos.%201_Pl%C3%A4ne_Aufgaben.pdf" TargetMode="External"/><Relationship Id="rId1" Type="http://schemas.openxmlformats.org/officeDocument/2006/relationships/hyperlink" Target="https://sanitaerlernen.ch/0_Datenbank/1_Auftraege/8.Semester/8.9_Auftrag.pdf" TargetMode="External"/><Relationship Id="rId6" Type="http://schemas.openxmlformats.org/officeDocument/2006/relationships/hyperlink" Target="https://sanitaerlernen.ch/0_Datenbank/2_Uebungen/8.Semester/8.11_Uebungen_Aufgaben_1.pdf" TargetMode="External"/><Relationship Id="rId11" Type="http://schemas.openxmlformats.org/officeDocument/2006/relationships/hyperlink" Target="https://sanitaerlernen.ch/0_Datenbank/1_Auftraege/6.Semester/6.11_Auftrag.pdf" TargetMode="External"/><Relationship Id="rId5" Type="http://schemas.openxmlformats.org/officeDocument/2006/relationships/hyperlink" Target="https://sanitaerlernen.ch/0_Datenbank/2_Uebungen/8.Semester/8.11_Uebungen_Plaene_1.pdf" TargetMode="External"/><Relationship Id="rId15" Type="http://schemas.openxmlformats.org/officeDocument/2006/relationships/image" Target="../media/image2.png"/><Relationship Id="rId10" Type="http://schemas.openxmlformats.org/officeDocument/2006/relationships/hyperlink" Target="https://sanitaerlernen.ch/0_Datenbank/1_Auftraege/8.Semester/8.7_Auftrag.pdf" TargetMode="External"/><Relationship Id="rId4" Type="http://schemas.openxmlformats.org/officeDocument/2006/relationships/hyperlink" Target="https://sanitaerlernen.ch/0_Datenbank/2_Uebungen/8.Semester/8.10_Uebungen_Aufgaben_1.pdf" TargetMode="External"/><Relationship Id="rId9" Type="http://schemas.openxmlformats.org/officeDocument/2006/relationships/hyperlink" Target="https://sanitaerlernen.ch/0_Datenbank/1_Auftraege/8.Semester/8.1_Auftrag.pdf" TargetMode="External"/><Relationship Id="rId14" Type="http://schemas.openxmlformats.org/officeDocument/2006/relationships/hyperlink" Target="https://bldsg-my.sharepoint.com/:b:/g/personal/marcel_item_gbssg_ch/EeI8h_hmAbNAnWBmMTg_5ecBx7F7yersGpb4scKv6tDy_g?e=xOfH69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sanitaerlernen.ch/0_Datenbank/6_Lernziele/8.Semester/8.1_Lernziele.pdf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sanitaerlernen.ch/0_Datenbank/6_Lernziele/8.Semester/8.7_Lernziele.pdf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sanitaerlernen.ch/0_Datenbank/3_Loesungen/8.Semester/8.10_Uebungen_Plaene_1_L.pdf" TargetMode="External"/><Relationship Id="rId2" Type="http://schemas.openxmlformats.org/officeDocument/2006/relationships/image" Target="../media/image4.png"/><Relationship Id="rId1" Type="http://schemas.openxmlformats.org/officeDocument/2006/relationships/hyperlink" Target="https://sanitaerlernen.ch/0_Datenbank/3_Loesungen/8.Semester/8.10_Uebungen_Aufgabe_1_L.pdf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s://sanitaerlernen.ch/0_Datenbank/3_Loesungen/8.Semester/8.11_Uebungen_Plaene_1_L.pdf" TargetMode="External"/><Relationship Id="rId2" Type="http://schemas.openxmlformats.org/officeDocument/2006/relationships/image" Target="../media/image4.png"/><Relationship Id="rId1" Type="http://schemas.openxmlformats.org/officeDocument/2006/relationships/hyperlink" Target="https://sanitaerlernen.ch/0_Datenbank/3_Loesungen/8.Semester/8.11_Uebungen_Aufgabe_1_L.pdf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s://sanitaerlernen.ch/0_Datenbank/3_Loesungen/8.Semester/8.12_Uebungen_Plaene_1_L.pdf" TargetMode="External"/><Relationship Id="rId2" Type="http://schemas.openxmlformats.org/officeDocument/2006/relationships/image" Target="../media/image4.png"/><Relationship Id="rId1" Type="http://schemas.openxmlformats.org/officeDocument/2006/relationships/hyperlink" Target="https://sanitaerlernen.ch/0_Datenbank/3_Loesungen/8.Semester/8.12_Uebungen_Aufgabe_1_L.pdf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https://sanitaerlernen.ch/0_Datenbank/2_Uebungen/8.Semester/QV%202024%20SAN%20EFZ%20Pos.%201_Pl%C3%A4ne_L%C3%B6sungen.pdf" TargetMode="External"/><Relationship Id="rId2" Type="http://schemas.openxmlformats.org/officeDocument/2006/relationships/image" Target="../media/image4.png"/><Relationship Id="rId1" Type="http://schemas.openxmlformats.org/officeDocument/2006/relationships/hyperlink" Target="https://sanitaerlernen.ch/0_Datenbank/2_Uebungen/8.Semester/QV%202024%20SAN%20EFZ%20Pos.%201_Textaufgaben_L%C3%B6sungen.pd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357189</xdr:colOff>
      <xdr:row>39</xdr:row>
      <xdr:rowOff>38100</xdr:rowOff>
    </xdr:from>
    <xdr:ext cx="4243386" cy="333375"/>
    <xdr:sp macro="" textlink="">
      <xdr:nvSpPr>
        <xdr:cNvPr id="19" name="Textfeld 18">
          <a:extLst>
            <a:ext uri="{FF2B5EF4-FFF2-40B4-BE49-F238E27FC236}">
              <a16:creationId xmlns:a16="http://schemas.microsoft.com/office/drawing/2014/main" id="{60672BFD-779D-4B8A-9548-A3431AEC7D44}"/>
            </a:ext>
          </a:extLst>
        </xdr:cNvPr>
        <xdr:cNvSpPr txBox="1"/>
      </xdr:nvSpPr>
      <xdr:spPr>
        <a:xfrm>
          <a:off x="10672764" y="9420225"/>
          <a:ext cx="4243386" cy="333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de-CH" sz="700" b="0">
              <a:latin typeface="Century Gothic" panose="020B0502020202020204" pitchFamily="34" charset="0"/>
            </a:rPr>
            <a:t>Kanton St.Gallen</a:t>
          </a:r>
          <a:r>
            <a:rPr lang="de-CH" sz="700" b="0" baseline="0">
              <a:latin typeface="Century Gothic" panose="020B0502020202020204" pitchFamily="34" charset="0"/>
            </a:rPr>
            <a:t> </a:t>
          </a:r>
          <a:r>
            <a:rPr lang="de-CH" sz="700" b="0">
              <a:latin typeface="Century Gothic" panose="020B0502020202020204" pitchFamily="34" charset="0"/>
            </a:rPr>
            <a:t>Gewerbliches Berufs- und Weiterbildungszentrum</a:t>
          </a:r>
        </a:p>
      </xdr:txBody>
    </xdr:sp>
    <xdr:clientData/>
  </xdr:oneCellAnchor>
  <xdr:oneCellAnchor>
    <xdr:from>
      <xdr:col>8</xdr:col>
      <xdr:colOff>28576</xdr:colOff>
      <xdr:row>22</xdr:row>
      <xdr:rowOff>66676</xdr:rowOff>
    </xdr:from>
    <xdr:ext cx="323850" cy="323850"/>
    <xdr:pic>
      <xdr:nvPicPr>
        <xdr:cNvPr id="26" name="Grafik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D98C68-439F-470D-8C61-0C83C4CA2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1" y="7467601"/>
          <a:ext cx="323850" cy="323850"/>
        </a:xfrm>
        <a:prstGeom prst="rect">
          <a:avLst/>
        </a:prstGeom>
      </xdr:spPr>
    </xdr:pic>
    <xdr:clientData/>
  </xdr:oneCellAnchor>
  <xdr:oneCellAnchor>
    <xdr:from>
      <xdr:col>7</xdr:col>
      <xdr:colOff>219076</xdr:colOff>
      <xdr:row>37</xdr:row>
      <xdr:rowOff>66676</xdr:rowOff>
    </xdr:from>
    <xdr:ext cx="323850" cy="323850"/>
    <xdr:pic>
      <xdr:nvPicPr>
        <xdr:cNvPr id="32" name="Grafik 3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1F4CCC9-2D47-4A68-B8B1-AF5D1CABF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3851" y="8953501"/>
          <a:ext cx="323850" cy="323850"/>
        </a:xfrm>
        <a:prstGeom prst="rect">
          <a:avLst/>
        </a:prstGeom>
      </xdr:spPr>
    </xdr:pic>
    <xdr:clientData/>
  </xdr:oneCellAnchor>
  <xdr:oneCellAnchor>
    <xdr:from>
      <xdr:col>7</xdr:col>
      <xdr:colOff>238126</xdr:colOff>
      <xdr:row>34</xdr:row>
      <xdr:rowOff>1</xdr:rowOff>
    </xdr:from>
    <xdr:ext cx="323850" cy="323850"/>
    <xdr:pic>
      <xdr:nvPicPr>
        <xdr:cNvPr id="33" name="Grafik 3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B6C7104-4493-4C85-B1A1-695EE2921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1" y="8143876"/>
          <a:ext cx="323850" cy="323850"/>
        </a:xfrm>
        <a:prstGeom prst="rect">
          <a:avLst/>
        </a:prstGeom>
      </xdr:spPr>
    </xdr:pic>
    <xdr:clientData/>
  </xdr:oneCellAnchor>
  <xdr:oneCellAnchor>
    <xdr:from>
      <xdr:col>8</xdr:col>
      <xdr:colOff>219076</xdr:colOff>
      <xdr:row>37</xdr:row>
      <xdr:rowOff>66676</xdr:rowOff>
    </xdr:from>
    <xdr:ext cx="323850" cy="323850"/>
    <xdr:pic>
      <xdr:nvPicPr>
        <xdr:cNvPr id="34" name="Grafik 3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88A459F-656A-4614-A967-D699AB775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9676" y="8953501"/>
          <a:ext cx="323850" cy="323850"/>
        </a:xfrm>
        <a:prstGeom prst="rect">
          <a:avLst/>
        </a:prstGeom>
      </xdr:spPr>
    </xdr:pic>
    <xdr:clientData/>
  </xdr:oneCellAnchor>
  <xdr:oneCellAnchor>
    <xdr:from>
      <xdr:col>8</xdr:col>
      <xdr:colOff>238126</xdr:colOff>
      <xdr:row>34</xdr:row>
      <xdr:rowOff>1</xdr:rowOff>
    </xdr:from>
    <xdr:ext cx="323850" cy="323850"/>
    <xdr:pic>
      <xdr:nvPicPr>
        <xdr:cNvPr id="35" name="Grafik 3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8AE3E1E-012A-4923-8588-B1AFC6721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8726" y="8143876"/>
          <a:ext cx="323850" cy="323850"/>
        </a:xfrm>
        <a:prstGeom prst="rect">
          <a:avLst/>
        </a:prstGeom>
      </xdr:spPr>
    </xdr:pic>
    <xdr:clientData/>
  </xdr:oneCellAnchor>
  <xdr:oneCellAnchor>
    <xdr:from>
      <xdr:col>9</xdr:col>
      <xdr:colOff>219076</xdr:colOff>
      <xdr:row>37</xdr:row>
      <xdr:rowOff>66676</xdr:rowOff>
    </xdr:from>
    <xdr:ext cx="323850" cy="323850"/>
    <xdr:pic>
      <xdr:nvPicPr>
        <xdr:cNvPr id="36" name="Grafik 3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984E8D4-27DC-4059-BF1B-613E3B13B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1" y="8953501"/>
          <a:ext cx="323850" cy="323850"/>
        </a:xfrm>
        <a:prstGeom prst="rect">
          <a:avLst/>
        </a:prstGeom>
      </xdr:spPr>
    </xdr:pic>
    <xdr:clientData/>
  </xdr:oneCellAnchor>
  <xdr:oneCellAnchor>
    <xdr:from>
      <xdr:col>9</xdr:col>
      <xdr:colOff>238126</xdr:colOff>
      <xdr:row>34</xdr:row>
      <xdr:rowOff>1</xdr:rowOff>
    </xdr:from>
    <xdr:ext cx="323850" cy="323850"/>
    <xdr:pic>
      <xdr:nvPicPr>
        <xdr:cNvPr id="37" name="Grafik 3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72A249A-F683-45C8-91B9-DA3B162A9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4551" y="8143876"/>
          <a:ext cx="323850" cy="323850"/>
        </a:xfrm>
        <a:prstGeom prst="rect">
          <a:avLst/>
        </a:prstGeom>
      </xdr:spPr>
    </xdr:pic>
    <xdr:clientData/>
  </xdr:oneCellAnchor>
  <xdr:oneCellAnchor>
    <xdr:from>
      <xdr:col>4</xdr:col>
      <xdr:colOff>19051</xdr:colOff>
      <xdr:row>4</xdr:row>
      <xdr:rowOff>57151</xdr:rowOff>
    </xdr:from>
    <xdr:ext cx="323850" cy="328612"/>
    <xdr:pic>
      <xdr:nvPicPr>
        <xdr:cNvPr id="38" name="Grafik 3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60AC4E2-233F-424F-81BD-EE73ABAB1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1301" y="14820901"/>
          <a:ext cx="323850" cy="328612"/>
        </a:xfrm>
        <a:prstGeom prst="rect">
          <a:avLst/>
        </a:prstGeom>
      </xdr:spPr>
    </xdr:pic>
    <xdr:clientData/>
  </xdr:oneCellAnchor>
  <xdr:oneCellAnchor>
    <xdr:from>
      <xdr:col>4</xdr:col>
      <xdr:colOff>19051</xdr:colOff>
      <xdr:row>22</xdr:row>
      <xdr:rowOff>57151</xdr:rowOff>
    </xdr:from>
    <xdr:ext cx="323850" cy="328612"/>
    <xdr:pic>
      <xdr:nvPicPr>
        <xdr:cNvPr id="40" name="Grafik 3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C93F553-6596-4B54-9652-D235590F4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6" y="771526"/>
          <a:ext cx="323850" cy="328612"/>
        </a:xfrm>
        <a:prstGeom prst="rect">
          <a:avLst/>
        </a:prstGeom>
      </xdr:spPr>
    </xdr:pic>
    <xdr:clientData/>
  </xdr:oneCellAnchor>
  <xdr:oneCellAnchor>
    <xdr:from>
      <xdr:col>4</xdr:col>
      <xdr:colOff>19051</xdr:colOff>
      <xdr:row>31</xdr:row>
      <xdr:rowOff>57151</xdr:rowOff>
    </xdr:from>
    <xdr:ext cx="323850" cy="328612"/>
    <xdr:pic>
      <xdr:nvPicPr>
        <xdr:cNvPr id="41" name="Grafik 4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ED0DE29-7AA2-4BD3-B661-89FE2149D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6" y="771526"/>
          <a:ext cx="323850" cy="328612"/>
        </a:xfrm>
        <a:prstGeom prst="rect">
          <a:avLst/>
        </a:prstGeom>
      </xdr:spPr>
    </xdr:pic>
    <xdr:clientData/>
  </xdr:oneCellAnchor>
  <xdr:oneCellAnchor>
    <xdr:from>
      <xdr:col>4</xdr:col>
      <xdr:colOff>19051</xdr:colOff>
      <xdr:row>13</xdr:row>
      <xdr:rowOff>57151</xdr:rowOff>
    </xdr:from>
    <xdr:ext cx="323850" cy="328612"/>
    <xdr:pic>
      <xdr:nvPicPr>
        <xdr:cNvPr id="48" name="Grafik 4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D035585-3DD8-465B-BD8C-BF1C487DB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6" y="771526"/>
          <a:ext cx="323850" cy="328612"/>
        </a:xfrm>
        <a:prstGeom prst="rect">
          <a:avLst/>
        </a:prstGeom>
      </xdr:spPr>
    </xdr:pic>
    <xdr:clientData/>
  </xdr:oneCellAnchor>
  <xdr:oneCellAnchor>
    <xdr:from>
      <xdr:col>4</xdr:col>
      <xdr:colOff>19051</xdr:colOff>
      <xdr:row>31</xdr:row>
      <xdr:rowOff>57151</xdr:rowOff>
    </xdr:from>
    <xdr:ext cx="323850" cy="328612"/>
    <xdr:pic>
      <xdr:nvPicPr>
        <xdr:cNvPr id="3" name="Grafik 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6DCB5B3-2782-4109-AED2-249D871D4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6" y="5229226"/>
          <a:ext cx="323850" cy="328612"/>
        </a:xfrm>
        <a:prstGeom prst="rect">
          <a:avLst/>
        </a:prstGeom>
      </xdr:spPr>
    </xdr:pic>
    <xdr:clientData/>
  </xdr:oneCellAnchor>
  <xdr:oneCellAnchor>
    <xdr:from>
      <xdr:col>4</xdr:col>
      <xdr:colOff>19051</xdr:colOff>
      <xdr:row>4</xdr:row>
      <xdr:rowOff>57151</xdr:rowOff>
    </xdr:from>
    <xdr:ext cx="323850" cy="328612"/>
    <xdr:pic>
      <xdr:nvPicPr>
        <xdr:cNvPr id="2" name="Grafik 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7C67966-D2A4-4636-A6DA-87B697CC8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6" y="5229226"/>
          <a:ext cx="323850" cy="328612"/>
        </a:xfrm>
        <a:prstGeom prst="rect">
          <a:avLst/>
        </a:prstGeom>
      </xdr:spPr>
    </xdr:pic>
    <xdr:clientData/>
  </xdr:oneCellAnchor>
  <xdr:oneCellAnchor>
    <xdr:from>
      <xdr:col>4</xdr:col>
      <xdr:colOff>19051</xdr:colOff>
      <xdr:row>13</xdr:row>
      <xdr:rowOff>57151</xdr:rowOff>
    </xdr:from>
    <xdr:ext cx="323850" cy="328612"/>
    <xdr:pic>
      <xdr:nvPicPr>
        <xdr:cNvPr id="4" name="Grafik 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5DD60ED-941A-4205-8B39-449CC641F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6" y="771526"/>
          <a:ext cx="323850" cy="328612"/>
        </a:xfrm>
        <a:prstGeom prst="rect">
          <a:avLst/>
        </a:prstGeom>
      </xdr:spPr>
    </xdr:pic>
    <xdr:clientData/>
  </xdr:oneCellAnchor>
  <xdr:oneCellAnchor>
    <xdr:from>
      <xdr:col>4</xdr:col>
      <xdr:colOff>19051</xdr:colOff>
      <xdr:row>13</xdr:row>
      <xdr:rowOff>57151</xdr:rowOff>
    </xdr:from>
    <xdr:ext cx="323850" cy="328612"/>
    <xdr:pic>
      <xdr:nvPicPr>
        <xdr:cNvPr id="5" name="Grafik 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8E2D9F1-04EA-4DFF-A7AF-EC9B0234D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6" y="771526"/>
          <a:ext cx="323850" cy="328612"/>
        </a:xfrm>
        <a:prstGeom prst="rect">
          <a:avLst/>
        </a:prstGeom>
      </xdr:spPr>
    </xdr:pic>
    <xdr:clientData/>
  </xdr:oneCellAnchor>
  <xdr:twoCellAnchor editAs="oneCell">
    <xdr:from>
      <xdr:col>20</xdr:col>
      <xdr:colOff>632460</xdr:colOff>
      <xdr:row>4</xdr:row>
      <xdr:rowOff>76200</xdr:rowOff>
    </xdr:from>
    <xdr:to>
      <xdr:col>20</xdr:col>
      <xdr:colOff>961072</xdr:colOff>
      <xdr:row>5</xdr:row>
      <xdr:rowOff>152400</xdr:rowOff>
    </xdr:to>
    <xdr:pic>
      <xdr:nvPicPr>
        <xdr:cNvPr id="6" name="Grafik 5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636F15C8-1A81-4DB4-AA14-3F0779B41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08380" y="800100"/>
          <a:ext cx="328612" cy="327660"/>
        </a:xfrm>
        <a:prstGeom prst="rect">
          <a:avLst/>
        </a:prstGeom>
      </xdr:spPr>
    </xdr:pic>
    <xdr:clientData/>
  </xdr:twoCellAnchor>
  <xdr:oneCellAnchor>
    <xdr:from>
      <xdr:col>10</xdr:col>
      <xdr:colOff>257176</xdr:colOff>
      <xdr:row>37</xdr:row>
      <xdr:rowOff>66676</xdr:rowOff>
    </xdr:from>
    <xdr:ext cx="323850" cy="323850"/>
    <xdr:pic>
      <xdr:nvPicPr>
        <xdr:cNvPr id="7" name="Grafik 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7ACAC885-132F-4D01-8BAB-9EED4D531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1" y="8953501"/>
          <a:ext cx="323850" cy="323850"/>
        </a:xfrm>
        <a:prstGeom prst="rect">
          <a:avLst/>
        </a:prstGeom>
      </xdr:spPr>
    </xdr:pic>
    <xdr:clientData/>
  </xdr:oneCellAnchor>
  <xdr:oneCellAnchor>
    <xdr:from>
      <xdr:col>10</xdr:col>
      <xdr:colOff>238126</xdr:colOff>
      <xdr:row>34</xdr:row>
      <xdr:rowOff>1</xdr:rowOff>
    </xdr:from>
    <xdr:ext cx="323850" cy="323850"/>
    <xdr:pic>
      <xdr:nvPicPr>
        <xdr:cNvPr id="8" name="Grafik 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A17D6924-B9AC-4039-9767-911A9CB05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0376" y="8143876"/>
          <a:ext cx="32385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400050</xdr:colOff>
      <xdr:row>11</xdr:row>
      <xdr:rowOff>28575</xdr:rowOff>
    </xdr:from>
    <xdr:to>
      <xdr:col>6</xdr:col>
      <xdr:colOff>728243</xdr:colOff>
      <xdr:row>12</xdr:row>
      <xdr:rowOff>149051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C260AA-3260-4DD1-BCA3-BF7332421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2190750"/>
          <a:ext cx="328193" cy="320501"/>
        </a:xfrm>
        <a:prstGeom prst="rect">
          <a:avLst/>
        </a:prstGeom>
      </xdr:spPr>
    </xdr:pic>
    <xdr:clientData/>
  </xdr:twoCellAnchor>
  <xdr:twoCellAnchor editAs="oneCell">
    <xdr:from>
      <xdr:col>6</xdr:col>
      <xdr:colOff>400050</xdr:colOff>
      <xdr:row>28</xdr:row>
      <xdr:rowOff>28575</xdr:rowOff>
    </xdr:from>
    <xdr:to>
      <xdr:col>6</xdr:col>
      <xdr:colOff>728243</xdr:colOff>
      <xdr:row>29</xdr:row>
      <xdr:rowOff>149051</xdr:rowOff>
    </xdr:to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63884F5-8094-4DE7-B074-5DC0BB93E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2190750"/>
          <a:ext cx="328193" cy="3205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754381</xdr:colOff>
      <xdr:row>24</xdr:row>
      <xdr:rowOff>60960</xdr:rowOff>
    </xdr:from>
    <xdr:to>
      <xdr:col>6</xdr:col>
      <xdr:colOff>1076379</xdr:colOff>
      <xdr:row>27</xdr:row>
      <xdr:rowOff>22860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082238-5EC0-D50F-3846-D8A5EAD25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8661" y="4511040"/>
          <a:ext cx="2150798" cy="510540"/>
        </a:xfrm>
        <a:prstGeom prst="rect">
          <a:avLst/>
        </a:prstGeom>
      </xdr:spPr>
    </xdr:pic>
    <xdr:clientData/>
  </xdr:twoCellAnchor>
  <xdr:twoCellAnchor editAs="oneCell">
    <xdr:from>
      <xdr:col>4</xdr:col>
      <xdr:colOff>746761</xdr:colOff>
      <xdr:row>27</xdr:row>
      <xdr:rowOff>60960</xdr:rowOff>
    </xdr:from>
    <xdr:to>
      <xdr:col>6</xdr:col>
      <xdr:colOff>1068759</xdr:colOff>
      <xdr:row>30</xdr:row>
      <xdr:rowOff>22860</xdr:rowOff>
    </xdr:to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799BA73-D1F5-438A-B1CD-ACADA7F4C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1041" y="5059680"/>
          <a:ext cx="2150798" cy="5105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754381</xdr:colOff>
      <xdr:row>24</xdr:row>
      <xdr:rowOff>60960</xdr:rowOff>
    </xdr:from>
    <xdr:to>
      <xdr:col>6</xdr:col>
      <xdr:colOff>1076379</xdr:colOff>
      <xdr:row>27</xdr:row>
      <xdr:rowOff>22860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89E682-C508-4826-AD44-DDF70EB25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8661" y="4511040"/>
          <a:ext cx="2150798" cy="510540"/>
        </a:xfrm>
        <a:prstGeom prst="rect">
          <a:avLst/>
        </a:prstGeom>
      </xdr:spPr>
    </xdr:pic>
    <xdr:clientData/>
  </xdr:twoCellAnchor>
  <xdr:twoCellAnchor editAs="oneCell">
    <xdr:from>
      <xdr:col>4</xdr:col>
      <xdr:colOff>746761</xdr:colOff>
      <xdr:row>27</xdr:row>
      <xdr:rowOff>60960</xdr:rowOff>
    </xdr:from>
    <xdr:to>
      <xdr:col>6</xdr:col>
      <xdr:colOff>1068759</xdr:colOff>
      <xdr:row>30</xdr:row>
      <xdr:rowOff>22860</xdr:rowOff>
    </xdr:to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1C8D252-B6AB-405E-9806-F75122B91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1041" y="5059680"/>
          <a:ext cx="2150798" cy="5105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754381</xdr:colOff>
      <xdr:row>24</xdr:row>
      <xdr:rowOff>60960</xdr:rowOff>
    </xdr:from>
    <xdr:to>
      <xdr:col>6</xdr:col>
      <xdr:colOff>1076379</xdr:colOff>
      <xdr:row>27</xdr:row>
      <xdr:rowOff>22860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D15B41-2194-4132-8490-80A1B2E34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8661" y="4511040"/>
          <a:ext cx="2150798" cy="510540"/>
        </a:xfrm>
        <a:prstGeom prst="rect">
          <a:avLst/>
        </a:prstGeom>
      </xdr:spPr>
    </xdr:pic>
    <xdr:clientData/>
  </xdr:twoCellAnchor>
  <xdr:twoCellAnchor editAs="oneCell">
    <xdr:from>
      <xdr:col>4</xdr:col>
      <xdr:colOff>746761</xdr:colOff>
      <xdr:row>27</xdr:row>
      <xdr:rowOff>60960</xdr:rowOff>
    </xdr:from>
    <xdr:to>
      <xdr:col>6</xdr:col>
      <xdr:colOff>1068759</xdr:colOff>
      <xdr:row>30</xdr:row>
      <xdr:rowOff>22860</xdr:rowOff>
    </xdr:to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A1439DF-8EF2-4521-90FE-784F6ABCA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1041" y="5059680"/>
          <a:ext cx="2150798" cy="5105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754381</xdr:colOff>
      <xdr:row>24</xdr:row>
      <xdr:rowOff>60960</xdr:rowOff>
    </xdr:from>
    <xdr:to>
      <xdr:col>6</xdr:col>
      <xdr:colOff>1076379</xdr:colOff>
      <xdr:row>27</xdr:row>
      <xdr:rowOff>22860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2E38A6-E852-49F6-B45C-58409533E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1981" y="4680585"/>
          <a:ext cx="2093648" cy="533400"/>
        </a:xfrm>
        <a:prstGeom prst="rect">
          <a:avLst/>
        </a:prstGeom>
      </xdr:spPr>
    </xdr:pic>
    <xdr:clientData/>
  </xdr:twoCellAnchor>
  <xdr:twoCellAnchor editAs="oneCell">
    <xdr:from>
      <xdr:col>4</xdr:col>
      <xdr:colOff>746761</xdr:colOff>
      <xdr:row>27</xdr:row>
      <xdr:rowOff>60960</xdr:rowOff>
    </xdr:from>
    <xdr:to>
      <xdr:col>6</xdr:col>
      <xdr:colOff>1068759</xdr:colOff>
      <xdr:row>30</xdr:row>
      <xdr:rowOff>22860</xdr:rowOff>
    </xdr:to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46E6B6E-1BC1-406B-9DEB-6F70CC4C2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1" y="5252085"/>
          <a:ext cx="2093648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"/>
  <dimension ref="A1:W97"/>
  <sheetViews>
    <sheetView tabSelected="1" showWhiteSpace="0" zoomScaleNormal="100" workbookViewId="0">
      <selection activeCell="K32" sqref="K32"/>
    </sheetView>
  </sheetViews>
  <sheetFormatPr baseColWidth="10" defaultColWidth="11.42578125" defaultRowHeight="15" customHeight="1" x14ac:dyDescent="0.3"/>
  <cols>
    <col min="1" max="1" width="3.28515625" style="1" customWidth="1"/>
    <col min="2" max="2" width="8.28515625" style="1" customWidth="1"/>
    <col min="3" max="3" width="9.85546875" style="1" customWidth="1"/>
    <col min="4" max="4" width="10.7109375" style="1" customWidth="1"/>
    <col min="5" max="11" width="13.28515625" style="1" customWidth="1"/>
    <col min="12" max="12" width="3.28515625" style="1" customWidth="1"/>
    <col min="13" max="13" width="13.28515625" style="1" customWidth="1"/>
    <col min="14" max="15" width="4.85546875" style="1" customWidth="1"/>
    <col min="16" max="16" width="3.28515625" style="1" customWidth="1"/>
    <col min="17" max="17" width="10.28515625" style="13" customWidth="1"/>
    <col min="18" max="20" width="8.28515625" style="1" customWidth="1"/>
    <col min="21" max="21" width="15" style="13" customWidth="1"/>
    <col min="22" max="16384" width="11.42578125" style="1"/>
  </cols>
  <sheetData>
    <row r="1" spans="1:23" ht="28.35" customHeight="1" thickBot="1" x14ac:dyDescent="0.35">
      <c r="B1" s="46" t="s">
        <v>32</v>
      </c>
      <c r="C1" s="47"/>
      <c r="D1" s="47"/>
      <c r="E1" s="47"/>
      <c r="F1" s="47"/>
      <c r="G1" s="47"/>
      <c r="H1" s="47"/>
      <c r="I1" s="48" t="s">
        <v>0</v>
      </c>
      <c r="J1" s="49">
        <v>46426</v>
      </c>
      <c r="K1" s="48" t="s">
        <v>1</v>
      </c>
      <c r="L1" s="50" t="s">
        <v>2</v>
      </c>
      <c r="M1" s="50"/>
      <c r="N1" s="50"/>
      <c r="O1" s="51"/>
      <c r="P1" s="47"/>
      <c r="Q1" s="231"/>
      <c r="R1" s="232"/>
      <c r="S1" s="232"/>
      <c r="T1" s="232"/>
      <c r="U1" s="52"/>
    </row>
    <row r="2" spans="1:23" ht="5.0999999999999996" customHeight="1" thickBot="1" x14ac:dyDescent="0.35">
      <c r="C2" s="5"/>
      <c r="D2"/>
      <c r="E2"/>
      <c r="F2"/>
      <c r="G2"/>
      <c r="H2" s="12"/>
      <c r="I2" s="12"/>
      <c r="J2" s="12"/>
      <c r="K2" s="12"/>
    </row>
    <row r="3" spans="1:23" ht="19.5" customHeight="1" thickBot="1" x14ac:dyDescent="0.35">
      <c r="B3" s="192" t="s">
        <v>17</v>
      </c>
      <c r="C3" s="193"/>
      <c r="D3" s="193"/>
      <c r="E3" s="193"/>
      <c r="F3" s="193"/>
      <c r="G3" s="193"/>
      <c r="H3" s="164"/>
      <c r="I3" s="164"/>
      <c r="J3" s="164"/>
      <c r="K3" s="165"/>
      <c r="L3" s="9"/>
      <c r="M3" s="27" t="s">
        <v>11</v>
      </c>
      <c r="N3" s="28"/>
      <c r="O3" s="29"/>
      <c r="P3" s="9"/>
      <c r="Q3" s="22" t="s">
        <v>174</v>
      </c>
      <c r="R3" s="23"/>
      <c r="S3" s="24"/>
      <c r="T3" s="24"/>
      <c r="U3" s="61"/>
    </row>
    <row r="4" spans="1:23" ht="5.0999999999999996" customHeight="1" thickBot="1" x14ac:dyDescent="0.35">
      <c r="C4" s="2"/>
      <c r="D4" s="2"/>
      <c r="E4" s="2"/>
      <c r="F4" s="2"/>
      <c r="G4" s="2"/>
      <c r="H4" s="2"/>
      <c r="I4" s="2"/>
      <c r="J4" s="2"/>
      <c r="K4" s="2"/>
      <c r="Q4" s="15"/>
      <c r="R4" s="8"/>
      <c r="S4" s="8"/>
      <c r="T4" s="7"/>
    </row>
    <row r="5" spans="1:23" ht="20.100000000000001" customHeight="1" x14ac:dyDescent="0.3">
      <c r="B5" s="194" t="s">
        <v>43</v>
      </c>
      <c r="C5" s="195"/>
      <c r="D5" s="196"/>
      <c r="E5" s="158" t="s">
        <v>35</v>
      </c>
      <c r="F5" s="159"/>
      <c r="G5" s="204"/>
      <c r="H5" s="204"/>
      <c r="I5" s="204"/>
      <c r="J5" s="205"/>
      <c r="K5"/>
      <c r="M5" s="200" t="s">
        <v>18</v>
      </c>
      <c r="N5" s="201"/>
      <c r="O5" s="202"/>
      <c r="Q5" s="25">
        <f>J1</f>
        <v>46426</v>
      </c>
      <c r="R5" s="251" t="s">
        <v>61</v>
      </c>
      <c r="S5" s="252"/>
      <c r="T5" s="252"/>
      <c r="U5" s="253"/>
    </row>
    <row r="6" spans="1:23" ht="20.100000000000001" customHeight="1" thickBot="1" x14ac:dyDescent="0.35">
      <c r="B6" s="197"/>
      <c r="C6" s="198"/>
      <c r="D6" s="199"/>
      <c r="E6" s="174" t="s">
        <v>58</v>
      </c>
      <c r="F6" s="214"/>
      <c r="G6" s="215"/>
      <c r="H6" s="215"/>
      <c r="I6" s="215"/>
      <c r="J6" s="216"/>
      <c r="K6"/>
      <c r="M6" s="243" t="s">
        <v>12</v>
      </c>
      <c r="N6" s="244"/>
      <c r="O6" s="245"/>
      <c r="Q6" s="26">
        <v>8.9</v>
      </c>
      <c r="R6" s="254"/>
      <c r="S6" s="255"/>
      <c r="T6" s="255"/>
      <c r="U6" s="256"/>
    </row>
    <row r="7" spans="1:23" ht="20.100000000000001" customHeight="1" x14ac:dyDescent="0.3">
      <c r="B7" s="166" t="s">
        <v>53</v>
      </c>
      <c r="C7" s="177"/>
      <c r="D7" s="178"/>
      <c r="E7" s="186" t="s">
        <v>64</v>
      </c>
      <c r="F7" s="187"/>
      <c r="G7" s="152" t="s">
        <v>66</v>
      </c>
      <c r="H7" s="153"/>
      <c r="I7" s="152" t="s">
        <v>65</v>
      </c>
      <c r="J7" s="153"/>
      <c r="K7"/>
      <c r="L7" s="10"/>
      <c r="M7" s="246"/>
      <c r="N7" s="247"/>
      <c r="O7" s="245"/>
      <c r="Q7" s="25">
        <f>Q5+7</f>
        <v>46433</v>
      </c>
      <c r="R7" s="225" t="s">
        <v>52</v>
      </c>
      <c r="S7" s="226"/>
      <c r="T7" s="226"/>
      <c r="U7" s="227"/>
    </row>
    <row r="8" spans="1:23" ht="20.100000000000001" customHeight="1" thickBot="1" x14ac:dyDescent="0.35">
      <c r="B8" s="179"/>
      <c r="C8" s="180"/>
      <c r="D8" s="181"/>
      <c r="E8" s="188"/>
      <c r="F8" s="189"/>
      <c r="G8" s="154"/>
      <c r="H8" s="155"/>
      <c r="I8" s="154"/>
      <c r="J8" s="155"/>
      <c r="K8"/>
      <c r="L8" s="10"/>
      <c r="M8" s="246"/>
      <c r="N8" s="247"/>
      <c r="O8" s="245"/>
      <c r="Q8" s="26" t="s">
        <v>57</v>
      </c>
      <c r="R8" s="228" t="s">
        <v>62</v>
      </c>
      <c r="S8" s="229"/>
      <c r="T8" s="229"/>
      <c r="U8" s="230"/>
    </row>
    <row r="9" spans="1:23" ht="20.100000000000001" customHeight="1" x14ac:dyDescent="0.3">
      <c r="B9" s="179"/>
      <c r="C9" s="180"/>
      <c r="D9" s="181"/>
      <c r="E9" s="188"/>
      <c r="F9" s="189"/>
      <c r="G9" s="154"/>
      <c r="H9" s="155"/>
      <c r="I9" s="154"/>
      <c r="J9" s="155"/>
      <c r="K9"/>
      <c r="L9" s="10"/>
      <c r="M9" s="248"/>
      <c r="N9" s="249"/>
      <c r="O9" s="250"/>
      <c r="Q9" s="25">
        <f>Q7+7</f>
        <v>46440</v>
      </c>
      <c r="R9" s="225" t="s">
        <v>52</v>
      </c>
      <c r="S9" s="226"/>
      <c r="T9" s="226"/>
      <c r="U9" s="227"/>
    </row>
    <row r="10" spans="1:23" ht="20.100000000000001" customHeight="1" thickBot="1" x14ac:dyDescent="0.35">
      <c r="A10" s="6"/>
      <c r="B10" s="179"/>
      <c r="C10" s="180"/>
      <c r="D10" s="181"/>
      <c r="E10" s="188"/>
      <c r="F10" s="189"/>
      <c r="G10" s="154"/>
      <c r="H10" s="155"/>
      <c r="I10" s="154"/>
      <c r="J10" s="155"/>
      <c r="K10"/>
      <c r="L10" s="10"/>
      <c r="M10" s="30" t="s">
        <v>69</v>
      </c>
      <c r="N10" s="31">
        <v>3</v>
      </c>
      <c r="O10" s="32">
        <v>3</v>
      </c>
      <c r="Q10" s="26" t="s">
        <v>57</v>
      </c>
      <c r="R10" s="228" t="s">
        <v>45</v>
      </c>
      <c r="S10" s="229"/>
      <c r="T10" s="229"/>
      <c r="U10" s="230"/>
    </row>
    <row r="11" spans="1:23" ht="20.100000000000001" customHeight="1" x14ac:dyDescent="0.3">
      <c r="A11" s="6"/>
      <c r="B11" s="179"/>
      <c r="C11" s="180"/>
      <c r="D11" s="181"/>
      <c r="E11" s="188"/>
      <c r="F11" s="189"/>
      <c r="G11" s="154"/>
      <c r="H11" s="155"/>
      <c r="I11" s="154"/>
      <c r="J11" s="155"/>
      <c r="K11"/>
      <c r="L11" s="10"/>
      <c r="M11" s="30" t="s">
        <v>67</v>
      </c>
      <c r="N11" s="31">
        <v>3</v>
      </c>
      <c r="O11" s="32">
        <v>3</v>
      </c>
      <c r="Q11" s="25">
        <f>Q9+7</f>
        <v>46447</v>
      </c>
      <c r="R11" s="225" t="s">
        <v>52</v>
      </c>
      <c r="S11" s="226"/>
      <c r="T11" s="226"/>
      <c r="U11" s="227"/>
    </row>
    <row r="12" spans="1:23" ht="20.100000000000001" customHeight="1" thickBot="1" x14ac:dyDescent="0.35">
      <c r="B12" s="182"/>
      <c r="C12" s="183"/>
      <c r="D12" s="184"/>
      <c r="E12" s="190"/>
      <c r="F12" s="191"/>
      <c r="G12" s="156"/>
      <c r="H12" s="157"/>
      <c r="I12" s="156"/>
      <c r="J12" s="157"/>
      <c r="K12"/>
      <c r="L12" s="10"/>
      <c r="M12" s="30" t="s">
        <v>36</v>
      </c>
      <c r="N12" s="31">
        <v>3</v>
      </c>
      <c r="O12" s="32">
        <v>3</v>
      </c>
      <c r="Q12" s="26" t="s">
        <v>57</v>
      </c>
      <c r="R12" s="228" t="s">
        <v>46</v>
      </c>
      <c r="S12" s="229"/>
      <c r="T12" s="229"/>
      <c r="U12" s="230"/>
    </row>
    <row r="13" spans="1:23" ht="19.5" customHeight="1" thickBot="1" x14ac:dyDescent="0.35">
      <c r="C13" s="3"/>
      <c r="D13" s="4"/>
      <c r="E13"/>
      <c r="F13"/>
      <c r="G13"/>
      <c r="H13"/>
      <c r="I13"/>
      <c r="J13"/>
      <c r="K13"/>
      <c r="M13" s="30" t="s">
        <v>37</v>
      </c>
      <c r="N13" s="31">
        <v>3</v>
      </c>
      <c r="O13" s="32">
        <v>3</v>
      </c>
      <c r="Q13" s="25">
        <f>Q11+7</f>
        <v>46454</v>
      </c>
      <c r="R13" s="225" t="s">
        <v>51</v>
      </c>
      <c r="S13" s="226"/>
      <c r="T13" s="226"/>
      <c r="U13" s="227"/>
      <c r="W13" s="57"/>
    </row>
    <row r="14" spans="1:23" ht="20.100000000000001" customHeight="1" thickBot="1" x14ac:dyDescent="0.35">
      <c r="B14" s="194" t="s">
        <v>43</v>
      </c>
      <c r="C14" s="195"/>
      <c r="D14" s="196"/>
      <c r="E14" s="158" t="s">
        <v>67</v>
      </c>
      <c r="F14" s="159"/>
      <c r="G14" s="204"/>
      <c r="H14" s="204"/>
      <c r="I14" s="204"/>
      <c r="J14" s="205"/>
      <c r="K14"/>
      <c r="L14" s="9"/>
      <c r="M14" s="30" t="s">
        <v>38</v>
      </c>
      <c r="N14" s="31">
        <v>3</v>
      </c>
      <c r="O14" s="32">
        <v>3</v>
      </c>
      <c r="Q14" s="26" t="s">
        <v>68</v>
      </c>
      <c r="R14" s="228" t="s">
        <v>47</v>
      </c>
      <c r="S14" s="229"/>
      <c r="T14" s="229"/>
      <c r="U14" s="230"/>
      <c r="W14" s="14"/>
    </row>
    <row r="15" spans="1:23" ht="20.100000000000001" customHeight="1" x14ac:dyDescent="0.3">
      <c r="B15" s="197"/>
      <c r="C15" s="198"/>
      <c r="D15" s="199"/>
      <c r="E15" s="174" t="s">
        <v>58</v>
      </c>
      <c r="F15" s="214"/>
      <c r="G15" s="215"/>
      <c r="H15" s="215"/>
      <c r="I15" s="215"/>
      <c r="J15" s="216"/>
      <c r="K15"/>
      <c r="M15" s="30" t="s">
        <v>54</v>
      </c>
      <c r="N15" s="31">
        <v>2</v>
      </c>
      <c r="O15" s="32">
        <v>2</v>
      </c>
      <c r="Q15" s="25">
        <f>Q13+7</f>
        <v>46461</v>
      </c>
      <c r="R15" s="225" t="s">
        <v>51</v>
      </c>
      <c r="S15" s="226"/>
      <c r="T15" s="226"/>
      <c r="U15" s="227"/>
      <c r="W15" s="14"/>
    </row>
    <row r="16" spans="1:23" ht="20.100000000000001" customHeight="1" thickBot="1" x14ac:dyDescent="0.35">
      <c r="B16" s="176" t="s">
        <v>42</v>
      </c>
      <c r="C16" s="177"/>
      <c r="D16" s="178"/>
      <c r="E16" s="152" t="s">
        <v>47</v>
      </c>
      <c r="F16" s="153"/>
      <c r="G16" s="152" t="s">
        <v>48</v>
      </c>
      <c r="H16" s="153"/>
      <c r="I16" s="152" t="s">
        <v>49</v>
      </c>
      <c r="J16" s="153"/>
      <c r="K16"/>
      <c r="M16" s="30" t="s">
        <v>55</v>
      </c>
      <c r="N16" s="31">
        <v>2</v>
      </c>
      <c r="O16" s="32">
        <v>2</v>
      </c>
      <c r="Q16" s="26" t="s">
        <v>68</v>
      </c>
      <c r="R16" s="228" t="s">
        <v>48</v>
      </c>
      <c r="S16" s="229"/>
      <c r="T16" s="229"/>
      <c r="U16" s="230"/>
      <c r="W16" s="14"/>
    </row>
    <row r="17" spans="1:21" ht="20.100000000000001" customHeight="1" x14ac:dyDescent="0.3">
      <c r="B17" s="179"/>
      <c r="C17" s="180"/>
      <c r="D17" s="181"/>
      <c r="E17" s="154"/>
      <c r="F17" s="155"/>
      <c r="G17" s="154"/>
      <c r="H17" s="155"/>
      <c r="I17" s="154"/>
      <c r="J17" s="155"/>
      <c r="K17"/>
      <c r="M17" s="30" t="s">
        <v>56</v>
      </c>
      <c r="N17" s="31">
        <v>2</v>
      </c>
      <c r="O17" s="32">
        <v>2</v>
      </c>
      <c r="Q17" s="25">
        <f>Q15+7</f>
        <v>46468</v>
      </c>
      <c r="R17" s="225" t="s">
        <v>51</v>
      </c>
      <c r="S17" s="226"/>
      <c r="T17" s="226"/>
      <c r="U17" s="227"/>
    </row>
    <row r="18" spans="1:21" ht="20.100000000000001" customHeight="1" thickBot="1" x14ac:dyDescent="0.35">
      <c r="A18"/>
      <c r="B18" s="179"/>
      <c r="C18" s="180"/>
      <c r="D18" s="181"/>
      <c r="E18" s="154"/>
      <c r="F18" s="155"/>
      <c r="G18" s="154"/>
      <c r="H18" s="155"/>
      <c r="I18" s="154"/>
      <c r="J18" s="155"/>
      <c r="K18"/>
      <c r="L18"/>
      <c r="M18" s="30"/>
      <c r="N18" s="31"/>
      <c r="O18" s="33"/>
      <c r="Q18" s="26" t="s">
        <v>68</v>
      </c>
      <c r="R18" s="228" t="s">
        <v>49</v>
      </c>
      <c r="S18" s="229"/>
      <c r="T18" s="229"/>
      <c r="U18" s="230"/>
    </row>
    <row r="19" spans="1:21" ht="20.100000000000001" customHeight="1" thickBot="1" x14ac:dyDescent="0.35">
      <c r="B19" s="179"/>
      <c r="C19" s="180"/>
      <c r="D19" s="181"/>
      <c r="E19" s="154"/>
      <c r="F19" s="155"/>
      <c r="G19" s="154"/>
      <c r="H19" s="155"/>
      <c r="I19" s="154"/>
      <c r="J19" s="155"/>
      <c r="K19"/>
      <c r="M19" s="34" t="s">
        <v>15</v>
      </c>
      <c r="N19" s="35">
        <f>(SUM(O10:O18)*5)/SUM(N10:N18)+1</f>
        <v>6</v>
      </c>
      <c r="O19" s="36">
        <f>IF(N19&gt;3.5,N19,(O22))</f>
        <v>6</v>
      </c>
      <c r="Q19" s="25">
        <f>Q17+7</f>
        <v>46475</v>
      </c>
      <c r="R19" s="251"/>
      <c r="S19" s="252"/>
      <c r="T19" s="252"/>
      <c r="U19" s="253"/>
    </row>
    <row r="20" spans="1:21" ht="20.100000000000001" customHeight="1" thickTop="1" thickBot="1" x14ac:dyDescent="0.35">
      <c r="B20" s="179"/>
      <c r="C20" s="180"/>
      <c r="D20" s="181"/>
      <c r="E20" s="154"/>
      <c r="F20" s="155"/>
      <c r="G20" s="154"/>
      <c r="H20" s="155"/>
      <c r="I20" s="154"/>
      <c r="J20" s="155"/>
      <c r="K20"/>
      <c r="M20" s="37"/>
      <c r="N20" s="38"/>
      <c r="O20" s="39"/>
      <c r="Q20" s="98" t="s">
        <v>71</v>
      </c>
      <c r="R20" s="254"/>
      <c r="S20" s="255"/>
      <c r="T20" s="255"/>
      <c r="U20" s="256"/>
    </row>
    <row r="21" spans="1:21" ht="20.100000000000001" customHeight="1" thickBot="1" x14ac:dyDescent="0.4">
      <c r="B21" s="182"/>
      <c r="C21" s="183"/>
      <c r="D21" s="184"/>
      <c r="E21" s="156"/>
      <c r="F21" s="157"/>
      <c r="G21" s="156"/>
      <c r="H21" s="157"/>
      <c r="I21" s="156"/>
      <c r="J21" s="157"/>
      <c r="K21"/>
      <c r="M21" s="19"/>
      <c r="N21" s="19"/>
      <c r="O21" s="20"/>
      <c r="Q21" s="25">
        <f>Q19+7</f>
        <v>46482</v>
      </c>
      <c r="R21" s="251"/>
      <c r="S21" s="252"/>
      <c r="T21" s="252"/>
      <c r="U21" s="253"/>
    </row>
    <row r="22" spans="1:21" ht="19.5" customHeight="1" thickBot="1" x14ac:dyDescent="0.35">
      <c r="E22"/>
      <c r="F22"/>
      <c r="G22"/>
      <c r="H22"/>
      <c r="I22"/>
      <c r="J22"/>
      <c r="K22"/>
      <c r="M22"/>
      <c r="N22"/>
      <c r="O22" s="21" t="s">
        <v>16</v>
      </c>
      <c r="Q22" s="98">
        <v>8.11</v>
      </c>
      <c r="R22" s="254"/>
      <c r="S22" s="255"/>
      <c r="T22" s="255"/>
      <c r="U22" s="256"/>
    </row>
    <row r="23" spans="1:21" ht="20.100000000000001" customHeight="1" x14ac:dyDescent="0.3">
      <c r="B23" s="194" t="s">
        <v>44</v>
      </c>
      <c r="C23" s="195"/>
      <c r="D23" s="195"/>
      <c r="E23" s="158" t="s">
        <v>36</v>
      </c>
      <c r="F23" s="213"/>
      <c r="G23"/>
      <c r="H23"/>
      <c r="I23" s="158" t="s">
        <v>38</v>
      </c>
      <c r="J23" s="159"/>
      <c r="K23" s="160"/>
      <c r="L23" s="9"/>
      <c r="M23" s="58" t="s">
        <v>14</v>
      </c>
      <c r="N23" s="59"/>
      <c r="O23" s="60"/>
      <c r="Q23" s="25">
        <f>Q21+21</f>
        <v>46503</v>
      </c>
      <c r="R23" s="251"/>
      <c r="S23" s="252"/>
      <c r="T23" s="252"/>
      <c r="U23" s="253"/>
    </row>
    <row r="24" spans="1:21" ht="20.100000000000001" customHeight="1" thickBot="1" x14ac:dyDescent="0.35">
      <c r="B24" s="197"/>
      <c r="C24" s="198"/>
      <c r="D24" s="198"/>
      <c r="E24" s="174" t="s">
        <v>58</v>
      </c>
      <c r="F24" s="175"/>
      <c r="G24"/>
      <c r="H24"/>
      <c r="I24" s="161" t="s">
        <v>34</v>
      </c>
      <c r="J24" s="162"/>
      <c r="K24" s="163"/>
      <c r="M24" s="206" t="s">
        <v>19</v>
      </c>
      <c r="N24" s="207"/>
      <c r="O24" s="208"/>
      <c r="Q24" s="98">
        <v>8.1199999999999992</v>
      </c>
      <c r="R24" s="254"/>
      <c r="S24" s="255"/>
      <c r="T24" s="255"/>
      <c r="U24" s="256"/>
    </row>
    <row r="25" spans="1:21" s="9" customFormat="1" ht="20.100000000000001" customHeight="1" x14ac:dyDescent="0.25">
      <c r="B25" s="166" t="s">
        <v>52</v>
      </c>
      <c r="C25" s="140"/>
      <c r="D25" s="140"/>
      <c r="E25" s="185" t="s">
        <v>59</v>
      </c>
      <c r="F25" s="153"/>
      <c r="G25"/>
      <c r="H25"/>
      <c r="I25" s="217" t="s">
        <v>60</v>
      </c>
      <c r="J25" s="218"/>
      <c r="K25" s="219"/>
      <c r="L25" s="11"/>
      <c r="M25" s="209"/>
      <c r="N25" s="207"/>
      <c r="O25" s="208"/>
      <c r="Q25" s="25">
        <f>Q23+7</f>
        <v>46510</v>
      </c>
      <c r="R25" s="329"/>
      <c r="S25" s="330"/>
      <c r="T25" s="330"/>
      <c r="U25" s="331"/>
    </row>
    <row r="26" spans="1:21" s="9" customFormat="1" ht="20.100000000000001" customHeight="1" thickBot="1" x14ac:dyDescent="0.3">
      <c r="B26" s="222"/>
      <c r="C26" s="143"/>
      <c r="D26" s="143"/>
      <c r="E26" s="154"/>
      <c r="F26" s="155"/>
      <c r="G26"/>
      <c r="H26"/>
      <c r="I26" s="154"/>
      <c r="J26" s="218"/>
      <c r="K26" s="219"/>
      <c r="L26" s="11"/>
      <c r="M26" s="210"/>
      <c r="N26" s="211"/>
      <c r="O26" s="212"/>
      <c r="Q26" s="98"/>
      <c r="R26" s="332"/>
      <c r="S26" s="333"/>
      <c r="T26" s="333"/>
      <c r="U26" s="334"/>
    </row>
    <row r="27" spans="1:21" s="9" customFormat="1" ht="20.100000000000001" customHeight="1" thickBot="1" x14ac:dyDescent="0.3">
      <c r="B27" s="222"/>
      <c r="C27" s="143"/>
      <c r="D27" s="143"/>
      <c r="E27" s="154"/>
      <c r="F27" s="155"/>
      <c r="G27"/>
      <c r="H27"/>
      <c r="I27" s="154"/>
      <c r="J27" s="218"/>
      <c r="K27" s="219"/>
      <c r="L27" s="11"/>
      <c r="Q27" s="335">
        <f>Q25+7</f>
        <v>46517</v>
      </c>
      <c r="R27" s="337" t="s">
        <v>33</v>
      </c>
      <c r="S27" s="338"/>
      <c r="T27" s="338"/>
      <c r="U27" s="339"/>
    </row>
    <row r="28" spans="1:21" s="9" customFormat="1" ht="20.100000000000001" customHeight="1" thickBot="1" x14ac:dyDescent="0.3">
      <c r="B28" s="222"/>
      <c r="C28" s="143"/>
      <c r="D28" s="143"/>
      <c r="E28" s="154"/>
      <c r="F28" s="155"/>
      <c r="G28"/>
      <c r="H28"/>
      <c r="I28" s="154"/>
      <c r="J28" s="218"/>
      <c r="K28" s="219"/>
      <c r="L28" s="11"/>
      <c r="M28" s="233" t="s">
        <v>13</v>
      </c>
      <c r="N28" s="234"/>
      <c r="O28" s="235"/>
      <c r="Q28" s="336"/>
      <c r="R28" s="340"/>
      <c r="S28" s="341"/>
      <c r="T28" s="341"/>
      <c r="U28" s="342"/>
    </row>
    <row r="29" spans="1:21" s="9" customFormat="1" ht="20.100000000000001" customHeight="1" x14ac:dyDescent="0.25">
      <c r="B29" s="222"/>
      <c r="C29" s="143"/>
      <c r="D29" s="143"/>
      <c r="E29" s="154"/>
      <c r="F29" s="155"/>
      <c r="G29"/>
      <c r="H29"/>
      <c r="I29" s="154"/>
      <c r="J29" s="218"/>
      <c r="K29" s="219"/>
      <c r="L29" s="11"/>
      <c r="M29" s="206" t="s">
        <v>63</v>
      </c>
      <c r="N29" s="236"/>
      <c r="O29" s="237"/>
      <c r="Q29" s="335">
        <f>Q27+7</f>
        <v>46524</v>
      </c>
      <c r="R29" s="337" t="s">
        <v>33</v>
      </c>
      <c r="S29" s="338"/>
      <c r="T29" s="338"/>
      <c r="U29" s="339"/>
    </row>
    <row r="30" spans="1:21" s="9" customFormat="1" ht="20.100000000000001" customHeight="1" thickBot="1" x14ac:dyDescent="0.3">
      <c r="B30" s="223"/>
      <c r="C30" s="224"/>
      <c r="D30" s="224"/>
      <c r="E30" s="156"/>
      <c r="F30" s="157"/>
      <c r="G30"/>
      <c r="H30"/>
      <c r="I30" s="156"/>
      <c r="J30" s="220"/>
      <c r="K30" s="221"/>
      <c r="L30" s="11"/>
      <c r="M30" s="238"/>
      <c r="N30" s="239"/>
      <c r="O30" s="237"/>
      <c r="Q30" s="336"/>
      <c r="R30" s="340"/>
      <c r="S30" s="341"/>
      <c r="T30" s="341"/>
      <c r="U30" s="342"/>
    </row>
    <row r="31" spans="1:21" s="9" customFormat="1" ht="19.5" customHeight="1" thickBot="1" x14ac:dyDescent="0.3">
      <c r="E31"/>
      <c r="F31"/>
      <c r="G31"/>
      <c r="H31"/>
      <c r="I31"/>
      <c r="J31"/>
      <c r="K31"/>
      <c r="M31" s="240"/>
      <c r="N31" s="241"/>
      <c r="O31" s="242"/>
      <c r="Q31" s="335">
        <f>Q29+7</f>
        <v>46531</v>
      </c>
      <c r="R31" s="337" t="s">
        <v>33</v>
      </c>
      <c r="S31" s="338"/>
      <c r="T31" s="338"/>
      <c r="U31" s="339"/>
    </row>
    <row r="32" spans="1:21" s="9" customFormat="1" ht="20.100000000000001" customHeight="1" thickBot="1" x14ac:dyDescent="0.3">
      <c r="B32" s="194" t="s">
        <v>50</v>
      </c>
      <c r="C32" s="195"/>
      <c r="D32" s="195"/>
      <c r="E32" s="158" t="s">
        <v>37</v>
      </c>
      <c r="F32" s="213"/>
      <c r="H32" s="92" t="s">
        <v>54</v>
      </c>
      <c r="I32" s="92" t="s">
        <v>55</v>
      </c>
      <c r="J32" s="92" t="s">
        <v>56</v>
      </c>
      <c r="K32" s="92" t="s">
        <v>176</v>
      </c>
      <c r="L32"/>
      <c r="Q32" s="336"/>
      <c r="R32" s="340"/>
      <c r="S32" s="341"/>
      <c r="T32" s="341"/>
      <c r="U32" s="342"/>
    </row>
    <row r="33" spans="2:21" ht="20.100000000000001" customHeight="1" x14ac:dyDescent="0.3">
      <c r="B33" s="197"/>
      <c r="C33" s="198"/>
      <c r="D33" s="198"/>
      <c r="E33" s="174" t="s">
        <v>58</v>
      </c>
      <c r="F33" s="175"/>
      <c r="H33" s="93" t="s">
        <v>41</v>
      </c>
      <c r="I33" s="93" t="s">
        <v>41</v>
      </c>
      <c r="J33" s="93" t="s">
        <v>41</v>
      </c>
      <c r="K33" s="93" t="s">
        <v>41</v>
      </c>
      <c r="L33" s="17"/>
      <c r="M33" s="40" t="s">
        <v>3</v>
      </c>
      <c r="N33" s="41"/>
      <c r="O33" s="42"/>
      <c r="Q33" s="335">
        <f>Q31+7</f>
        <v>46538</v>
      </c>
      <c r="R33" s="337" t="s">
        <v>33</v>
      </c>
      <c r="S33" s="338"/>
      <c r="T33" s="338"/>
      <c r="U33" s="339"/>
    </row>
    <row r="34" spans="2:21" ht="20.100000000000001" customHeight="1" thickBot="1" x14ac:dyDescent="0.35">
      <c r="B34" s="166" t="s">
        <v>51</v>
      </c>
      <c r="C34" s="167"/>
      <c r="D34" s="167"/>
      <c r="E34" s="185" t="s">
        <v>73</v>
      </c>
      <c r="F34" s="153"/>
      <c r="H34" s="94" t="s">
        <v>40</v>
      </c>
      <c r="I34" s="94" t="s">
        <v>40</v>
      </c>
      <c r="J34" s="94" t="s">
        <v>40</v>
      </c>
      <c r="K34" s="94" t="s">
        <v>40</v>
      </c>
      <c r="L34" s="18"/>
      <c r="M34" s="43" t="s">
        <v>4</v>
      </c>
      <c r="N34" s="150">
        <v>45597</v>
      </c>
      <c r="O34" s="151"/>
      <c r="Q34" s="336"/>
      <c r="R34" s="340"/>
      <c r="S34" s="341"/>
      <c r="T34" s="341"/>
      <c r="U34" s="342"/>
    </row>
    <row r="35" spans="2:21" ht="20.100000000000001" customHeight="1" x14ac:dyDescent="0.3">
      <c r="B35" s="168"/>
      <c r="C35" s="169"/>
      <c r="D35" s="169"/>
      <c r="E35" s="154"/>
      <c r="F35" s="155"/>
      <c r="H35" s="95"/>
      <c r="I35" s="95"/>
      <c r="J35" s="95"/>
      <c r="K35" s="95"/>
      <c r="L35" s="18"/>
      <c r="M35" s="43" t="s">
        <v>5</v>
      </c>
      <c r="N35" s="150">
        <v>45380</v>
      </c>
      <c r="O35" s="151"/>
      <c r="Q35" s="335">
        <f>Q33+7</f>
        <v>46545</v>
      </c>
      <c r="R35" s="337" t="s">
        <v>178</v>
      </c>
      <c r="S35" s="338"/>
      <c r="T35" s="338"/>
      <c r="U35" s="339"/>
    </row>
    <row r="36" spans="2:21" ht="20.100000000000001" customHeight="1" thickBot="1" x14ac:dyDescent="0.35">
      <c r="B36" s="168"/>
      <c r="C36" s="169"/>
      <c r="D36" s="169"/>
      <c r="E36" s="154"/>
      <c r="F36" s="155"/>
      <c r="H36" s="96"/>
      <c r="I36" s="96"/>
      <c r="J36" s="96"/>
      <c r="K36" s="96"/>
      <c r="L36" s="18"/>
      <c r="M36" s="43" t="s">
        <v>6</v>
      </c>
      <c r="N36" s="150">
        <v>45383</v>
      </c>
      <c r="O36" s="151"/>
      <c r="Q36" s="336"/>
      <c r="R36" s="340"/>
      <c r="S36" s="341"/>
      <c r="T36" s="341"/>
      <c r="U36" s="342"/>
    </row>
    <row r="37" spans="2:21" ht="20.100000000000001" customHeight="1" thickBot="1" x14ac:dyDescent="0.35">
      <c r="B37" s="168"/>
      <c r="C37" s="169"/>
      <c r="D37" s="169"/>
      <c r="E37" s="154"/>
      <c r="F37" s="155"/>
      <c r="H37" s="94" t="s">
        <v>39</v>
      </c>
      <c r="I37" s="94" t="s">
        <v>39</v>
      </c>
      <c r="J37" s="94" t="s">
        <v>39</v>
      </c>
      <c r="K37" s="94" t="s">
        <v>39</v>
      </c>
      <c r="L37" s="18"/>
      <c r="M37" s="44" t="s">
        <v>7</v>
      </c>
      <c r="N37" s="150">
        <v>45421</v>
      </c>
      <c r="O37" s="203"/>
      <c r="Q37" s="99">
        <f>Q35+7</f>
        <v>46552</v>
      </c>
      <c r="R37" s="257" t="s">
        <v>177</v>
      </c>
      <c r="S37" s="258"/>
      <c r="T37" s="258"/>
      <c r="U37" s="259"/>
    </row>
    <row r="38" spans="2:21" ht="20.100000000000001" customHeight="1" thickBot="1" x14ac:dyDescent="0.35">
      <c r="B38" s="168"/>
      <c r="C38" s="169"/>
      <c r="D38" s="169"/>
      <c r="E38" s="154"/>
      <c r="F38" s="155"/>
      <c r="H38" s="95"/>
      <c r="I38" s="95"/>
      <c r="J38" s="95"/>
      <c r="K38" s="95"/>
      <c r="L38" s="18"/>
      <c r="M38" s="45" t="s">
        <v>8</v>
      </c>
      <c r="N38" s="172">
        <v>45432</v>
      </c>
      <c r="O38" s="173"/>
    </row>
    <row r="39" spans="2:21" ht="20.100000000000001" customHeight="1" thickBot="1" x14ac:dyDescent="0.35">
      <c r="B39" s="170"/>
      <c r="C39" s="171"/>
      <c r="D39" s="171"/>
      <c r="E39" s="156"/>
      <c r="F39" s="157"/>
      <c r="H39" s="97"/>
      <c r="I39" s="97"/>
      <c r="J39" s="97"/>
      <c r="K39" s="97"/>
      <c r="L39"/>
      <c r="M39" s="14"/>
      <c r="N39" s="14"/>
      <c r="O39" s="14"/>
    </row>
    <row r="40" spans="2:21" ht="5.0999999999999996" customHeight="1" thickBot="1" x14ac:dyDescent="0.35"/>
    <row r="41" spans="2:21" s="16" customFormat="1" ht="12.6" customHeight="1" thickBot="1" x14ac:dyDescent="0.3">
      <c r="B41" s="53" t="s">
        <v>9</v>
      </c>
      <c r="C41" s="54"/>
      <c r="D41" s="54"/>
      <c r="E41" s="54"/>
      <c r="F41" s="54"/>
      <c r="G41" s="55"/>
      <c r="H41" s="54"/>
      <c r="I41" s="54"/>
      <c r="J41" s="56"/>
      <c r="K41" s="54" t="s">
        <v>10</v>
      </c>
      <c r="L41" s="55"/>
      <c r="M41" s="54"/>
      <c r="N41" s="54"/>
      <c r="O41" s="54"/>
      <c r="P41" s="54"/>
      <c r="Q41" s="56"/>
      <c r="R41" s="54"/>
      <c r="S41" s="54"/>
      <c r="T41" s="54"/>
      <c r="U41" s="62"/>
    </row>
    <row r="97" ht="87" customHeight="1" x14ac:dyDescent="0.3"/>
  </sheetData>
  <mergeCells count="64">
    <mergeCell ref="R37:U37"/>
    <mergeCell ref="R18:U18"/>
    <mergeCell ref="R27:U28"/>
    <mergeCell ref="R29:U30"/>
    <mergeCell ref="R31:U32"/>
    <mergeCell ref="R33:U34"/>
    <mergeCell ref="R35:U36"/>
    <mergeCell ref="R21:U22"/>
    <mergeCell ref="Q1:T1"/>
    <mergeCell ref="M28:O28"/>
    <mergeCell ref="M29:O31"/>
    <mergeCell ref="M6:O9"/>
    <mergeCell ref="R16:U16"/>
    <mergeCell ref="R17:U17"/>
    <mergeCell ref="R11:U11"/>
    <mergeCell ref="R12:U12"/>
    <mergeCell ref="R13:U13"/>
    <mergeCell ref="R14:U14"/>
    <mergeCell ref="R23:U24"/>
    <mergeCell ref="R15:U15"/>
    <mergeCell ref="R19:U20"/>
    <mergeCell ref="R25:U26"/>
    <mergeCell ref="R5:U6"/>
    <mergeCell ref="E32:F32"/>
    <mergeCell ref="B14:D15"/>
    <mergeCell ref="B25:D30"/>
    <mergeCell ref="B23:D24"/>
    <mergeCell ref="R7:U7"/>
    <mergeCell ref="R8:U8"/>
    <mergeCell ref="R9:U9"/>
    <mergeCell ref="R10:U10"/>
    <mergeCell ref="B32:D33"/>
    <mergeCell ref="I7:J12"/>
    <mergeCell ref="E5:J5"/>
    <mergeCell ref="M24:O26"/>
    <mergeCell ref="G7:H12"/>
    <mergeCell ref="E23:F23"/>
    <mergeCell ref="E24:F24"/>
    <mergeCell ref="E25:F30"/>
    <mergeCell ref="E6:J6"/>
    <mergeCell ref="E14:J14"/>
    <mergeCell ref="E15:J15"/>
    <mergeCell ref="I25:K30"/>
    <mergeCell ref="J3:K3"/>
    <mergeCell ref="B34:D39"/>
    <mergeCell ref="N38:O38"/>
    <mergeCell ref="E33:F33"/>
    <mergeCell ref="N36:O36"/>
    <mergeCell ref="B16:D21"/>
    <mergeCell ref="E34:F39"/>
    <mergeCell ref="E7:F12"/>
    <mergeCell ref="B3:G3"/>
    <mergeCell ref="B5:D6"/>
    <mergeCell ref="B7:D12"/>
    <mergeCell ref="H3:I3"/>
    <mergeCell ref="M5:O5"/>
    <mergeCell ref="E16:F21"/>
    <mergeCell ref="I16:J21"/>
    <mergeCell ref="N37:O37"/>
    <mergeCell ref="N34:O34"/>
    <mergeCell ref="N35:O35"/>
    <mergeCell ref="G16:H21"/>
    <mergeCell ref="I23:K23"/>
    <mergeCell ref="I24:K24"/>
  </mergeCells>
  <phoneticPr fontId="21" type="noConversion"/>
  <conditionalFormatting sqref="R5:U5 Q6:Q10 R7:U11 Q11:U19 Q20:Q24 R21:U21 R23:U23 Q25:U25 Q26:Q37 R37:U37 R29:U29 R31:U31 R33:U33 R35:U35 R27:U27">
    <cfRule type="expression" dxfId="4" priority="16">
      <formula>$Q$7=$M$38</formula>
    </cfRule>
    <cfRule type="expression" dxfId="3" priority="17">
      <formula>$Q$7=$M$37</formula>
    </cfRule>
    <cfRule type="expression" dxfId="2" priority="18">
      <formula>$Q$7=$M$36</formula>
    </cfRule>
    <cfRule type="expression" dxfId="1" priority="19">
      <formula>$Q$7=$M$35</formula>
    </cfRule>
    <cfRule type="expression" dxfId="0" priority="20">
      <formula>$Q$7=$M$34</formula>
    </cfRule>
  </conditionalFormatting>
  <pageMargins left="0.19685039370078741" right="0.19685039370078741" top="0.19685039370078741" bottom="0.19685039370078741" header="0" footer="0"/>
  <pageSetup paperSize="8" orientation="landscape" r:id="rId1"/>
  <headerFooter>
    <oddHeader xml:space="preserve">&amp;L
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71FF6-9801-4CF1-A732-A55F5202A5AA}">
  <dimension ref="B1:J48"/>
  <sheetViews>
    <sheetView workbookViewId="0">
      <selection activeCell="C5" sqref="C5:G17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129" t="s">
        <v>20</v>
      </c>
      <c r="C1" s="130"/>
      <c r="D1" s="130"/>
      <c r="E1" s="133">
        <v>44966</v>
      </c>
      <c r="F1" s="134"/>
      <c r="G1" s="137">
        <v>1</v>
      </c>
    </row>
    <row r="2" spans="2:7" x14ac:dyDescent="0.25">
      <c r="B2" s="131"/>
      <c r="C2" s="132"/>
      <c r="D2" s="132"/>
      <c r="E2" s="135"/>
      <c r="F2" s="136"/>
      <c r="G2" s="138"/>
    </row>
    <row r="3" spans="2:7" ht="15.75" customHeight="1" x14ac:dyDescent="0.25">
      <c r="B3" s="260" t="s">
        <v>74</v>
      </c>
      <c r="C3" s="261"/>
      <c r="D3" s="261"/>
      <c r="E3" s="261"/>
      <c r="F3" s="264">
        <v>8.9</v>
      </c>
      <c r="G3" s="266" t="s">
        <v>21</v>
      </c>
    </row>
    <row r="4" spans="2:7" ht="14.25" customHeight="1" x14ac:dyDescent="0.25">
      <c r="B4" s="262"/>
      <c r="C4" s="263"/>
      <c r="D4" s="263"/>
      <c r="E4" s="263"/>
      <c r="F4" s="265"/>
      <c r="G4" s="267"/>
    </row>
    <row r="5" spans="2:7" ht="15.75" customHeight="1" x14ac:dyDescent="0.3">
      <c r="B5" s="268" t="s">
        <v>89</v>
      </c>
      <c r="C5" s="63"/>
      <c r="D5" s="64"/>
      <c r="E5" s="65"/>
      <c r="F5" s="66"/>
      <c r="G5" s="67"/>
    </row>
    <row r="6" spans="2:7" x14ac:dyDescent="0.25">
      <c r="B6" s="269"/>
      <c r="C6" s="68" t="s">
        <v>22</v>
      </c>
      <c r="F6" s="70"/>
      <c r="G6" s="70"/>
    </row>
    <row r="7" spans="2:7" ht="15.75" x14ac:dyDescent="0.3">
      <c r="B7" s="269"/>
      <c r="C7" s="71" t="s">
        <v>79</v>
      </c>
      <c r="F7" s="72"/>
      <c r="G7" s="70"/>
    </row>
    <row r="8" spans="2:7" ht="15.75" x14ac:dyDescent="0.3">
      <c r="B8" s="269"/>
      <c r="C8" s="71"/>
      <c r="F8" s="70"/>
      <c r="G8" s="72"/>
    </row>
    <row r="9" spans="2:7" x14ac:dyDescent="0.25">
      <c r="B9" s="269"/>
      <c r="C9" s="68" t="s">
        <v>25</v>
      </c>
      <c r="F9" s="74"/>
      <c r="G9" s="70"/>
    </row>
    <row r="10" spans="2:7" ht="15.75" x14ac:dyDescent="0.3">
      <c r="B10" s="269"/>
      <c r="C10" s="71" t="s">
        <v>75</v>
      </c>
      <c r="F10" s="75"/>
      <c r="G10" s="70"/>
    </row>
    <row r="11" spans="2:7" x14ac:dyDescent="0.25">
      <c r="B11" s="269"/>
      <c r="C11" s="73"/>
      <c r="F11" s="83"/>
      <c r="G11" s="70"/>
    </row>
    <row r="12" spans="2:7" ht="15.75" x14ac:dyDescent="0.3">
      <c r="B12" s="269"/>
      <c r="C12" s="68" t="s">
        <v>78</v>
      </c>
      <c r="D12" s="69"/>
      <c r="E12" s="69"/>
      <c r="F12" s="70"/>
      <c r="G12" s="70"/>
    </row>
    <row r="13" spans="2:7" ht="15.75" x14ac:dyDescent="0.3">
      <c r="B13" s="269"/>
      <c r="C13" s="79" t="s">
        <v>80</v>
      </c>
      <c r="D13" s="77"/>
      <c r="E13" s="77"/>
      <c r="F13" s="78"/>
      <c r="G13" s="70"/>
    </row>
    <row r="14" spans="2:7" x14ac:dyDescent="0.25">
      <c r="B14" s="269"/>
      <c r="C14" s="281" t="s">
        <v>23</v>
      </c>
      <c r="D14" s="282"/>
      <c r="E14" s="282"/>
      <c r="F14" s="282"/>
      <c r="G14" s="283"/>
    </row>
    <row r="15" spans="2:7" ht="15.75" customHeight="1" x14ac:dyDescent="0.3">
      <c r="B15" s="280"/>
      <c r="C15" s="71" t="s">
        <v>76</v>
      </c>
      <c r="D15" s="69"/>
      <c r="E15" s="69"/>
      <c r="F15" s="69"/>
      <c r="G15" s="72"/>
    </row>
    <row r="16" spans="2:7" ht="15" customHeight="1" x14ac:dyDescent="0.3">
      <c r="B16" s="270"/>
      <c r="C16" s="71" t="s">
        <v>77</v>
      </c>
      <c r="G16" s="70"/>
    </row>
    <row r="17" spans="2:10" ht="15" customHeight="1" x14ac:dyDescent="0.3">
      <c r="B17" s="270"/>
      <c r="C17" s="79"/>
      <c r="D17" s="77"/>
      <c r="E17" s="77"/>
      <c r="F17" s="77"/>
      <c r="G17" s="78"/>
    </row>
    <row r="18" spans="2:10" ht="15" customHeight="1" x14ac:dyDescent="0.25">
      <c r="B18" s="284" t="s">
        <v>24</v>
      </c>
      <c r="C18" s="285"/>
      <c r="D18" s="285"/>
      <c r="E18" s="285"/>
      <c r="F18" s="285"/>
      <c r="G18" s="286"/>
    </row>
    <row r="19" spans="2:10" ht="15.75" customHeight="1" x14ac:dyDescent="0.25">
      <c r="B19" s="287"/>
      <c r="C19" s="288"/>
      <c r="D19" s="288"/>
      <c r="E19" s="288"/>
      <c r="F19" s="288"/>
      <c r="G19" s="289"/>
      <c r="J19" s="80"/>
    </row>
    <row r="20" spans="2:10" ht="15" customHeight="1" x14ac:dyDescent="0.25">
      <c r="B20" s="260" t="s">
        <v>81</v>
      </c>
      <c r="C20" s="261"/>
      <c r="D20" s="261"/>
      <c r="E20" s="261"/>
      <c r="F20" s="290">
        <v>8.8000000000000007</v>
      </c>
      <c r="G20" s="266" t="s">
        <v>21</v>
      </c>
    </row>
    <row r="21" spans="2:10" ht="16.5" customHeight="1" x14ac:dyDescent="0.25">
      <c r="B21" s="262"/>
      <c r="C21" s="263"/>
      <c r="D21" s="263"/>
      <c r="E21" s="263"/>
      <c r="F21" s="291"/>
      <c r="G21" s="267"/>
    </row>
    <row r="22" spans="2:10" ht="15.75" customHeight="1" x14ac:dyDescent="0.3">
      <c r="B22" s="268" t="s">
        <v>90</v>
      </c>
      <c r="C22" s="81"/>
      <c r="D22" s="82"/>
      <c r="E22" s="82"/>
      <c r="F22" s="66"/>
      <c r="G22" s="67"/>
    </row>
    <row r="23" spans="2:10" ht="15.75" x14ac:dyDescent="0.3">
      <c r="B23" s="269"/>
      <c r="C23" s="68" t="s">
        <v>22</v>
      </c>
      <c r="D23" s="69"/>
      <c r="E23" s="69"/>
      <c r="F23" s="70"/>
      <c r="G23" s="70"/>
    </row>
    <row r="24" spans="2:10" ht="15.75" x14ac:dyDescent="0.3">
      <c r="B24" s="269"/>
      <c r="C24" s="71" t="s">
        <v>82</v>
      </c>
      <c r="F24" s="72"/>
      <c r="G24" s="70"/>
    </row>
    <row r="25" spans="2:10" ht="15.75" x14ac:dyDescent="0.3">
      <c r="B25" s="269"/>
      <c r="C25" s="71" t="s">
        <v>83</v>
      </c>
      <c r="F25" s="70"/>
      <c r="G25" s="70"/>
    </row>
    <row r="26" spans="2:10" ht="15.75" x14ac:dyDescent="0.3">
      <c r="B26" s="269"/>
      <c r="C26" s="71"/>
      <c r="F26" s="70"/>
      <c r="G26" s="70"/>
    </row>
    <row r="27" spans="2:10" ht="15.75" customHeight="1" x14ac:dyDescent="0.25">
      <c r="B27" s="269"/>
      <c r="C27" s="68" t="s">
        <v>25</v>
      </c>
      <c r="F27" s="70"/>
      <c r="G27" s="70"/>
    </row>
    <row r="28" spans="2:10" ht="15.75" x14ac:dyDescent="0.3">
      <c r="B28" s="269"/>
      <c r="C28" s="71" t="s">
        <v>84</v>
      </c>
      <c r="D28" s="14"/>
      <c r="E28" s="14"/>
      <c r="F28" s="83"/>
      <c r="G28" s="70"/>
    </row>
    <row r="29" spans="2:10" ht="15.75" x14ac:dyDescent="0.3">
      <c r="B29" s="269"/>
      <c r="C29" s="71"/>
      <c r="E29" s="69"/>
      <c r="F29" s="72"/>
      <c r="G29" s="84"/>
    </row>
    <row r="30" spans="2:10" ht="15.75" customHeight="1" x14ac:dyDescent="0.3">
      <c r="B30" s="269"/>
      <c r="C30" s="71"/>
      <c r="D30" s="9"/>
      <c r="F30" s="70"/>
      <c r="G30" s="70"/>
    </row>
    <row r="31" spans="2:10" ht="15.75" customHeight="1" x14ac:dyDescent="0.25">
      <c r="B31" s="269"/>
      <c r="C31" s="272" t="s">
        <v>23</v>
      </c>
      <c r="D31" s="273"/>
      <c r="E31" s="273"/>
      <c r="F31" s="273"/>
      <c r="G31" s="274"/>
    </row>
    <row r="32" spans="2:10" ht="15.75" customHeight="1" x14ac:dyDescent="0.3">
      <c r="B32" s="269"/>
      <c r="C32" s="101" t="s">
        <v>85</v>
      </c>
      <c r="D32" s="65"/>
      <c r="E32" s="65"/>
      <c r="F32" s="65"/>
      <c r="G32" s="66"/>
    </row>
    <row r="33" spans="2:7" ht="15.75" customHeight="1" x14ac:dyDescent="0.3">
      <c r="B33" s="269"/>
      <c r="C33" s="71" t="s">
        <v>86</v>
      </c>
      <c r="G33" s="72"/>
    </row>
    <row r="34" spans="2:7" ht="15.75" x14ac:dyDescent="0.3">
      <c r="B34" s="270"/>
      <c r="C34" s="71" t="s">
        <v>87</v>
      </c>
      <c r="G34" s="70"/>
    </row>
    <row r="35" spans="2:7" ht="15.75" customHeight="1" x14ac:dyDescent="0.3">
      <c r="B35" s="271"/>
      <c r="C35" s="79"/>
      <c r="D35" s="77"/>
      <c r="E35" s="77"/>
      <c r="F35" s="77"/>
      <c r="G35" s="78"/>
    </row>
    <row r="36" spans="2:7" ht="15.75" customHeight="1" x14ac:dyDescent="0.25">
      <c r="B36" s="275" t="s">
        <v>26</v>
      </c>
      <c r="C36" s="276"/>
      <c r="D36" s="276"/>
      <c r="E36" s="278" t="s">
        <v>27</v>
      </c>
      <c r="F36" s="276"/>
      <c r="G36" s="279"/>
    </row>
    <row r="37" spans="2:7" ht="15.75" customHeight="1" x14ac:dyDescent="0.25">
      <c r="B37" s="277"/>
      <c r="C37" s="276"/>
      <c r="D37" s="276"/>
      <c r="E37" s="277"/>
      <c r="F37" s="276"/>
      <c r="G37" s="279"/>
    </row>
    <row r="38" spans="2:7" ht="15.75" customHeight="1" x14ac:dyDescent="0.25">
      <c r="B38" s="63"/>
      <c r="C38" s="82"/>
      <c r="D38" s="85"/>
      <c r="E38" s="63"/>
      <c r="F38" s="82"/>
      <c r="G38" s="85"/>
    </row>
    <row r="39" spans="2:7" ht="15.75" customHeight="1" x14ac:dyDescent="0.25">
      <c r="B39" s="73"/>
      <c r="D39" s="70"/>
      <c r="E39" s="73"/>
      <c r="G39" s="70"/>
    </row>
    <row r="40" spans="2:7" ht="15.75" customHeight="1" x14ac:dyDescent="0.25">
      <c r="B40" s="73"/>
      <c r="D40" s="70"/>
      <c r="E40" s="73"/>
      <c r="G40" s="70"/>
    </row>
    <row r="41" spans="2:7" ht="15.75" customHeight="1" x14ac:dyDescent="0.25">
      <c r="B41" s="73"/>
      <c r="D41" s="70"/>
      <c r="E41" s="73"/>
      <c r="G41" s="70"/>
    </row>
    <row r="42" spans="2:7" ht="15.75" customHeight="1" x14ac:dyDescent="0.25">
      <c r="B42" s="73"/>
      <c r="D42" s="70"/>
      <c r="E42" s="73"/>
      <c r="G42" s="70"/>
    </row>
    <row r="43" spans="2:7" ht="15.75" customHeight="1" x14ac:dyDescent="0.25">
      <c r="B43" s="73"/>
      <c r="D43" s="70"/>
      <c r="E43" s="73"/>
      <c r="G43" s="70"/>
    </row>
    <row r="44" spans="2:7" ht="15.75" customHeight="1" x14ac:dyDescent="0.25">
      <c r="B44" s="73"/>
      <c r="D44" s="70"/>
      <c r="E44" s="73"/>
      <c r="G44" s="70"/>
    </row>
    <row r="45" spans="2:7" ht="15.75" customHeight="1" x14ac:dyDescent="0.25">
      <c r="B45" s="73"/>
      <c r="D45" s="70"/>
      <c r="E45" s="73"/>
      <c r="G45" s="70"/>
    </row>
    <row r="46" spans="2:7" ht="15.75" customHeight="1" x14ac:dyDescent="0.25">
      <c r="B46" s="73"/>
      <c r="D46" s="70"/>
      <c r="E46" s="73"/>
      <c r="G46" s="70"/>
    </row>
    <row r="47" spans="2:7" x14ac:dyDescent="0.25">
      <c r="B47" s="73"/>
      <c r="D47" s="70"/>
      <c r="E47" s="73"/>
      <c r="G47" s="70"/>
    </row>
    <row r="48" spans="2:7" x14ac:dyDescent="0.25">
      <c r="B48" s="76"/>
      <c r="C48" s="77"/>
      <c r="D48" s="78"/>
      <c r="E48" s="76"/>
      <c r="F48" s="77"/>
      <c r="G48" s="78"/>
    </row>
  </sheetData>
  <mergeCells count="16">
    <mergeCell ref="B22:B35"/>
    <mergeCell ref="C31:G31"/>
    <mergeCell ref="B36:D37"/>
    <mergeCell ref="E36:G37"/>
    <mergeCell ref="B5:B17"/>
    <mergeCell ref="C14:G14"/>
    <mergeCell ref="B18:G19"/>
    <mergeCell ref="B20:E21"/>
    <mergeCell ref="F20:F21"/>
    <mergeCell ref="G20:G21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C8F82-7D08-46AA-B3F5-EAF524E49A22}">
  <dimension ref="B1:J48"/>
  <sheetViews>
    <sheetView workbookViewId="0">
      <selection activeCell="C32" sqref="C32:G35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129" t="s">
        <v>20</v>
      </c>
      <c r="C1" s="130"/>
      <c r="D1" s="130"/>
      <c r="E1" s="133">
        <f>Kompetenzraster!Q7</f>
        <v>46433</v>
      </c>
      <c r="F1" s="134"/>
      <c r="G1" s="137">
        <v>2</v>
      </c>
    </row>
    <row r="2" spans="2:7" x14ac:dyDescent="0.25">
      <c r="B2" s="131"/>
      <c r="C2" s="132"/>
      <c r="D2" s="132"/>
      <c r="E2" s="135"/>
      <c r="F2" s="136"/>
      <c r="G2" s="138"/>
    </row>
    <row r="3" spans="2:7" ht="15.75" customHeight="1" x14ac:dyDescent="0.25">
      <c r="B3" s="260" t="s">
        <v>88</v>
      </c>
      <c r="C3" s="261"/>
      <c r="D3" s="261"/>
      <c r="E3" s="261"/>
      <c r="F3" s="264">
        <v>8.6999999999999993</v>
      </c>
      <c r="G3" s="266" t="s">
        <v>21</v>
      </c>
    </row>
    <row r="4" spans="2:7" ht="14.25" customHeight="1" x14ac:dyDescent="0.25">
      <c r="B4" s="262"/>
      <c r="C4" s="263"/>
      <c r="D4" s="263"/>
      <c r="E4" s="263"/>
      <c r="F4" s="265"/>
      <c r="G4" s="267"/>
    </row>
    <row r="5" spans="2:7" ht="15.75" customHeight="1" x14ac:dyDescent="0.3">
      <c r="B5" s="268" t="s">
        <v>89</v>
      </c>
      <c r="C5" s="63"/>
      <c r="D5" s="64"/>
      <c r="E5" s="65"/>
      <c r="F5" s="66"/>
      <c r="G5" s="67"/>
    </row>
    <row r="6" spans="2:7" x14ac:dyDescent="0.25">
      <c r="B6" s="269"/>
      <c r="C6" s="68" t="s">
        <v>97</v>
      </c>
      <c r="F6" s="70"/>
      <c r="G6" s="70"/>
    </row>
    <row r="7" spans="2:7" ht="15.75" x14ac:dyDescent="0.3">
      <c r="B7" s="269"/>
      <c r="C7" s="71" t="s">
        <v>98</v>
      </c>
      <c r="F7" s="72"/>
      <c r="G7" s="70"/>
    </row>
    <row r="8" spans="2:7" ht="15.75" x14ac:dyDescent="0.3">
      <c r="B8" s="269"/>
      <c r="C8" s="73"/>
      <c r="F8" s="70"/>
      <c r="G8" s="72"/>
    </row>
    <row r="9" spans="2:7" x14ac:dyDescent="0.25">
      <c r="B9" s="269"/>
      <c r="C9" s="68" t="s">
        <v>22</v>
      </c>
      <c r="F9" s="74"/>
      <c r="G9" s="70"/>
    </row>
    <row r="10" spans="2:7" ht="15.75" x14ac:dyDescent="0.3">
      <c r="B10" s="269"/>
      <c r="C10" s="71" t="s">
        <v>95</v>
      </c>
      <c r="F10" s="75"/>
      <c r="G10" s="70"/>
    </row>
    <row r="11" spans="2:7" ht="15.75" x14ac:dyDescent="0.3">
      <c r="B11" s="269"/>
      <c r="C11" s="71" t="s">
        <v>96</v>
      </c>
      <c r="F11" s="83"/>
      <c r="G11" s="70"/>
    </row>
    <row r="12" spans="2:7" ht="15.75" x14ac:dyDescent="0.3">
      <c r="B12" s="269"/>
      <c r="C12" s="68"/>
      <c r="D12" s="69"/>
      <c r="E12" s="69"/>
      <c r="F12" s="70"/>
      <c r="G12" s="70"/>
    </row>
    <row r="13" spans="2:7" ht="15.75" x14ac:dyDescent="0.3">
      <c r="B13" s="269"/>
      <c r="C13" s="79"/>
      <c r="D13" s="77"/>
      <c r="E13" s="77"/>
      <c r="F13" s="78"/>
      <c r="G13" s="70"/>
    </row>
    <row r="14" spans="2:7" x14ac:dyDescent="0.25">
      <c r="B14" s="269"/>
      <c r="C14" s="281" t="s">
        <v>23</v>
      </c>
      <c r="D14" s="282"/>
      <c r="E14" s="282"/>
      <c r="F14" s="282"/>
      <c r="G14" s="283"/>
    </row>
    <row r="15" spans="2:7" ht="15.75" customHeight="1" x14ac:dyDescent="0.3">
      <c r="B15" s="280"/>
      <c r="C15" s="294" t="s">
        <v>94</v>
      </c>
      <c r="D15" s="295"/>
      <c r="E15" s="295"/>
      <c r="F15" s="295"/>
      <c r="G15" s="296"/>
    </row>
    <row r="16" spans="2:7" ht="15" customHeight="1" x14ac:dyDescent="0.3">
      <c r="B16" s="270"/>
      <c r="C16" s="71"/>
      <c r="G16" s="70"/>
    </row>
    <row r="17" spans="2:10" ht="15" customHeight="1" x14ac:dyDescent="0.3">
      <c r="B17" s="270"/>
      <c r="C17" s="79"/>
      <c r="D17" s="77"/>
      <c r="E17" s="77"/>
      <c r="F17" s="77"/>
      <c r="G17" s="78"/>
    </row>
    <row r="18" spans="2:10" ht="15" customHeight="1" x14ac:dyDescent="0.25">
      <c r="B18" s="284" t="s">
        <v>24</v>
      </c>
      <c r="C18" s="285"/>
      <c r="D18" s="285"/>
      <c r="E18" s="285"/>
      <c r="F18" s="285"/>
      <c r="G18" s="286"/>
    </row>
    <row r="19" spans="2:10" ht="15.75" customHeight="1" x14ac:dyDescent="0.25">
      <c r="B19" s="287"/>
      <c r="C19" s="288"/>
      <c r="D19" s="288"/>
      <c r="E19" s="288"/>
      <c r="F19" s="288"/>
      <c r="G19" s="289"/>
      <c r="J19" s="80"/>
    </row>
    <row r="20" spans="2:10" ht="15" customHeight="1" x14ac:dyDescent="0.25">
      <c r="B20" s="139" t="s">
        <v>105</v>
      </c>
      <c r="C20" s="140"/>
      <c r="D20" s="140"/>
      <c r="E20" s="140"/>
      <c r="F20" s="297">
        <v>8.1</v>
      </c>
      <c r="G20" s="299" t="s">
        <v>21</v>
      </c>
    </row>
    <row r="21" spans="2:10" ht="16.5" customHeight="1" x14ac:dyDescent="0.25">
      <c r="B21" s="142"/>
      <c r="C21" s="198"/>
      <c r="D21" s="198"/>
      <c r="E21" s="198"/>
      <c r="F21" s="298"/>
      <c r="G21" s="300"/>
    </row>
    <row r="22" spans="2:10" ht="15.75" customHeight="1" x14ac:dyDescent="0.3">
      <c r="B22" s="147"/>
      <c r="C22" s="81"/>
      <c r="D22" s="82"/>
      <c r="E22" s="82"/>
      <c r="F22" s="66"/>
      <c r="G22" s="67"/>
    </row>
    <row r="23" spans="2:10" ht="15.75" x14ac:dyDescent="0.3">
      <c r="B23" s="148"/>
      <c r="C23" s="68" t="s">
        <v>22</v>
      </c>
      <c r="D23" s="69"/>
      <c r="E23" s="69"/>
      <c r="F23" s="70"/>
      <c r="G23" s="70"/>
    </row>
    <row r="24" spans="2:10" ht="15.75" x14ac:dyDescent="0.3">
      <c r="B24" s="148"/>
      <c r="C24" s="71" t="s">
        <v>92</v>
      </c>
      <c r="F24" s="72"/>
      <c r="G24" s="70"/>
    </row>
    <row r="25" spans="2:10" ht="15.75" x14ac:dyDescent="0.3">
      <c r="B25" s="148"/>
      <c r="C25" s="71" t="s">
        <v>93</v>
      </c>
      <c r="F25" s="70"/>
      <c r="G25" s="70"/>
    </row>
    <row r="26" spans="2:10" ht="15.75" x14ac:dyDescent="0.3">
      <c r="B26" s="148"/>
      <c r="C26" s="71"/>
      <c r="F26" s="70"/>
      <c r="G26" s="70"/>
    </row>
    <row r="27" spans="2:10" ht="15.75" customHeight="1" x14ac:dyDescent="0.25">
      <c r="B27" s="148"/>
      <c r="C27" s="68" t="s">
        <v>25</v>
      </c>
      <c r="F27" s="70"/>
      <c r="G27" s="70"/>
    </row>
    <row r="28" spans="2:10" ht="15.75" x14ac:dyDescent="0.3">
      <c r="B28" s="148"/>
      <c r="C28" s="71" t="s">
        <v>84</v>
      </c>
      <c r="D28" s="14"/>
      <c r="E28" s="14"/>
      <c r="F28" s="83"/>
      <c r="G28" s="70"/>
    </row>
    <row r="29" spans="2:10" ht="15.75" x14ac:dyDescent="0.3">
      <c r="B29" s="148"/>
      <c r="C29" s="71"/>
      <c r="E29" s="69"/>
      <c r="F29" s="72"/>
      <c r="G29" s="84"/>
    </row>
    <row r="30" spans="2:10" ht="15.75" customHeight="1" x14ac:dyDescent="0.3">
      <c r="B30" s="148"/>
      <c r="C30" s="71"/>
      <c r="D30" s="9"/>
      <c r="F30" s="70"/>
      <c r="G30" s="70"/>
    </row>
    <row r="31" spans="2:10" ht="15.75" customHeight="1" x14ac:dyDescent="0.25">
      <c r="B31" s="148"/>
      <c r="C31" s="272" t="s">
        <v>23</v>
      </c>
      <c r="D31" s="273"/>
      <c r="E31" s="273"/>
      <c r="F31" s="273"/>
      <c r="G31" s="274"/>
    </row>
    <row r="32" spans="2:10" ht="15.75" customHeight="1" x14ac:dyDescent="0.3">
      <c r="B32" s="148"/>
      <c r="C32" s="294" t="s">
        <v>91</v>
      </c>
      <c r="D32" s="295"/>
      <c r="E32" s="295"/>
      <c r="F32" s="295"/>
      <c r="G32" s="296"/>
    </row>
    <row r="33" spans="2:7" ht="15.75" customHeight="1" x14ac:dyDescent="0.3">
      <c r="B33" s="148"/>
      <c r="C33" s="71"/>
      <c r="G33" s="72"/>
    </row>
    <row r="34" spans="2:7" ht="15.75" x14ac:dyDescent="0.3">
      <c r="B34" s="292"/>
      <c r="C34" s="71"/>
      <c r="G34" s="70"/>
    </row>
    <row r="35" spans="2:7" ht="15.75" customHeight="1" x14ac:dyDescent="0.3">
      <c r="B35" s="293"/>
      <c r="C35" s="79"/>
      <c r="D35" s="77"/>
      <c r="E35" s="77"/>
      <c r="F35" s="77"/>
      <c r="G35" s="78"/>
    </row>
    <row r="36" spans="2:7" ht="15.75" customHeight="1" x14ac:dyDescent="0.25">
      <c r="B36" s="275" t="s">
        <v>26</v>
      </c>
      <c r="C36" s="276"/>
      <c r="D36" s="276"/>
      <c r="E36" s="278" t="s">
        <v>27</v>
      </c>
      <c r="F36" s="276"/>
      <c r="G36" s="279"/>
    </row>
    <row r="37" spans="2:7" ht="15.75" customHeight="1" x14ac:dyDescent="0.25">
      <c r="B37" s="277"/>
      <c r="C37" s="276"/>
      <c r="D37" s="276"/>
      <c r="E37" s="277"/>
      <c r="F37" s="276"/>
      <c r="G37" s="279"/>
    </row>
    <row r="38" spans="2:7" ht="15.75" customHeight="1" x14ac:dyDescent="0.25">
      <c r="B38" s="63"/>
      <c r="C38" s="82"/>
      <c r="D38" s="85"/>
      <c r="E38" s="63"/>
      <c r="F38" s="82"/>
      <c r="G38" s="85"/>
    </row>
    <row r="39" spans="2:7" ht="15.75" customHeight="1" x14ac:dyDescent="0.25">
      <c r="B39" s="73"/>
      <c r="D39" s="70"/>
      <c r="E39" s="73"/>
      <c r="G39" s="70"/>
    </row>
    <row r="40" spans="2:7" ht="15.75" customHeight="1" x14ac:dyDescent="0.25">
      <c r="B40" s="73"/>
      <c r="D40" s="70"/>
      <c r="E40" s="73"/>
      <c r="G40" s="70"/>
    </row>
    <row r="41" spans="2:7" ht="15.75" customHeight="1" x14ac:dyDescent="0.25">
      <c r="B41" s="73"/>
      <c r="D41" s="70"/>
      <c r="E41" s="73"/>
      <c r="G41" s="70"/>
    </row>
    <row r="42" spans="2:7" ht="15.75" customHeight="1" x14ac:dyDescent="0.25">
      <c r="B42" s="73"/>
      <c r="D42" s="70"/>
      <c r="E42" s="73"/>
      <c r="G42" s="70"/>
    </row>
    <row r="43" spans="2:7" ht="15.75" customHeight="1" x14ac:dyDescent="0.25">
      <c r="B43" s="73"/>
      <c r="D43" s="70"/>
      <c r="E43" s="73"/>
      <c r="G43" s="70"/>
    </row>
    <row r="44" spans="2:7" ht="15.75" customHeight="1" x14ac:dyDescent="0.25">
      <c r="B44" s="73"/>
      <c r="D44" s="70"/>
      <c r="E44" s="73"/>
      <c r="G44" s="70"/>
    </row>
    <row r="45" spans="2:7" ht="15.75" customHeight="1" x14ac:dyDescent="0.25">
      <c r="B45" s="73"/>
      <c r="D45" s="70"/>
      <c r="E45" s="73"/>
      <c r="G45" s="70"/>
    </row>
    <row r="46" spans="2:7" ht="15.75" customHeight="1" x14ac:dyDescent="0.25">
      <c r="B46" s="73"/>
      <c r="D46" s="70"/>
      <c r="E46" s="73"/>
      <c r="G46" s="70"/>
    </row>
    <row r="47" spans="2:7" x14ac:dyDescent="0.25">
      <c r="B47" s="73"/>
      <c r="D47" s="70"/>
      <c r="E47" s="73"/>
      <c r="G47" s="70"/>
    </row>
    <row r="48" spans="2:7" x14ac:dyDescent="0.25">
      <c r="B48" s="76"/>
      <c r="C48" s="77"/>
      <c r="D48" s="78"/>
      <c r="E48" s="76"/>
      <c r="F48" s="77"/>
      <c r="G48" s="78"/>
    </row>
  </sheetData>
  <mergeCells count="18">
    <mergeCell ref="B22:B35"/>
    <mergeCell ref="C31:G31"/>
    <mergeCell ref="B36:D37"/>
    <mergeCell ref="E36:G37"/>
    <mergeCell ref="C15:G15"/>
    <mergeCell ref="C32:G32"/>
    <mergeCell ref="B5:B17"/>
    <mergeCell ref="C14:G14"/>
    <mergeCell ref="B18:G19"/>
    <mergeCell ref="B20:E21"/>
    <mergeCell ref="F20:F21"/>
    <mergeCell ref="G20:G21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7C841-905F-4623-A2FB-054A732852EB}">
  <dimension ref="B1:J48"/>
  <sheetViews>
    <sheetView workbookViewId="0">
      <selection activeCell="C32" sqref="C32:G35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129" t="s">
        <v>20</v>
      </c>
      <c r="C1" s="130"/>
      <c r="D1" s="130"/>
      <c r="E1" s="133">
        <f>Kompetenzraster!Q9</f>
        <v>46440</v>
      </c>
      <c r="F1" s="134"/>
      <c r="G1" s="137">
        <v>3</v>
      </c>
    </row>
    <row r="2" spans="2:7" x14ac:dyDescent="0.25">
      <c r="B2" s="131"/>
      <c r="C2" s="132"/>
      <c r="D2" s="132"/>
      <c r="E2" s="135"/>
      <c r="F2" s="136"/>
      <c r="G2" s="138"/>
    </row>
    <row r="3" spans="2:7" ht="15.75" customHeight="1" x14ac:dyDescent="0.25">
      <c r="B3" s="260" t="s">
        <v>88</v>
      </c>
      <c r="C3" s="261"/>
      <c r="D3" s="261"/>
      <c r="E3" s="261"/>
      <c r="F3" s="264">
        <v>8.6999999999999993</v>
      </c>
      <c r="G3" s="266" t="s">
        <v>21</v>
      </c>
    </row>
    <row r="4" spans="2:7" ht="14.25" customHeight="1" x14ac:dyDescent="0.25">
      <c r="B4" s="262"/>
      <c r="C4" s="263"/>
      <c r="D4" s="263"/>
      <c r="E4" s="263"/>
      <c r="F4" s="265"/>
      <c r="G4" s="267"/>
    </row>
    <row r="5" spans="2:7" ht="15.75" customHeight="1" x14ac:dyDescent="0.3">
      <c r="B5" s="268" t="s">
        <v>89</v>
      </c>
      <c r="C5" s="63"/>
      <c r="D5" s="64"/>
      <c r="E5" s="65"/>
      <c r="F5" s="66"/>
      <c r="G5" s="67"/>
    </row>
    <row r="6" spans="2:7" x14ac:dyDescent="0.25">
      <c r="B6" s="269"/>
      <c r="C6" s="68" t="s">
        <v>22</v>
      </c>
      <c r="F6" s="70"/>
      <c r="G6" s="70"/>
    </row>
    <row r="7" spans="2:7" ht="15.75" x14ac:dyDescent="0.3">
      <c r="B7" s="269"/>
      <c r="C7" s="71" t="s">
        <v>95</v>
      </c>
      <c r="F7" s="72"/>
      <c r="G7" s="70"/>
    </row>
    <row r="8" spans="2:7" ht="15.75" x14ac:dyDescent="0.3">
      <c r="B8" s="269"/>
      <c r="C8" s="71" t="s">
        <v>96</v>
      </c>
      <c r="F8" s="70"/>
      <c r="G8" s="72"/>
    </row>
    <row r="9" spans="2:7" x14ac:dyDescent="0.25">
      <c r="B9" s="269"/>
      <c r="C9" s="73"/>
      <c r="F9" s="74"/>
      <c r="G9" s="70"/>
    </row>
    <row r="10" spans="2:7" x14ac:dyDescent="0.25">
      <c r="B10" s="269"/>
      <c r="C10" s="73"/>
      <c r="F10" s="75"/>
      <c r="G10" s="70"/>
    </row>
    <row r="11" spans="2:7" x14ac:dyDescent="0.25">
      <c r="B11" s="269"/>
      <c r="C11" s="73"/>
      <c r="F11" s="83"/>
      <c r="G11" s="70"/>
    </row>
    <row r="12" spans="2:7" ht="15.75" x14ac:dyDescent="0.3">
      <c r="B12" s="269"/>
      <c r="C12" s="68"/>
      <c r="D12" s="69"/>
      <c r="E12" s="69"/>
      <c r="F12" s="70"/>
      <c r="G12" s="70"/>
    </row>
    <row r="13" spans="2:7" ht="15.75" x14ac:dyDescent="0.3">
      <c r="B13" s="269"/>
      <c r="C13" s="79"/>
      <c r="D13" s="77"/>
      <c r="E13" s="77"/>
      <c r="F13" s="78"/>
      <c r="G13" s="70"/>
    </row>
    <row r="14" spans="2:7" x14ac:dyDescent="0.25">
      <c r="B14" s="269"/>
      <c r="C14" s="281" t="s">
        <v>23</v>
      </c>
      <c r="D14" s="282"/>
      <c r="E14" s="282"/>
      <c r="F14" s="282"/>
      <c r="G14" s="283"/>
    </row>
    <row r="15" spans="2:7" ht="15.75" customHeight="1" x14ac:dyDescent="0.3">
      <c r="B15" s="280"/>
      <c r="C15" s="294" t="s">
        <v>94</v>
      </c>
      <c r="D15" s="295"/>
      <c r="E15" s="295"/>
      <c r="F15" s="295"/>
      <c r="G15" s="296"/>
    </row>
    <row r="16" spans="2:7" ht="15" customHeight="1" x14ac:dyDescent="0.3">
      <c r="B16" s="270"/>
      <c r="C16" s="71"/>
      <c r="G16" s="70"/>
    </row>
    <row r="17" spans="2:10" ht="15" customHeight="1" x14ac:dyDescent="0.3">
      <c r="B17" s="270"/>
      <c r="C17" s="79"/>
      <c r="D17" s="77"/>
      <c r="E17" s="77"/>
      <c r="F17" s="77"/>
      <c r="G17" s="78"/>
    </row>
    <row r="18" spans="2:10" ht="15" customHeight="1" x14ac:dyDescent="0.25">
      <c r="B18" s="284" t="s">
        <v>24</v>
      </c>
      <c r="C18" s="285"/>
      <c r="D18" s="285"/>
      <c r="E18" s="285"/>
      <c r="F18" s="285"/>
      <c r="G18" s="286"/>
    </row>
    <row r="19" spans="2:10" ht="15.75" customHeight="1" x14ac:dyDescent="0.25">
      <c r="B19" s="287"/>
      <c r="C19" s="288"/>
      <c r="D19" s="288"/>
      <c r="E19" s="288"/>
      <c r="F19" s="288"/>
      <c r="G19" s="289"/>
      <c r="J19" s="80"/>
    </row>
    <row r="20" spans="2:10" ht="15" customHeight="1" x14ac:dyDescent="0.25">
      <c r="B20" s="139" t="s">
        <v>105</v>
      </c>
      <c r="C20" s="140"/>
      <c r="D20" s="140"/>
      <c r="E20" s="140"/>
      <c r="F20" s="297">
        <v>8.1</v>
      </c>
      <c r="G20" s="299" t="s">
        <v>21</v>
      </c>
    </row>
    <row r="21" spans="2:10" ht="16.5" customHeight="1" x14ac:dyDescent="0.25">
      <c r="B21" s="142"/>
      <c r="C21" s="198"/>
      <c r="D21" s="198"/>
      <c r="E21" s="198"/>
      <c r="F21" s="298"/>
      <c r="G21" s="300"/>
    </row>
    <row r="22" spans="2:10" ht="15.75" customHeight="1" x14ac:dyDescent="0.3">
      <c r="B22" s="147" t="s">
        <v>90</v>
      </c>
      <c r="C22" s="81"/>
      <c r="D22" s="82"/>
      <c r="E22" s="82"/>
      <c r="F22" s="66"/>
      <c r="G22" s="67"/>
    </row>
    <row r="23" spans="2:10" ht="15.75" x14ac:dyDescent="0.3">
      <c r="B23" s="148"/>
      <c r="C23" s="68" t="s">
        <v>25</v>
      </c>
      <c r="D23" s="69"/>
      <c r="E23" s="69"/>
      <c r="F23" s="70"/>
      <c r="G23" s="70"/>
    </row>
    <row r="24" spans="2:10" ht="15.75" x14ac:dyDescent="0.3">
      <c r="B24" s="148"/>
      <c r="C24" s="71" t="s">
        <v>99</v>
      </c>
      <c r="F24" s="72"/>
      <c r="G24" s="70"/>
    </row>
    <row r="25" spans="2:10" ht="15.75" x14ac:dyDescent="0.3">
      <c r="B25" s="148"/>
      <c r="C25" s="71" t="s">
        <v>100</v>
      </c>
      <c r="F25" s="70"/>
      <c r="G25" s="70"/>
    </row>
    <row r="26" spans="2:10" ht="15.75" x14ac:dyDescent="0.3">
      <c r="B26" s="148"/>
      <c r="C26" s="71"/>
      <c r="F26" s="70"/>
      <c r="G26" s="70"/>
    </row>
    <row r="27" spans="2:10" ht="15.75" customHeight="1" x14ac:dyDescent="0.25">
      <c r="B27" s="148"/>
      <c r="C27" s="68" t="s">
        <v>25</v>
      </c>
      <c r="F27" s="70"/>
      <c r="G27" s="70"/>
    </row>
    <row r="28" spans="2:10" ht="15.75" x14ac:dyDescent="0.3">
      <c r="B28" s="148"/>
      <c r="C28" s="71" t="s">
        <v>84</v>
      </c>
      <c r="D28" s="14"/>
      <c r="E28" s="14"/>
      <c r="F28" s="83"/>
      <c r="G28" s="70"/>
    </row>
    <row r="29" spans="2:10" ht="15.75" x14ac:dyDescent="0.3">
      <c r="B29" s="148"/>
      <c r="C29" s="71"/>
      <c r="E29" s="69"/>
      <c r="F29" s="72"/>
      <c r="G29" s="84"/>
    </row>
    <row r="30" spans="2:10" ht="15.75" customHeight="1" x14ac:dyDescent="0.3">
      <c r="B30" s="148"/>
      <c r="C30" s="71"/>
      <c r="D30" s="9"/>
      <c r="F30" s="70"/>
      <c r="G30" s="70"/>
    </row>
    <row r="31" spans="2:10" ht="15.75" customHeight="1" x14ac:dyDescent="0.25">
      <c r="B31" s="148"/>
      <c r="C31" s="272" t="s">
        <v>23</v>
      </c>
      <c r="D31" s="273"/>
      <c r="E31" s="273"/>
      <c r="F31" s="273"/>
      <c r="G31" s="274"/>
    </row>
    <row r="32" spans="2:10" ht="15.75" customHeight="1" x14ac:dyDescent="0.3">
      <c r="B32" s="148"/>
      <c r="C32" s="294" t="s">
        <v>91</v>
      </c>
      <c r="D32" s="295"/>
      <c r="E32" s="295"/>
      <c r="F32" s="295"/>
      <c r="G32" s="296"/>
    </row>
    <row r="33" spans="2:7" ht="15.75" customHeight="1" x14ac:dyDescent="0.3">
      <c r="B33" s="148"/>
      <c r="C33" s="71"/>
      <c r="G33" s="72"/>
    </row>
    <row r="34" spans="2:7" ht="15.75" x14ac:dyDescent="0.3">
      <c r="B34" s="292"/>
      <c r="C34" s="71"/>
      <c r="G34" s="70"/>
    </row>
    <row r="35" spans="2:7" ht="15.75" customHeight="1" x14ac:dyDescent="0.3">
      <c r="B35" s="293"/>
      <c r="C35" s="79"/>
      <c r="D35" s="77"/>
      <c r="E35" s="77"/>
      <c r="F35" s="77"/>
      <c r="G35" s="78"/>
    </row>
    <row r="36" spans="2:7" ht="15.75" customHeight="1" x14ac:dyDescent="0.25">
      <c r="B36" s="275" t="s">
        <v>26</v>
      </c>
      <c r="C36" s="276"/>
      <c r="D36" s="276"/>
      <c r="E36" s="278" t="s">
        <v>27</v>
      </c>
      <c r="F36" s="276"/>
      <c r="G36" s="279"/>
    </row>
    <row r="37" spans="2:7" ht="15.75" customHeight="1" x14ac:dyDescent="0.25">
      <c r="B37" s="277"/>
      <c r="C37" s="276"/>
      <c r="D37" s="276"/>
      <c r="E37" s="277"/>
      <c r="F37" s="276"/>
      <c r="G37" s="279"/>
    </row>
    <row r="38" spans="2:7" ht="15.75" customHeight="1" x14ac:dyDescent="0.25">
      <c r="B38" s="63"/>
      <c r="C38" s="82"/>
      <c r="D38" s="85"/>
      <c r="E38" s="63"/>
      <c r="F38" s="82"/>
      <c r="G38" s="85"/>
    </row>
    <row r="39" spans="2:7" ht="15.75" customHeight="1" x14ac:dyDescent="0.25">
      <c r="B39" s="73"/>
      <c r="D39" s="70"/>
      <c r="E39" s="73"/>
      <c r="G39" s="70"/>
    </row>
    <row r="40" spans="2:7" ht="15.75" customHeight="1" x14ac:dyDescent="0.25">
      <c r="B40" s="73"/>
      <c r="D40" s="70"/>
      <c r="E40" s="73"/>
      <c r="G40" s="70"/>
    </row>
    <row r="41" spans="2:7" ht="15.75" customHeight="1" x14ac:dyDescent="0.25">
      <c r="B41" s="73"/>
      <c r="D41" s="70"/>
      <c r="E41" s="73"/>
      <c r="G41" s="70"/>
    </row>
    <row r="42" spans="2:7" ht="15.75" customHeight="1" x14ac:dyDescent="0.25">
      <c r="B42" s="73"/>
      <c r="D42" s="70"/>
      <c r="E42" s="73"/>
      <c r="G42" s="70"/>
    </row>
    <row r="43" spans="2:7" ht="15.75" customHeight="1" x14ac:dyDescent="0.25">
      <c r="B43" s="73"/>
      <c r="D43" s="70"/>
      <c r="E43" s="73"/>
      <c r="G43" s="70"/>
    </row>
    <row r="44" spans="2:7" ht="15.75" customHeight="1" x14ac:dyDescent="0.25">
      <c r="B44" s="73"/>
      <c r="D44" s="70"/>
      <c r="E44" s="73"/>
      <c r="G44" s="70"/>
    </row>
    <row r="45" spans="2:7" ht="15.75" customHeight="1" x14ac:dyDescent="0.25">
      <c r="B45" s="73"/>
      <c r="D45" s="70"/>
      <c r="E45" s="73"/>
      <c r="G45" s="70"/>
    </row>
    <row r="46" spans="2:7" ht="15.75" customHeight="1" x14ac:dyDescent="0.25">
      <c r="B46" s="73"/>
      <c r="D46" s="70"/>
      <c r="E46" s="73"/>
      <c r="G46" s="70"/>
    </row>
    <row r="47" spans="2:7" x14ac:dyDescent="0.25">
      <c r="B47" s="73"/>
      <c r="D47" s="70"/>
      <c r="E47" s="73"/>
      <c r="G47" s="70"/>
    </row>
    <row r="48" spans="2:7" x14ac:dyDescent="0.25">
      <c r="B48" s="76"/>
      <c r="C48" s="77"/>
      <c r="D48" s="78"/>
      <c r="E48" s="76"/>
      <c r="F48" s="77"/>
      <c r="G48" s="78"/>
    </row>
  </sheetData>
  <mergeCells count="18">
    <mergeCell ref="B1:D2"/>
    <mergeCell ref="E1:F2"/>
    <mergeCell ref="G1:G2"/>
    <mergeCell ref="B3:E4"/>
    <mergeCell ref="F3:F4"/>
    <mergeCell ref="G3:G4"/>
    <mergeCell ref="B5:B17"/>
    <mergeCell ref="C14:G14"/>
    <mergeCell ref="C15:G15"/>
    <mergeCell ref="B18:G19"/>
    <mergeCell ref="B20:E21"/>
    <mergeCell ref="F20:F21"/>
    <mergeCell ref="G20:G21"/>
    <mergeCell ref="B22:B35"/>
    <mergeCell ref="C31:G31"/>
    <mergeCell ref="C32:G32"/>
    <mergeCell ref="B36:D37"/>
    <mergeCell ref="E36:G37"/>
  </mergeCells>
  <pageMargins left="0.25" right="0.25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3AA45-3CD2-4871-91A3-6E3CA89DEDBD}">
  <dimension ref="B1:J48"/>
  <sheetViews>
    <sheetView workbookViewId="0">
      <selection activeCell="G35" sqref="C32:G35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129" t="s">
        <v>20</v>
      </c>
      <c r="C1" s="130"/>
      <c r="D1" s="130"/>
      <c r="E1" s="133">
        <f>Kompetenzraster!Q9</f>
        <v>46440</v>
      </c>
      <c r="F1" s="134"/>
      <c r="G1" s="137">
        <v>4</v>
      </c>
    </row>
    <row r="2" spans="2:7" x14ac:dyDescent="0.25">
      <c r="B2" s="131"/>
      <c r="C2" s="132"/>
      <c r="D2" s="132"/>
      <c r="E2" s="135"/>
      <c r="F2" s="136"/>
      <c r="G2" s="138"/>
    </row>
    <row r="3" spans="2:7" ht="15.75" customHeight="1" x14ac:dyDescent="0.25">
      <c r="B3" s="260" t="s">
        <v>88</v>
      </c>
      <c r="C3" s="261"/>
      <c r="D3" s="261"/>
      <c r="E3" s="261"/>
      <c r="F3" s="264">
        <v>8.6999999999999993</v>
      </c>
      <c r="G3" s="266" t="s">
        <v>21</v>
      </c>
    </row>
    <row r="4" spans="2:7" ht="14.25" customHeight="1" x14ac:dyDescent="0.25">
      <c r="B4" s="262"/>
      <c r="C4" s="263"/>
      <c r="D4" s="263"/>
      <c r="E4" s="263"/>
      <c r="F4" s="265"/>
      <c r="G4" s="267"/>
    </row>
    <row r="5" spans="2:7" ht="15.75" customHeight="1" x14ac:dyDescent="0.3">
      <c r="B5" s="268" t="s">
        <v>89</v>
      </c>
      <c r="C5" s="63"/>
      <c r="D5" s="64"/>
      <c r="E5" s="65"/>
      <c r="F5" s="66"/>
      <c r="G5" s="67"/>
    </row>
    <row r="6" spans="2:7" x14ac:dyDescent="0.25">
      <c r="B6" s="269"/>
      <c r="C6" s="68" t="s">
        <v>22</v>
      </c>
      <c r="F6" s="70"/>
      <c r="G6" s="70"/>
    </row>
    <row r="7" spans="2:7" ht="15.75" x14ac:dyDescent="0.3">
      <c r="B7" s="269"/>
      <c r="C7" s="71" t="s">
        <v>95</v>
      </c>
      <c r="F7" s="72"/>
      <c r="G7" s="70"/>
    </row>
    <row r="8" spans="2:7" ht="15.75" x14ac:dyDescent="0.3">
      <c r="B8" s="269"/>
      <c r="C8" s="71" t="s">
        <v>96</v>
      </c>
      <c r="F8" s="70"/>
      <c r="G8" s="72"/>
    </row>
    <row r="9" spans="2:7" x14ac:dyDescent="0.25">
      <c r="B9" s="269"/>
      <c r="C9" s="73"/>
      <c r="F9" s="74"/>
      <c r="G9" s="70"/>
    </row>
    <row r="10" spans="2:7" x14ac:dyDescent="0.25">
      <c r="B10" s="269"/>
      <c r="C10" s="73"/>
      <c r="F10" s="75"/>
      <c r="G10" s="70"/>
    </row>
    <row r="11" spans="2:7" x14ac:dyDescent="0.25">
      <c r="B11" s="269"/>
      <c r="C11" s="73"/>
      <c r="F11" s="83"/>
      <c r="G11" s="102" t="s">
        <v>103</v>
      </c>
    </row>
    <row r="12" spans="2:7" ht="15.75" x14ac:dyDescent="0.3">
      <c r="B12" s="269"/>
      <c r="C12" s="68"/>
      <c r="D12" s="69"/>
      <c r="E12" s="69"/>
      <c r="F12" s="70"/>
      <c r="G12" s="70"/>
    </row>
    <row r="13" spans="2:7" ht="15.75" x14ac:dyDescent="0.3">
      <c r="B13" s="269"/>
      <c r="C13" s="79"/>
      <c r="D13" s="77"/>
      <c r="E13" s="77"/>
      <c r="F13" s="78"/>
      <c r="G13" s="78"/>
    </row>
    <row r="14" spans="2:7" x14ac:dyDescent="0.25">
      <c r="B14" s="269"/>
      <c r="C14" s="281" t="s">
        <v>23</v>
      </c>
      <c r="D14" s="282"/>
      <c r="E14" s="282"/>
      <c r="F14" s="282"/>
      <c r="G14" s="283"/>
    </row>
    <row r="15" spans="2:7" ht="15.75" customHeight="1" x14ac:dyDescent="0.3">
      <c r="B15" s="280"/>
      <c r="C15" s="294" t="s">
        <v>94</v>
      </c>
      <c r="D15" s="295"/>
      <c r="E15" s="295"/>
      <c r="F15" s="295"/>
      <c r="G15" s="296"/>
    </row>
    <row r="16" spans="2:7" ht="15" customHeight="1" x14ac:dyDescent="0.3">
      <c r="B16" s="270"/>
      <c r="C16" s="71"/>
      <c r="G16" s="70"/>
    </row>
    <row r="17" spans="2:10" ht="15" customHeight="1" x14ac:dyDescent="0.3">
      <c r="B17" s="270"/>
      <c r="C17" s="79"/>
      <c r="D17" s="77"/>
      <c r="E17" s="77"/>
      <c r="F17" s="77"/>
      <c r="G17" s="78"/>
    </row>
    <row r="18" spans="2:10" ht="15" customHeight="1" x14ac:dyDescent="0.25">
      <c r="B18" s="284" t="s">
        <v>24</v>
      </c>
      <c r="C18" s="285"/>
      <c r="D18" s="285"/>
      <c r="E18" s="285"/>
      <c r="F18" s="285"/>
      <c r="G18" s="286"/>
    </row>
    <row r="19" spans="2:10" ht="15.75" customHeight="1" x14ac:dyDescent="0.25">
      <c r="B19" s="287"/>
      <c r="C19" s="288"/>
      <c r="D19" s="288"/>
      <c r="E19" s="288"/>
      <c r="F19" s="288"/>
      <c r="G19" s="289"/>
      <c r="J19" s="80"/>
    </row>
    <row r="20" spans="2:10" ht="15" customHeight="1" x14ac:dyDescent="0.25">
      <c r="B20" s="139" t="s">
        <v>105</v>
      </c>
      <c r="C20" s="140"/>
      <c r="D20" s="140"/>
      <c r="E20" s="140"/>
      <c r="F20" s="297">
        <v>8.1</v>
      </c>
      <c r="G20" s="299" t="s">
        <v>21</v>
      </c>
    </row>
    <row r="21" spans="2:10" ht="16.5" customHeight="1" x14ac:dyDescent="0.25">
      <c r="B21" s="142"/>
      <c r="C21" s="198"/>
      <c r="D21" s="198"/>
      <c r="E21" s="198"/>
      <c r="F21" s="298"/>
      <c r="G21" s="300"/>
    </row>
    <row r="22" spans="2:10" ht="15.75" customHeight="1" x14ac:dyDescent="0.3">
      <c r="B22" s="147" t="s">
        <v>90</v>
      </c>
      <c r="C22" s="81"/>
      <c r="D22" s="82"/>
      <c r="E22" s="82"/>
      <c r="F22" s="66"/>
      <c r="G22" s="67"/>
    </row>
    <row r="23" spans="2:10" ht="15.75" x14ac:dyDescent="0.3">
      <c r="B23" s="148"/>
      <c r="C23" s="68" t="s">
        <v>25</v>
      </c>
      <c r="D23" s="69"/>
      <c r="E23" s="69"/>
      <c r="F23" s="70"/>
      <c r="G23" s="70"/>
    </row>
    <row r="24" spans="2:10" ht="15.75" x14ac:dyDescent="0.3">
      <c r="B24" s="148"/>
      <c r="C24" s="71" t="s">
        <v>101</v>
      </c>
      <c r="F24" s="72"/>
      <c r="G24" s="70"/>
    </row>
    <row r="25" spans="2:10" ht="15.75" x14ac:dyDescent="0.3">
      <c r="B25" s="148"/>
      <c r="C25" s="71" t="s">
        <v>102</v>
      </c>
      <c r="F25" s="70"/>
      <c r="G25" s="70"/>
    </row>
    <row r="26" spans="2:10" ht="15.75" x14ac:dyDescent="0.3">
      <c r="B26" s="148"/>
      <c r="C26" s="71"/>
      <c r="F26" s="70"/>
      <c r="G26" s="70"/>
    </row>
    <row r="27" spans="2:10" ht="15.75" customHeight="1" x14ac:dyDescent="0.25">
      <c r="B27" s="148"/>
      <c r="C27" s="68" t="s">
        <v>25</v>
      </c>
      <c r="F27" s="70"/>
      <c r="G27" s="70"/>
    </row>
    <row r="28" spans="2:10" ht="15.75" x14ac:dyDescent="0.3">
      <c r="B28" s="148"/>
      <c r="C28" s="71" t="s">
        <v>84</v>
      </c>
      <c r="D28" s="14"/>
      <c r="E28" s="14"/>
      <c r="F28" s="83"/>
      <c r="G28" s="102" t="s">
        <v>103</v>
      </c>
    </row>
    <row r="29" spans="2:10" ht="15.75" x14ac:dyDescent="0.3">
      <c r="B29" s="148"/>
      <c r="C29" s="71"/>
      <c r="E29" s="69"/>
      <c r="F29" s="72"/>
      <c r="G29" s="70"/>
    </row>
    <row r="30" spans="2:10" ht="15.75" customHeight="1" x14ac:dyDescent="0.3">
      <c r="B30" s="148"/>
      <c r="C30" s="71"/>
      <c r="D30" s="9"/>
      <c r="F30" s="70"/>
      <c r="G30" s="78"/>
    </row>
    <row r="31" spans="2:10" ht="15.75" customHeight="1" x14ac:dyDescent="0.25">
      <c r="B31" s="148"/>
      <c r="C31" s="272" t="s">
        <v>23</v>
      </c>
      <c r="D31" s="273"/>
      <c r="E31" s="273"/>
      <c r="F31" s="273"/>
      <c r="G31" s="274"/>
    </row>
    <row r="32" spans="2:10" ht="15.75" customHeight="1" x14ac:dyDescent="0.3">
      <c r="B32" s="148"/>
      <c r="C32" s="294" t="s">
        <v>91</v>
      </c>
      <c r="D32" s="295"/>
      <c r="E32" s="295"/>
      <c r="F32" s="295"/>
      <c r="G32" s="296"/>
    </row>
    <row r="33" spans="2:7" ht="15.75" customHeight="1" x14ac:dyDescent="0.3">
      <c r="B33" s="148"/>
      <c r="C33" s="71"/>
      <c r="G33" s="72"/>
    </row>
    <row r="34" spans="2:7" ht="15.75" x14ac:dyDescent="0.3">
      <c r="B34" s="292"/>
      <c r="C34" s="71"/>
      <c r="G34" s="70"/>
    </row>
    <row r="35" spans="2:7" ht="15.75" customHeight="1" x14ac:dyDescent="0.3">
      <c r="B35" s="293"/>
      <c r="C35" s="79"/>
      <c r="D35" s="77"/>
      <c r="E35" s="77"/>
      <c r="F35" s="77"/>
      <c r="G35" s="78"/>
    </row>
    <row r="36" spans="2:7" ht="15.75" customHeight="1" x14ac:dyDescent="0.25">
      <c r="B36" s="275" t="s">
        <v>26</v>
      </c>
      <c r="C36" s="276"/>
      <c r="D36" s="276"/>
      <c r="E36" s="278" t="s">
        <v>27</v>
      </c>
      <c r="F36" s="276"/>
      <c r="G36" s="279"/>
    </row>
    <row r="37" spans="2:7" ht="15.75" customHeight="1" x14ac:dyDescent="0.25">
      <c r="B37" s="277"/>
      <c r="C37" s="276"/>
      <c r="D37" s="276"/>
      <c r="E37" s="277"/>
      <c r="F37" s="276"/>
      <c r="G37" s="279"/>
    </row>
    <row r="38" spans="2:7" ht="15.75" customHeight="1" x14ac:dyDescent="0.25">
      <c r="B38" s="63"/>
      <c r="C38" s="82"/>
      <c r="D38" s="85"/>
      <c r="E38" s="63"/>
      <c r="F38" s="82"/>
      <c r="G38" s="85"/>
    </row>
    <row r="39" spans="2:7" ht="15.75" customHeight="1" x14ac:dyDescent="0.25">
      <c r="B39" s="73"/>
      <c r="D39" s="70"/>
      <c r="E39" s="73"/>
      <c r="G39" s="70"/>
    </row>
    <row r="40" spans="2:7" ht="15.75" customHeight="1" x14ac:dyDescent="0.25">
      <c r="B40" s="73"/>
      <c r="D40" s="70"/>
      <c r="E40" s="73"/>
      <c r="G40" s="70"/>
    </row>
    <row r="41" spans="2:7" ht="15.75" customHeight="1" x14ac:dyDescent="0.25">
      <c r="B41" s="73"/>
      <c r="D41" s="70"/>
      <c r="E41" s="73"/>
      <c r="G41" s="70"/>
    </row>
    <row r="42" spans="2:7" ht="15.75" customHeight="1" x14ac:dyDescent="0.25">
      <c r="B42" s="73"/>
      <c r="D42" s="70"/>
      <c r="E42" s="73"/>
      <c r="G42" s="70"/>
    </row>
    <row r="43" spans="2:7" ht="15.75" customHeight="1" x14ac:dyDescent="0.25">
      <c r="B43" s="73"/>
      <c r="D43" s="70"/>
      <c r="E43" s="73"/>
      <c r="G43" s="70"/>
    </row>
    <row r="44" spans="2:7" ht="15.75" customHeight="1" x14ac:dyDescent="0.25">
      <c r="B44" s="73"/>
      <c r="D44" s="70"/>
      <c r="E44" s="73"/>
      <c r="G44" s="70"/>
    </row>
    <row r="45" spans="2:7" ht="15.75" customHeight="1" x14ac:dyDescent="0.25">
      <c r="B45" s="73"/>
      <c r="D45" s="70"/>
      <c r="E45" s="73"/>
      <c r="G45" s="70"/>
    </row>
    <row r="46" spans="2:7" ht="15.75" customHeight="1" x14ac:dyDescent="0.25">
      <c r="B46" s="73"/>
      <c r="D46" s="70"/>
      <c r="E46" s="73"/>
      <c r="G46" s="70"/>
    </row>
    <row r="47" spans="2:7" x14ac:dyDescent="0.25">
      <c r="B47" s="73"/>
      <c r="D47" s="70"/>
      <c r="E47" s="73"/>
      <c r="G47" s="70"/>
    </row>
    <row r="48" spans="2:7" x14ac:dyDescent="0.25">
      <c r="B48" s="76"/>
      <c r="C48" s="77"/>
      <c r="D48" s="78"/>
      <c r="E48" s="76"/>
      <c r="F48" s="77"/>
      <c r="G48" s="78"/>
    </row>
  </sheetData>
  <mergeCells count="18">
    <mergeCell ref="B1:D2"/>
    <mergeCell ref="E1:F2"/>
    <mergeCell ref="G1:G2"/>
    <mergeCell ref="B3:E4"/>
    <mergeCell ref="F3:F4"/>
    <mergeCell ref="G3:G4"/>
    <mergeCell ref="B5:B17"/>
    <mergeCell ref="C14:G14"/>
    <mergeCell ref="C15:G15"/>
    <mergeCell ref="B18:G19"/>
    <mergeCell ref="B20:E21"/>
    <mergeCell ref="F20:F21"/>
    <mergeCell ref="G20:G21"/>
    <mergeCell ref="B22:B35"/>
    <mergeCell ref="C31:G31"/>
    <mergeCell ref="C32:G32"/>
    <mergeCell ref="B36:D37"/>
    <mergeCell ref="E36:G37"/>
  </mergeCells>
  <pageMargins left="0.25" right="0.25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904E7-49AB-470C-8EA2-99CC5CC9525F}">
  <dimension ref="B1:J48"/>
  <sheetViews>
    <sheetView workbookViewId="0">
      <selection activeCell="F13" sqref="F13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129" t="s">
        <v>20</v>
      </c>
      <c r="C1" s="130"/>
      <c r="D1" s="130"/>
      <c r="E1" s="133">
        <f>Kompetenzraster!Q13</f>
        <v>46454</v>
      </c>
      <c r="F1" s="134"/>
      <c r="G1" s="137">
        <v>5</v>
      </c>
    </row>
    <row r="2" spans="2:7" x14ac:dyDescent="0.25">
      <c r="B2" s="131"/>
      <c r="C2" s="132"/>
      <c r="D2" s="132"/>
      <c r="E2" s="135"/>
      <c r="F2" s="136"/>
      <c r="G2" s="138"/>
    </row>
    <row r="3" spans="2:7" ht="15.75" customHeight="1" x14ac:dyDescent="0.25">
      <c r="B3" s="260" t="s">
        <v>88</v>
      </c>
      <c r="C3" s="261"/>
      <c r="D3" s="261"/>
      <c r="E3" s="261"/>
      <c r="F3" s="264">
        <v>8.8000000000000007</v>
      </c>
      <c r="G3" s="266" t="s">
        <v>21</v>
      </c>
    </row>
    <row r="4" spans="2:7" ht="14.25" customHeight="1" x14ac:dyDescent="0.25">
      <c r="B4" s="262"/>
      <c r="C4" s="263"/>
      <c r="D4" s="263"/>
      <c r="E4" s="263"/>
      <c r="F4" s="265"/>
      <c r="G4" s="267"/>
    </row>
    <row r="5" spans="2:7" ht="15.75" customHeight="1" x14ac:dyDescent="0.25">
      <c r="B5" s="268" t="s">
        <v>89</v>
      </c>
      <c r="C5" s="103" t="s">
        <v>104</v>
      </c>
      <c r="D5" s="104"/>
      <c r="E5" s="104"/>
      <c r="F5" s="105" t="s">
        <v>111</v>
      </c>
      <c r="G5" s="67"/>
    </row>
    <row r="6" spans="2:7" x14ac:dyDescent="0.25">
      <c r="B6" s="269"/>
      <c r="C6" s="103" t="s">
        <v>107</v>
      </c>
      <c r="D6" s="104"/>
      <c r="E6" s="104"/>
      <c r="F6" s="105" t="s">
        <v>106</v>
      </c>
      <c r="G6" s="70"/>
    </row>
    <row r="7" spans="2:7" ht="15.75" x14ac:dyDescent="0.3">
      <c r="B7" s="269"/>
      <c r="C7" s="73"/>
      <c r="F7" s="72"/>
      <c r="G7" s="70"/>
    </row>
    <row r="8" spans="2:7" ht="15.75" x14ac:dyDescent="0.3">
      <c r="B8" s="269"/>
      <c r="C8" s="68" t="s">
        <v>22</v>
      </c>
      <c r="F8" s="70"/>
      <c r="G8" s="72"/>
    </row>
    <row r="9" spans="2:7" ht="15.75" x14ac:dyDescent="0.3">
      <c r="B9" s="269"/>
      <c r="C9" s="71" t="s">
        <v>95</v>
      </c>
      <c r="F9" s="74"/>
      <c r="G9" s="70"/>
    </row>
    <row r="10" spans="2:7" ht="15.75" x14ac:dyDescent="0.3">
      <c r="B10" s="269"/>
      <c r="C10" s="71" t="s">
        <v>110</v>
      </c>
      <c r="F10" s="75"/>
      <c r="G10" s="70"/>
    </row>
    <row r="11" spans="2:7" x14ac:dyDescent="0.25">
      <c r="B11" s="269"/>
      <c r="C11" s="73"/>
      <c r="F11" s="83"/>
      <c r="G11" s="102"/>
    </row>
    <row r="12" spans="2:7" ht="15.75" x14ac:dyDescent="0.3">
      <c r="B12" s="269"/>
      <c r="C12" s="68"/>
      <c r="D12" s="69"/>
      <c r="E12" s="69"/>
      <c r="F12" s="70"/>
      <c r="G12" s="70"/>
    </row>
    <row r="13" spans="2:7" ht="15.75" x14ac:dyDescent="0.3">
      <c r="B13" s="269"/>
      <c r="C13" s="79"/>
      <c r="D13" s="77"/>
      <c r="E13" s="77"/>
      <c r="F13" s="78"/>
      <c r="G13" s="78"/>
    </row>
    <row r="14" spans="2:7" x14ac:dyDescent="0.25">
      <c r="B14" s="269"/>
      <c r="C14" s="281" t="s">
        <v>23</v>
      </c>
      <c r="D14" s="282"/>
      <c r="E14" s="282"/>
      <c r="F14" s="282"/>
      <c r="G14" s="283"/>
    </row>
    <row r="15" spans="2:7" ht="15.75" customHeight="1" x14ac:dyDescent="0.3">
      <c r="B15" s="280"/>
      <c r="C15" s="294" t="s">
        <v>94</v>
      </c>
      <c r="D15" s="295"/>
      <c r="E15" s="295"/>
      <c r="F15" s="295"/>
      <c r="G15" s="296"/>
    </row>
    <row r="16" spans="2:7" ht="15" customHeight="1" x14ac:dyDescent="0.3">
      <c r="B16" s="270"/>
      <c r="C16" s="71"/>
      <c r="G16" s="70"/>
    </row>
    <row r="17" spans="2:10" ht="15" customHeight="1" x14ac:dyDescent="0.3">
      <c r="B17" s="270"/>
      <c r="C17" s="79"/>
      <c r="D17" s="77"/>
      <c r="E17" s="77"/>
      <c r="F17" s="77"/>
      <c r="G17" s="78"/>
    </row>
    <row r="18" spans="2:10" ht="15" customHeight="1" x14ac:dyDescent="0.25">
      <c r="B18" s="284" t="s">
        <v>24</v>
      </c>
      <c r="C18" s="285"/>
      <c r="D18" s="285"/>
      <c r="E18" s="285"/>
      <c r="F18" s="285"/>
      <c r="G18" s="286"/>
    </row>
    <row r="19" spans="2:10" ht="15.75" customHeight="1" x14ac:dyDescent="0.25">
      <c r="B19" s="287"/>
      <c r="C19" s="288"/>
      <c r="D19" s="288"/>
      <c r="E19" s="288"/>
      <c r="F19" s="288"/>
      <c r="G19" s="289"/>
      <c r="J19" s="80"/>
    </row>
    <row r="20" spans="2:10" ht="15" customHeight="1" x14ac:dyDescent="0.25">
      <c r="B20" s="139" t="s">
        <v>105</v>
      </c>
      <c r="C20" s="140"/>
      <c r="D20" s="140"/>
      <c r="E20" s="140"/>
      <c r="F20" s="297">
        <v>8.1999999999999993</v>
      </c>
      <c r="G20" s="299" t="s">
        <v>21</v>
      </c>
    </row>
    <row r="21" spans="2:10" ht="16.5" customHeight="1" x14ac:dyDescent="0.25">
      <c r="B21" s="142"/>
      <c r="C21" s="143"/>
      <c r="D21" s="143"/>
      <c r="E21" s="143"/>
      <c r="F21" s="298"/>
      <c r="G21" s="300"/>
    </row>
    <row r="22" spans="2:10" ht="15.75" customHeight="1" x14ac:dyDescent="0.25">
      <c r="B22" s="147" t="s">
        <v>90</v>
      </c>
      <c r="C22" s="63"/>
      <c r="D22" s="82"/>
      <c r="E22" s="82"/>
      <c r="F22" s="85"/>
      <c r="G22" s="67"/>
    </row>
    <row r="23" spans="2:10" ht="15.75" x14ac:dyDescent="0.3">
      <c r="B23" s="148"/>
      <c r="C23" s="68" t="s">
        <v>22</v>
      </c>
      <c r="D23" s="69"/>
      <c r="E23" s="69"/>
      <c r="F23" s="70"/>
      <c r="G23" s="70"/>
    </row>
    <row r="24" spans="2:10" ht="15.75" x14ac:dyDescent="0.3">
      <c r="B24" s="148"/>
      <c r="C24" s="71" t="s">
        <v>108</v>
      </c>
      <c r="F24" s="72"/>
      <c r="G24" s="70"/>
    </row>
    <row r="25" spans="2:10" ht="15.75" x14ac:dyDescent="0.3">
      <c r="B25" s="148"/>
      <c r="C25" s="71" t="s">
        <v>109</v>
      </c>
      <c r="F25" s="70"/>
      <c r="G25" s="70"/>
    </row>
    <row r="26" spans="2:10" x14ac:dyDescent="0.25">
      <c r="B26" s="148"/>
      <c r="C26" s="73"/>
      <c r="F26" s="70"/>
      <c r="G26" s="70"/>
    </row>
    <row r="27" spans="2:10" ht="15.75" customHeight="1" x14ac:dyDescent="0.3">
      <c r="B27" s="148"/>
      <c r="C27" s="71"/>
      <c r="F27" s="70"/>
      <c r="G27" s="70"/>
    </row>
    <row r="28" spans="2:10" x14ac:dyDescent="0.25">
      <c r="B28" s="148"/>
      <c r="C28" s="68"/>
      <c r="D28" s="14"/>
      <c r="E28" s="14"/>
      <c r="F28" s="83"/>
      <c r="G28" s="84"/>
    </row>
    <row r="29" spans="2:10" ht="15.75" x14ac:dyDescent="0.3">
      <c r="B29" s="148"/>
      <c r="C29" s="71"/>
      <c r="E29" s="69"/>
      <c r="F29" s="72"/>
      <c r="G29" s="70"/>
    </row>
    <row r="30" spans="2:10" ht="15.75" customHeight="1" x14ac:dyDescent="0.3">
      <c r="B30" s="148"/>
      <c r="C30" s="79"/>
      <c r="D30" s="106"/>
      <c r="E30" s="77"/>
      <c r="F30" s="78"/>
      <c r="G30" s="78"/>
    </row>
    <row r="31" spans="2:10" ht="15.75" customHeight="1" x14ac:dyDescent="0.25">
      <c r="B31" s="148"/>
      <c r="C31" s="272" t="s">
        <v>23</v>
      </c>
      <c r="D31" s="273"/>
      <c r="E31" s="273"/>
      <c r="F31" s="273"/>
      <c r="G31" s="274"/>
    </row>
    <row r="32" spans="2:10" ht="15.75" customHeight="1" x14ac:dyDescent="0.3">
      <c r="B32" s="148"/>
      <c r="C32" s="294" t="s">
        <v>91</v>
      </c>
      <c r="D32" s="295"/>
      <c r="E32" s="295"/>
      <c r="F32" s="295"/>
      <c r="G32" s="296"/>
    </row>
    <row r="33" spans="2:7" ht="15.75" customHeight="1" x14ac:dyDescent="0.3">
      <c r="B33" s="148"/>
      <c r="C33" s="71"/>
      <c r="G33" s="72"/>
    </row>
    <row r="34" spans="2:7" ht="15.75" x14ac:dyDescent="0.3">
      <c r="B34" s="292"/>
      <c r="C34" s="71"/>
      <c r="G34" s="70"/>
    </row>
    <row r="35" spans="2:7" ht="15.75" customHeight="1" x14ac:dyDescent="0.3">
      <c r="B35" s="293"/>
      <c r="C35" s="79"/>
      <c r="D35" s="77"/>
      <c r="E35" s="77"/>
      <c r="F35" s="77"/>
      <c r="G35" s="78"/>
    </row>
    <row r="36" spans="2:7" ht="15.75" customHeight="1" x14ac:dyDescent="0.25">
      <c r="B36" s="275" t="s">
        <v>26</v>
      </c>
      <c r="C36" s="276"/>
      <c r="D36" s="276"/>
      <c r="E36" s="278" t="s">
        <v>27</v>
      </c>
      <c r="F36" s="276"/>
      <c r="G36" s="279"/>
    </row>
    <row r="37" spans="2:7" ht="15.75" customHeight="1" x14ac:dyDescent="0.25">
      <c r="B37" s="277"/>
      <c r="C37" s="276"/>
      <c r="D37" s="276"/>
      <c r="E37" s="277"/>
      <c r="F37" s="276"/>
      <c r="G37" s="279"/>
    </row>
    <row r="38" spans="2:7" ht="15.75" customHeight="1" x14ac:dyDescent="0.25">
      <c r="B38" s="63"/>
      <c r="C38" s="82"/>
      <c r="D38" s="85"/>
      <c r="E38" s="63"/>
      <c r="F38" s="82"/>
      <c r="G38" s="85"/>
    </row>
    <row r="39" spans="2:7" ht="15.75" customHeight="1" x14ac:dyDescent="0.25">
      <c r="B39" s="73"/>
      <c r="D39" s="70"/>
      <c r="E39" s="73"/>
      <c r="G39" s="70"/>
    </row>
    <row r="40" spans="2:7" ht="15.75" customHeight="1" x14ac:dyDescent="0.25">
      <c r="B40" s="73"/>
      <c r="D40" s="70"/>
      <c r="E40" s="73"/>
      <c r="G40" s="70"/>
    </row>
    <row r="41" spans="2:7" ht="15.75" customHeight="1" x14ac:dyDescent="0.25">
      <c r="B41" s="73"/>
      <c r="D41" s="70"/>
      <c r="E41" s="73"/>
      <c r="G41" s="70"/>
    </row>
    <row r="42" spans="2:7" ht="15.75" customHeight="1" x14ac:dyDescent="0.25">
      <c r="B42" s="73"/>
      <c r="D42" s="70"/>
      <c r="E42" s="73"/>
      <c r="G42" s="70"/>
    </row>
    <row r="43" spans="2:7" ht="15.75" customHeight="1" x14ac:dyDescent="0.25">
      <c r="B43" s="73"/>
      <c r="D43" s="70"/>
      <c r="E43" s="73"/>
      <c r="G43" s="70"/>
    </row>
    <row r="44" spans="2:7" ht="15.75" customHeight="1" x14ac:dyDescent="0.25">
      <c r="B44" s="73"/>
      <c r="D44" s="70"/>
      <c r="E44" s="73"/>
      <c r="G44" s="70"/>
    </row>
    <row r="45" spans="2:7" ht="15.75" customHeight="1" x14ac:dyDescent="0.25">
      <c r="B45" s="73"/>
      <c r="D45" s="70"/>
      <c r="E45" s="73"/>
      <c r="G45" s="70"/>
    </row>
    <row r="46" spans="2:7" ht="15.75" customHeight="1" x14ac:dyDescent="0.25">
      <c r="B46" s="73"/>
      <c r="D46" s="70"/>
      <c r="E46" s="73"/>
      <c r="G46" s="70"/>
    </row>
    <row r="47" spans="2:7" x14ac:dyDescent="0.25">
      <c r="B47" s="73"/>
      <c r="D47" s="70"/>
      <c r="E47" s="73"/>
      <c r="G47" s="70"/>
    </row>
    <row r="48" spans="2:7" x14ac:dyDescent="0.25">
      <c r="B48" s="76"/>
      <c r="C48" s="77"/>
      <c r="D48" s="78"/>
      <c r="E48" s="76"/>
      <c r="F48" s="77"/>
      <c r="G48" s="78"/>
    </row>
  </sheetData>
  <mergeCells count="18">
    <mergeCell ref="B1:D2"/>
    <mergeCell ref="E1:F2"/>
    <mergeCell ref="G1:G2"/>
    <mergeCell ref="B3:E4"/>
    <mergeCell ref="F3:F4"/>
    <mergeCell ref="G3:G4"/>
    <mergeCell ref="B5:B17"/>
    <mergeCell ref="C14:G14"/>
    <mergeCell ref="C15:G15"/>
    <mergeCell ref="B18:G19"/>
    <mergeCell ref="B20:E21"/>
    <mergeCell ref="F20:F21"/>
    <mergeCell ref="G20:G21"/>
    <mergeCell ref="B22:B35"/>
    <mergeCell ref="C31:G31"/>
    <mergeCell ref="C32:G32"/>
    <mergeCell ref="B36:D37"/>
    <mergeCell ref="E36:G37"/>
  </mergeCells>
  <pageMargins left="0.25" right="0.25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6485A-C962-4FF7-9C48-5B62EF9E8EF7}">
  <dimension ref="B1:J48"/>
  <sheetViews>
    <sheetView workbookViewId="0">
      <selection activeCell="K12" sqref="K12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129" t="s">
        <v>20</v>
      </c>
      <c r="C1" s="130"/>
      <c r="D1" s="130"/>
      <c r="E1" s="133">
        <f>Kompetenzraster!Q15</f>
        <v>46461</v>
      </c>
      <c r="F1" s="134"/>
      <c r="G1" s="137">
        <v>6</v>
      </c>
    </row>
    <row r="2" spans="2:7" x14ac:dyDescent="0.25">
      <c r="B2" s="131"/>
      <c r="C2" s="132"/>
      <c r="D2" s="132"/>
      <c r="E2" s="135"/>
      <c r="F2" s="136"/>
      <c r="G2" s="138"/>
    </row>
    <row r="3" spans="2:7" ht="15.75" customHeight="1" x14ac:dyDescent="0.25">
      <c r="B3" s="260" t="s">
        <v>88</v>
      </c>
      <c r="C3" s="261"/>
      <c r="D3" s="261"/>
      <c r="E3" s="261"/>
      <c r="F3" s="264">
        <v>8.8000000000000007</v>
      </c>
      <c r="G3" s="266" t="s">
        <v>21</v>
      </c>
    </row>
    <row r="4" spans="2:7" ht="14.25" customHeight="1" x14ac:dyDescent="0.25">
      <c r="B4" s="262"/>
      <c r="C4" s="301"/>
      <c r="D4" s="301"/>
      <c r="E4" s="301"/>
      <c r="F4" s="265"/>
      <c r="G4" s="267"/>
    </row>
    <row r="5" spans="2:7" ht="15.75" customHeight="1" x14ac:dyDescent="0.25">
      <c r="B5" s="268" t="s">
        <v>89</v>
      </c>
      <c r="C5" s="107"/>
      <c r="D5" s="108"/>
      <c r="E5" s="108"/>
      <c r="F5" s="109"/>
      <c r="G5" s="67"/>
    </row>
    <row r="6" spans="2:7" x14ac:dyDescent="0.25">
      <c r="B6" s="269"/>
      <c r="C6" s="68" t="s">
        <v>25</v>
      </c>
      <c r="F6" s="110"/>
      <c r="G6" s="70"/>
    </row>
    <row r="7" spans="2:7" ht="15.75" x14ac:dyDescent="0.3">
      <c r="B7" s="269"/>
      <c r="C7" s="71" t="s">
        <v>95</v>
      </c>
      <c r="F7" s="72"/>
      <c r="G7" s="70"/>
    </row>
    <row r="8" spans="2:7" ht="15.75" x14ac:dyDescent="0.3">
      <c r="B8" s="269"/>
      <c r="C8" s="71" t="s">
        <v>112</v>
      </c>
      <c r="F8" s="70"/>
      <c r="G8" s="72"/>
    </row>
    <row r="9" spans="2:7" x14ac:dyDescent="0.25">
      <c r="B9" s="269"/>
      <c r="C9" s="73"/>
      <c r="F9" s="74"/>
      <c r="G9" s="70"/>
    </row>
    <row r="10" spans="2:7" x14ac:dyDescent="0.25">
      <c r="B10" s="269"/>
      <c r="C10" s="73"/>
      <c r="F10" s="75"/>
      <c r="G10" s="70"/>
    </row>
    <row r="11" spans="2:7" x14ac:dyDescent="0.25">
      <c r="B11" s="269"/>
      <c r="C11" s="73"/>
      <c r="F11" s="83"/>
      <c r="G11" s="84"/>
    </row>
    <row r="12" spans="2:7" ht="15.75" x14ac:dyDescent="0.3">
      <c r="B12" s="269"/>
      <c r="C12" s="68"/>
      <c r="D12" s="69"/>
      <c r="E12" s="69"/>
      <c r="F12" s="70"/>
      <c r="G12" s="70"/>
    </row>
    <row r="13" spans="2:7" ht="15.75" x14ac:dyDescent="0.3">
      <c r="B13" s="269"/>
      <c r="C13" s="79"/>
      <c r="D13" s="77"/>
      <c r="E13" s="77"/>
      <c r="F13" s="78"/>
      <c r="G13" s="78"/>
    </row>
    <row r="14" spans="2:7" x14ac:dyDescent="0.25">
      <c r="B14" s="269"/>
      <c r="C14" s="281" t="s">
        <v>23</v>
      </c>
      <c r="D14" s="282"/>
      <c r="E14" s="282"/>
      <c r="F14" s="282"/>
      <c r="G14" s="283"/>
    </row>
    <row r="15" spans="2:7" ht="15.75" customHeight="1" x14ac:dyDescent="0.3">
      <c r="B15" s="280"/>
      <c r="C15" s="294" t="s">
        <v>94</v>
      </c>
      <c r="D15" s="295"/>
      <c r="E15" s="295"/>
      <c r="F15" s="295"/>
      <c r="G15" s="296"/>
    </row>
    <row r="16" spans="2:7" ht="15" customHeight="1" x14ac:dyDescent="0.3">
      <c r="B16" s="270"/>
      <c r="C16" s="71"/>
      <c r="G16" s="70"/>
    </row>
    <row r="17" spans="2:10" ht="15" customHeight="1" x14ac:dyDescent="0.3">
      <c r="B17" s="270"/>
      <c r="C17" s="79"/>
      <c r="D17" s="77"/>
      <c r="E17" s="77"/>
      <c r="F17" s="77"/>
      <c r="G17" s="78"/>
    </row>
    <row r="18" spans="2:10" ht="15" customHeight="1" x14ac:dyDescent="0.25">
      <c r="B18" s="284" t="s">
        <v>24</v>
      </c>
      <c r="C18" s="285"/>
      <c r="D18" s="285"/>
      <c r="E18" s="285"/>
      <c r="F18" s="285"/>
      <c r="G18" s="286"/>
    </row>
    <row r="19" spans="2:10" ht="15.75" customHeight="1" x14ac:dyDescent="0.25">
      <c r="B19" s="287"/>
      <c r="C19" s="288"/>
      <c r="D19" s="288"/>
      <c r="E19" s="288"/>
      <c r="F19" s="288"/>
      <c r="G19" s="289"/>
      <c r="J19" s="80"/>
    </row>
    <row r="20" spans="2:10" ht="15" customHeight="1" x14ac:dyDescent="0.25">
      <c r="B20" s="139" t="s">
        <v>105</v>
      </c>
      <c r="C20" s="140"/>
      <c r="D20" s="140"/>
      <c r="E20" s="140"/>
      <c r="F20" s="297">
        <v>8.1999999999999993</v>
      </c>
      <c r="G20" s="299" t="s">
        <v>21</v>
      </c>
    </row>
    <row r="21" spans="2:10" ht="16.5" customHeight="1" x14ac:dyDescent="0.25">
      <c r="B21" s="142"/>
      <c r="C21" s="143"/>
      <c r="D21" s="143"/>
      <c r="E21" s="143"/>
      <c r="F21" s="298"/>
      <c r="G21" s="300"/>
    </row>
    <row r="22" spans="2:10" ht="15.75" customHeight="1" x14ac:dyDescent="0.25">
      <c r="B22" s="147" t="s">
        <v>90</v>
      </c>
      <c r="C22" s="63"/>
      <c r="D22" s="82"/>
      <c r="E22" s="82"/>
      <c r="F22" s="85"/>
      <c r="G22" s="67"/>
    </row>
    <row r="23" spans="2:10" ht="15.75" x14ac:dyDescent="0.3">
      <c r="B23" s="148"/>
      <c r="C23" s="68" t="s">
        <v>25</v>
      </c>
      <c r="D23" s="69"/>
      <c r="E23" s="69"/>
      <c r="F23" s="70"/>
      <c r="G23" s="70"/>
    </row>
    <row r="24" spans="2:10" ht="15.75" x14ac:dyDescent="0.3">
      <c r="B24" s="148"/>
      <c r="C24" s="71" t="s">
        <v>113</v>
      </c>
      <c r="F24" s="72"/>
      <c r="G24" s="70"/>
    </row>
    <row r="25" spans="2:10" ht="15.75" x14ac:dyDescent="0.3">
      <c r="B25" s="148"/>
      <c r="C25" s="71" t="s">
        <v>115</v>
      </c>
      <c r="F25" s="70"/>
      <c r="G25" s="70"/>
    </row>
    <row r="26" spans="2:10" ht="15.75" x14ac:dyDescent="0.3">
      <c r="B26" s="148"/>
      <c r="C26" s="71" t="s">
        <v>114</v>
      </c>
      <c r="F26" s="70"/>
      <c r="G26" s="70"/>
    </row>
    <row r="27" spans="2:10" ht="15.75" customHeight="1" x14ac:dyDescent="0.3">
      <c r="B27" s="148"/>
      <c r="C27" s="71"/>
      <c r="F27" s="70"/>
      <c r="G27" s="70"/>
    </row>
    <row r="28" spans="2:10" x14ac:dyDescent="0.25">
      <c r="B28" s="148"/>
      <c r="C28" s="68"/>
      <c r="D28" s="14"/>
      <c r="E28" s="14"/>
      <c r="F28" s="83"/>
      <c r="G28" s="84"/>
    </row>
    <row r="29" spans="2:10" ht="15.75" x14ac:dyDescent="0.3">
      <c r="B29" s="148"/>
      <c r="C29" s="71"/>
      <c r="E29" s="69"/>
      <c r="F29" s="72"/>
      <c r="G29" s="70"/>
    </row>
    <row r="30" spans="2:10" ht="15.75" customHeight="1" x14ac:dyDescent="0.3">
      <c r="B30" s="148"/>
      <c r="C30" s="79"/>
      <c r="D30" s="106"/>
      <c r="E30" s="77"/>
      <c r="F30" s="78"/>
      <c r="G30" s="78"/>
    </row>
    <row r="31" spans="2:10" ht="15.75" customHeight="1" x14ac:dyDescent="0.25">
      <c r="B31" s="148"/>
      <c r="C31" s="272" t="s">
        <v>23</v>
      </c>
      <c r="D31" s="273"/>
      <c r="E31" s="273"/>
      <c r="F31" s="273"/>
      <c r="G31" s="274"/>
    </row>
    <row r="32" spans="2:10" ht="15.75" customHeight="1" x14ac:dyDescent="0.3">
      <c r="B32" s="148"/>
      <c r="C32" s="294" t="s">
        <v>91</v>
      </c>
      <c r="D32" s="295"/>
      <c r="E32" s="295"/>
      <c r="F32" s="295"/>
      <c r="G32" s="296"/>
    </row>
    <row r="33" spans="2:7" ht="15.75" customHeight="1" x14ac:dyDescent="0.3">
      <c r="B33" s="148"/>
      <c r="C33" s="71"/>
      <c r="G33" s="72"/>
    </row>
    <row r="34" spans="2:7" ht="15.75" x14ac:dyDescent="0.3">
      <c r="B34" s="292"/>
      <c r="C34" s="71"/>
      <c r="G34" s="70"/>
    </row>
    <row r="35" spans="2:7" ht="15.75" customHeight="1" x14ac:dyDescent="0.3">
      <c r="B35" s="293"/>
      <c r="C35" s="79"/>
      <c r="D35" s="77"/>
      <c r="E35" s="77"/>
      <c r="F35" s="77"/>
      <c r="G35" s="78"/>
    </row>
    <row r="36" spans="2:7" ht="15.75" customHeight="1" x14ac:dyDescent="0.25">
      <c r="B36" s="275" t="s">
        <v>26</v>
      </c>
      <c r="C36" s="276"/>
      <c r="D36" s="276"/>
      <c r="E36" s="278" t="s">
        <v>27</v>
      </c>
      <c r="F36" s="276"/>
      <c r="G36" s="279"/>
    </row>
    <row r="37" spans="2:7" ht="15.75" customHeight="1" x14ac:dyDescent="0.25">
      <c r="B37" s="277"/>
      <c r="C37" s="276"/>
      <c r="D37" s="276"/>
      <c r="E37" s="277"/>
      <c r="F37" s="276"/>
      <c r="G37" s="279"/>
    </row>
    <row r="38" spans="2:7" ht="15.75" customHeight="1" x14ac:dyDescent="0.25">
      <c r="B38" s="63"/>
      <c r="C38" s="82"/>
      <c r="D38" s="85"/>
      <c r="E38" s="63"/>
      <c r="F38" s="82"/>
      <c r="G38" s="85"/>
    </row>
    <row r="39" spans="2:7" ht="15.75" customHeight="1" x14ac:dyDescent="0.25">
      <c r="B39" s="73"/>
      <c r="D39" s="70"/>
      <c r="E39" s="73"/>
      <c r="G39" s="70"/>
    </row>
    <row r="40" spans="2:7" ht="15.75" customHeight="1" x14ac:dyDescent="0.25">
      <c r="B40" s="73"/>
      <c r="D40" s="70"/>
      <c r="E40" s="73"/>
      <c r="G40" s="70"/>
    </row>
    <row r="41" spans="2:7" ht="15.75" customHeight="1" x14ac:dyDescent="0.25">
      <c r="B41" s="73"/>
      <c r="D41" s="70"/>
      <c r="E41" s="73"/>
      <c r="G41" s="70"/>
    </row>
    <row r="42" spans="2:7" ht="15.75" customHeight="1" x14ac:dyDescent="0.25">
      <c r="B42" s="73"/>
      <c r="D42" s="70"/>
      <c r="E42" s="73"/>
      <c r="G42" s="70"/>
    </row>
    <row r="43" spans="2:7" ht="15.75" customHeight="1" x14ac:dyDescent="0.25">
      <c r="B43" s="73"/>
      <c r="D43" s="70"/>
      <c r="E43" s="73"/>
      <c r="G43" s="70"/>
    </row>
    <row r="44" spans="2:7" ht="15.75" customHeight="1" x14ac:dyDescent="0.25">
      <c r="B44" s="73"/>
      <c r="D44" s="70"/>
      <c r="E44" s="73"/>
      <c r="G44" s="70"/>
    </row>
    <row r="45" spans="2:7" ht="15.75" customHeight="1" x14ac:dyDescent="0.25">
      <c r="B45" s="73"/>
      <c r="D45" s="70"/>
      <c r="E45" s="73"/>
      <c r="G45" s="70"/>
    </row>
    <row r="46" spans="2:7" ht="15.75" customHeight="1" x14ac:dyDescent="0.25">
      <c r="B46" s="73"/>
      <c r="D46" s="70"/>
      <c r="E46" s="73"/>
      <c r="G46" s="70"/>
    </row>
    <row r="47" spans="2:7" x14ac:dyDescent="0.25">
      <c r="B47" s="73"/>
      <c r="D47" s="70"/>
      <c r="E47" s="73"/>
      <c r="G47" s="70"/>
    </row>
    <row r="48" spans="2:7" x14ac:dyDescent="0.25">
      <c r="B48" s="76"/>
      <c r="C48" s="77"/>
      <c r="D48" s="78"/>
      <c r="E48" s="76"/>
      <c r="F48" s="77"/>
      <c r="G48" s="78"/>
    </row>
  </sheetData>
  <mergeCells count="18">
    <mergeCell ref="B1:D2"/>
    <mergeCell ref="E1:F2"/>
    <mergeCell ref="G1:G2"/>
    <mergeCell ref="B3:E4"/>
    <mergeCell ref="F3:F4"/>
    <mergeCell ref="G3:G4"/>
    <mergeCell ref="B5:B17"/>
    <mergeCell ref="C14:G14"/>
    <mergeCell ref="C15:G15"/>
    <mergeCell ref="B18:G19"/>
    <mergeCell ref="B20:E21"/>
    <mergeCell ref="F20:F21"/>
    <mergeCell ref="G20:G21"/>
    <mergeCell ref="B22:B35"/>
    <mergeCell ref="C31:G31"/>
    <mergeCell ref="C32:G32"/>
    <mergeCell ref="B36:D37"/>
    <mergeCell ref="E36:G37"/>
  </mergeCells>
  <pageMargins left="0.25" right="0.25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6A74A-85C8-4097-AD40-0646BAEA36FB}">
  <dimension ref="B1:J48"/>
  <sheetViews>
    <sheetView workbookViewId="0">
      <selection activeCell="L46" sqref="L46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129" t="s">
        <v>20</v>
      </c>
      <c r="C1" s="130"/>
      <c r="D1" s="130"/>
      <c r="E1" s="133">
        <f>Kompetenzraster!Q17</f>
        <v>46468</v>
      </c>
      <c r="F1" s="134"/>
      <c r="G1" s="137">
        <v>7</v>
      </c>
    </row>
    <row r="2" spans="2:7" x14ac:dyDescent="0.25">
      <c r="B2" s="131"/>
      <c r="C2" s="132"/>
      <c r="D2" s="132"/>
      <c r="E2" s="135"/>
      <c r="F2" s="136"/>
      <c r="G2" s="138"/>
    </row>
    <row r="3" spans="2:7" ht="15.75" customHeight="1" x14ac:dyDescent="0.25">
      <c r="B3" s="260" t="s">
        <v>88</v>
      </c>
      <c r="C3" s="261"/>
      <c r="D3" s="261"/>
      <c r="E3" s="261"/>
      <c r="F3" s="264">
        <v>8.8000000000000007</v>
      </c>
      <c r="G3" s="266" t="s">
        <v>21</v>
      </c>
    </row>
    <row r="4" spans="2:7" ht="14.25" customHeight="1" x14ac:dyDescent="0.25">
      <c r="B4" s="262"/>
      <c r="C4" s="301"/>
      <c r="D4" s="301"/>
      <c r="E4" s="301"/>
      <c r="F4" s="265"/>
      <c r="G4" s="267"/>
    </row>
    <row r="5" spans="2:7" ht="15.75" customHeight="1" x14ac:dyDescent="0.25">
      <c r="B5" s="268" t="s">
        <v>89</v>
      </c>
      <c r="C5" s="107"/>
      <c r="D5" s="108"/>
      <c r="E5" s="108"/>
      <c r="F5" s="109"/>
      <c r="G5" s="67"/>
    </row>
    <row r="6" spans="2:7" x14ac:dyDescent="0.25">
      <c r="B6" s="269"/>
      <c r="C6" s="68" t="s">
        <v>25</v>
      </c>
      <c r="F6" s="110"/>
      <c r="G6" s="70"/>
    </row>
    <row r="7" spans="2:7" ht="15.75" x14ac:dyDescent="0.3">
      <c r="B7" s="269"/>
      <c r="C7" s="71" t="s">
        <v>119</v>
      </c>
      <c r="F7" s="72"/>
      <c r="G7" s="70"/>
    </row>
    <row r="8" spans="2:7" ht="15.75" x14ac:dyDescent="0.3">
      <c r="B8" s="269"/>
      <c r="C8" s="71" t="s">
        <v>120</v>
      </c>
      <c r="F8" s="70"/>
      <c r="G8" s="72"/>
    </row>
    <row r="9" spans="2:7" x14ac:dyDescent="0.25">
      <c r="B9" s="269"/>
      <c r="C9" s="73"/>
      <c r="F9" s="74"/>
      <c r="G9" s="70"/>
    </row>
    <row r="10" spans="2:7" x14ac:dyDescent="0.25">
      <c r="B10" s="269"/>
      <c r="C10" s="73"/>
      <c r="F10" s="75"/>
      <c r="G10" s="70"/>
    </row>
    <row r="11" spans="2:7" x14ac:dyDescent="0.25">
      <c r="B11" s="269"/>
      <c r="C11" s="73"/>
      <c r="F11" s="83"/>
      <c r="G11" s="84"/>
    </row>
    <row r="12" spans="2:7" ht="15.75" x14ac:dyDescent="0.3">
      <c r="B12" s="269"/>
      <c r="C12" s="68"/>
      <c r="D12" s="69"/>
      <c r="E12" s="69"/>
      <c r="F12" s="70"/>
      <c r="G12" s="70"/>
    </row>
    <row r="13" spans="2:7" ht="15.75" x14ac:dyDescent="0.3">
      <c r="B13" s="269"/>
      <c r="C13" s="79"/>
      <c r="D13" s="77"/>
      <c r="E13" s="77"/>
      <c r="F13" s="78"/>
      <c r="G13" s="78"/>
    </row>
    <row r="14" spans="2:7" x14ac:dyDescent="0.25">
      <c r="B14" s="269"/>
      <c r="C14" s="281" t="s">
        <v>23</v>
      </c>
      <c r="D14" s="282"/>
      <c r="E14" s="282"/>
      <c r="F14" s="282"/>
      <c r="G14" s="283"/>
    </row>
    <row r="15" spans="2:7" ht="15.75" customHeight="1" x14ac:dyDescent="0.3">
      <c r="B15" s="280"/>
      <c r="C15" s="294" t="s">
        <v>94</v>
      </c>
      <c r="D15" s="295"/>
      <c r="E15" s="295"/>
      <c r="F15" s="295"/>
      <c r="G15" s="296"/>
    </row>
    <row r="16" spans="2:7" ht="15" customHeight="1" x14ac:dyDescent="0.3">
      <c r="B16" s="270"/>
      <c r="C16" s="71"/>
      <c r="G16" s="70"/>
    </row>
    <row r="17" spans="2:10" ht="15" customHeight="1" x14ac:dyDescent="0.3">
      <c r="B17" s="270"/>
      <c r="C17" s="79"/>
      <c r="D17" s="77"/>
      <c r="E17" s="77"/>
      <c r="F17" s="77"/>
      <c r="G17" s="78"/>
    </row>
    <row r="18" spans="2:10" ht="15" customHeight="1" x14ac:dyDescent="0.25">
      <c r="B18" s="284" t="s">
        <v>24</v>
      </c>
      <c r="C18" s="285"/>
      <c r="D18" s="285"/>
      <c r="E18" s="285"/>
      <c r="F18" s="285"/>
      <c r="G18" s="286"/>
    </row>
    <row r="19" spans="2:10" ht="15.75" customHeight="1" x14ac:dyDescent="0.25">
      <c r="B19" s="287"/>
      <c r="C19" s="288"/>
      <c r="D19" s="288"/>
      <c r="E19" s="288"/>
      <c r="F19" s="288"/>
      <c r="G19" s="289"/>
      <c r="J19" s="80"/>
    </row>
    <row r="20" spans="2:10" ht="15" customHeight="1" x14ac:dyDescent="0.25">
      <c r="B20" s="139" t="s">
        <v>105</v>
      </c>
      <c r="C20" s="140"/>
      <c r="D20" s="140"/>
      <c r="E20" s="140"/>
      <c r="F20" s="297">
        <v>8.1999999999999993</v>
      </c>
      <c r="G20" s="299" t="s">
        <v>21</v>
      </c>
    </row>
    <row r="21" spans="2:10" ht="16.5" customHeight="1" x14ac:dyDescent="0.25">
      <c r="B21" s="142"/>
      <c r="C21" s="143"/>
      <c r="D21" s="143"/>
      <c r="E21" s="143"/>
      <c r="F21" s="298"/>
      <c r="G21" s="300"/>
    </row>
    <row r="22" spans="2:10" ht="15.75" customHeight="1" x14ac:dyDescent="0.25">
      <c r="B22" s="147" t="s">
        <v>90</v>
      </c>
      <c r="C22" s="63"/>
      <c r="D22" s="82"/>
      <c r="E22" s="82"/>
      <c r="F22" s="85"/>
      <c r="G22" s="67"/>
    </row>
    <row r="23" spans="2:10" ht="15.75" x14ac:dyDescent="0.3">
      <c r="B23" s="148"/>
      <c r="C23" s="68" t="s">
        <v>78</v>
      </c>
      <c r="D23" s="69"/>
      <c r="E23" s="69"/>
      <c r="F23" s="70"/>
      <c r="G23" s="70"/>
    </row>
    <row r="24" spans="2:10" ht="15.75" x14ac:dyDescent="0.3">
      <c r="B24" s="148"/>
      <c r="C24" s="71" t="s">
        <v>121</v>
      </c>
      <c r="F24" s="72"/>
      <c r="G24" s="70"/>
    </row>
    <row r="25" spans="2:10" ht="15.75" x14ac:dyDescent="0.3">
      <c r="B25" s="148"/>
      <c r="C25" s="71"/>
      <c r="F25" s="70"/>
      <c r="G25" s="70"/>
    </row>
    <row r="26" spans="2:10" ht="15.75" x14ac:dyDescent="0.3">
      <c r="B26" s="148"/>
      <c r="C26" s="71"/>
      <c r="F26" s="70"/>
      <c r="G26" s="70"/>
    </row>
    <row r="27" spans="2:10" ht="15.75" customHeight="1" x14ac:dyDescent="0.25">
      <c r="B27" s="148"/>
      <c r="C27" s="302" t="s">
        <v>122</v>
      </c>
      <c r="D27" s="303"/>
      <c r="E27" s="303"/>
      <c r="F27" s="304"/>
      <c r="G27" s="70"/>
    </row>
    <row r="28" spans="2:10" x14ac:dyDescent="0.25">
      <c r="B28" s="148"/>
      <c r="C28" s="68"/>
      <c r="D28" s="14"/>
      <c r="E28" s="14"/>
      <c r="F28" s="83"/>
      <c r="G28" s="84"/>
    </row>
    <row r="29" spans="2:10" x14ac:dyDescent="0.25">
      <c r="B29" s="148"/>
      <c r="C29" s="305" t="s">
        <v>123</v>
      </c>
      <c r="D29" s="306"/>
      <c r="E29" s="306"/>
      <c r="F29" s="307"/>
      <c r="G29" s="70"/>
    </row>
    <row r="30" spans="2:10" ht="15.75" customHeight="1" x14ac:dyDescent="0.3">
      <c r="B30" s="148"/>
      <c r="C30" s="79"/>
      <c r="D30" s="106"/>
      <c r="E30" s="77"/>
      <c r="F30" s="78"/>
      <c r="G30" s="78"/>
    </row>
    <row r="31" spans="2:10" ht="15.75" customHeight="1" x14ac:dyDescent="0.25">
      <c r="B31" s="148"/>
      <c r="C31" s="272" t="s">
        <v>23</v>
      </c>
      <c r="D31" s="273"/>
      <c r="E31" s="273"/>
      <c r="F31" s="273"/>
      <c r="G31" s="274"/>
    </row>
    <row r="32" spans="2:10" ht="15.75" customHeight="1" x14ac:dyDescent="0.3">
      <c r="B32" s="148"/>
      <c r="C32" s="294" t="s">
        <v>91</v>
      </c>
      <c r="D32" s="295"/>
      <c r="E32" s="295"/>
      <c r="F32" s="295"/>
      <c r="G32" s="296"/>
    </row>
    <row r="33" spans="2:7" ht="15.75" customHeight="1" x14ac:dyDescent="0.3">
      <c r="B33" s="148"/>
      <c r="C33" s="71"/>
      <c r="G33" s="72"/>
    </row>
    <row r="34" spans="2:7" ht="15.75" x14ac:dyDescent="0.3">
      <c r="B34" s="292"/>
      <c r="C34" s="71"/>
      <c r="G34" s="70"/>
    </row>
    <row r="35" spans="2:7" ht="15.75" customHeight="1" x14ac:dyDescent="0.3">
      <c r="B35" s="293"/>
      <c r="C35" s="79"/>
      <c r="D35" s="77"/>
      <c r="E35" s="77"/>
      <c r="F35" s="77"/>
      <c r="G35" s="78"/>
    </row>
    <row r="36" spans="2:7" ht="15.75" customHeight="1" x14ac:dyDescent="0.25">
      <c r="B36" s="275" t="s">
        <v>26</v>
      </c>
      <c r="C36" s="276"/>
      <c r="D36" s="276"/>
      <c r="E36" s="278" t="s">
        <v>27</v>
      </c>
      <c r="F36" s="276"/>
      <c r="G36" s="279"/>
    </row>
    <row r="37" spans="2:7" ht="15.75" customHeight="1" x14ac:dyDescent="0.25">
      <c r="B37" s="277"/>
      <c r="C37" s="276"/>
      <c r="D37" s="276"/>
      <c r="E37" s="277"/>
      <c r="F37" s="276"/>
      <c r="G37" s="279"/>
    </row>
    <row r="38" spans="2:7" ht="15.75" customHeight="1" x14ac:dyDescent="0.25">
      <c r="B38" s="63"/>
      <c r="C38" s="82"/>
      <c r="D38" s="85"/>
      <c r="E38" s="63"/>
      <c r="F38" s="82"/>
      <c r="G38" s="85"/>
    </row>
    <row r="39" spans="2:7" ht="15.75" customHeight="1" x14ac:dyDescent="0.25">
      <c r="B39" s="73"/>
      <c r="D39" s="70"/>
      <c r="E39" s="73"/>
      <c r="G39" s="70"/>
    </row>
    <row r="40" spans="2:7" ht="15.75" customHeight="1" x14ac:dyDescent="0.25">
      <c r="B40" s="73"/>
      <c r="D40" s="70"/>
      <c r="E40" s="73"/>
      <c r="G40" s="70"/>
    </row>
    <row r="41" spans="2:7" ht="15.75" customHeight="1" x14ac:dyDescent="0.25">
      <c r="B41" s="73"/>
      <c r="D41" s="70"/>
      <c r="E41" s="73"/>
      <c r="G41" s="70"/>
    </row>
    <row r="42" spans="2:7" ht="15.75" customHeight="1" x14ac:dyDescent="0.25">
      <c r="B42" s="73"/>
      <c r="D42" s="70"/>
      <c r="E42" s="73"/>
      <c r="G42" s="70"/>
    </row>
    <row r="43" spans="2:7" ht="15.75" customHeight="1" x14ac:dyDescent="0.25">
      <c r="B43" s="73"/>
      <c r="D43" s="70"/>
      <c r="E43" s="73"/>
      <c r="G43" s="70"/>
    </row>
    <row r="44" spans="2:7" ht="15.75" customHeight="1" x14ac:dyDescent="0.25">
      <c r="B44" s="73"/>
      <c r="D44" s="70"/>
      <c r="E44" s="73"/>
      <c r="G44" s="70"/>
    </row>
    <row r="45" spans="2:7" ht="15.75" customHeight="1" x14ac:dyDescent="0.25">
      <c r="B45" s="73"/>
      <c r="D45" s="70"/>
      <c r="E45" s="73"/>
      <c r="G45" s="70"/>
    </row>
    <row r="46" spans="2:7" ht="15.75" customHeight="1" x14ac:dyDescent="0.25">
      <c r="B46" s="73"/>
      <c r="D46" s="70"/>
      <c r="E46" s="73"/>
      <c r="G46" s="70"/>
    </row>
    <row r="47" spans="2:7" x14ac:dyDescent="0.25">
      <c r="B47" s="73"/>
      <c r="D47" s="70"/>
      <c r="E47" s="73"/>
      <c r="G47" s="70"/>
    </row>
    <row r="48" spans="2:7" x14ac:dyDescent="0.25">
      <c r="B48" s="76"/>
      <c r="C48" s="77"/>
      <c r="D48" s="78"/>
      <c r="E48" s="76"/>
      <c r="F48" s="77"/>
      <c r="G48" s="78"/>
    </row>
  </sheetData>
  <mergeCells count="20">
    <mergeCell ref="B36:D37"/>
    <mergeCell ref="E36:G37"/>
    <mergeCell ref="B5:B17"/>
    <mergeCell ref="C14:G14"/>
    <mergeCell ref="C15:G15"/>
    <mergeCell ref="B18:G19"/>
    <mergeCell ref="B20:E21"/>
    <mergeCell ref="F20:F21"/>
    <mergeCell ref="G20:G21"/>
    <mergeCell ref="B22:B35"/>
    <mergeCell ref="C27:F27"/>
    <mergeCell ref="C29:F29"/>
    <mergeCell ref="C31:G31"/>
    <mergeCell ref="C32:G32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55A0E-9EE6-4E1E-9F97-E4CF404D8762}">
  <dimension ref="B1:J32"/>
  <sheetViews>
    <sheetView topLeftCell="A3" workbookViewId="0">
      <selection activeCell="J25" sqref="J25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3" width="16.28515625" customWidth="1"/>
    <col min="4" max="4" width="25.7109375" customWidth="1"/>
    <col min="5" max="6" width="13.28515625" customWidth="1"/>
    <col min="7" max="7" width="16.28515625" customWidth="1"/>
  </cols>
  <sheetData>
    <row r="1" spans="2:10" x14ac:dyDescent="0.25">
      <c r="B1" s="129" t="s">
        <v>124</v>
      </c>
      <c r="C1" s="130"/>
      <c r="D1" s="130"/>
      <c r="E1" s="133">
        <f>Kompetenzraster!Q19</f>
        <v>46475</v>
      </c>
      <c r="F1" s="134"/>
      <c r="G1" s="137">
        <v>8</v>
      </c>
    </row>
    <row r="2" spans="2:10" x14ac:dyDescent="0.25">
      <c r="B2" s="131"/>
      <c r="C2" s="132"/>
      <c r="D2" s="132"/>
      <c r="E2" s="135"/>
      <c r="F2" s="136"/>
      <c r="G2" s="138"/>
    </row>
    <row r="3" spans="2:10" ht="15.75" customHeight="1" x14ac:dyDescent="0.25">
      <c r="B3" s="139" t="s">
        <v>165</v>
      </c>
      <c r="C3" s="140"/>
      <c r="D3" s="140"/>
      <c r="E3" s="140"/>
      <c r="F3" s="141"/>
      <c r="G3" s="145">
        <v>8.1</v>
      </c>
    </row>
    <row r="4" spans="2:10" ht="14.25" customHeight="1" x14ac:dyDescent="0.25">
      <c r="B4" s="142"/>
      <c r="C4" s="143"/>
      <c r="D4" s="143"/>
      <c r="E4" s="143"/>
      <c r="F4" s="144"/>
      <c r="G4" s="146"/>
    </row>
    <row r="5" spans="2:10" ht="15.75" customHeight="1" x14ac:dyDescent="0.25">
      <c r="B5" s="308" t="s">
        <v>89</v>
      </c>
      <c r="C5" s="122" t="s">
        <v>125</v>
      </c>
      <c r="D5" s="114" t="s">
        <v>126</v>
      </c>
      <c r="E5" s="113" t="s">
        <v>128</v>
      </c>
      <c r="F5" s="113" t="s">
        <v>129</v>
      </c>
      <c r="G5" s="111" t="s">
        <v>130</v>
      </c>
    </row>
    <row r="6" spans="2:10" x14ac:dyDescent="0.25">
      <c r="B6" s="148"/>
      <c r="C6" s="123" t="s">
        <v>131</v>
      </c>
      <c r="D6" s="115" t="s">
        <v>45</v>
      </c>
      <c r="E6" s="116" t="s">
        <v>127</v>
      </c>
      <c r="F6" s="116" t="s">
        <v>135</v>
      </c>
      <c r="G6" s="112" t="s">
        <v>134</v>
      </c>
    </row>
    <row r="7" spans="2:10" x14ac:dyDescent="0.25">
      <c r="B7" s="148"/>
      <c r="C7" s="123" t="s">
        <v>133</v>
      </c>
      <c r="D7" s="115" t="s">
        <v>140</v>
      </c>
      <c r="E7" s="116" t="s">
        <v>136</v>
      </c>
      <c r="F7" s="116" t="s">
        <v>137</v>
      </c>
      <c r="G7" s="112" t="s">
        <v>138</v>
      </c>
    </row>
    <row r="8" spans="2:10" x14ac:dyDescent="0.25">
      <c r="B8" s="148"/>
      <c r="C8" s="123" t="s">
        <v>139</v>
      </c>
      <c r="D8" s="115" t="s">
        <v>141</v>
      </c>
      <c r="E8" s="116" t="s">
        <v>142</v>
      </c>
      <c r="F8" s="116" t="s">
        <v>143</v>
      </c>
      <c r="G8" s="112" t="s">
        <v>132</v>
      </c>
    </row>
    <row r="9" spans="2:10" x14ac:dyDescent="0.25">
      <c r="B9" s="148"/>
      <c r="C9" s="124"/>
      <c r="D9" s="116"/>
      <c r="E9" s="116"/>
      <c r="F9" s="116"/>
      <c r="G9" s="112"/>
    </row>
    <row r="10" spans="2:10" x14ac:dyDescent="0.25">
      <c r="B10" s="148"/>
      <c r="C10" s="124"/>
      <c r="D10" s="116"/>
      <c r="E10" s="116"/>
      <c r="F10" s="116"/>
      <c r="G10" s="112"/>
    </row>
    <row r="11" spans="2:10" x14ac:dyDescent="0.25">
      <c r="B11" s="148"/>
      <c r="C11" s="125"/>
      <c r="D11" s="116"/>
      <c r="E11" s="116"/>
      <c r="F11" s="116"/>
      <c r="G11" s="112"/>
    </row>
    <row r="12" spans="2:10" ht="15.75" x14ac:dyDescent="0.3">
      <c r="B12" s="148"/>
      <c r="C12" s="117"/>
      <c r="D12" s="118"/>
      <c r="E12" s="119"/>
      <c r="F12" s="120"/>
      <c r="G12" s="121"/>
    </row>
    <row r="13" spans="2:10" ht="15" customHeight="1" x14ac:dyDescent="0.25">
      <c r="B13" s="284" t="s">
        <v>24</v>
      </c>
      <c r="C13" s="285"/>
      <c r="D13" s="285"/>
      <c r="E13" s="285"/>
      <c r="F13" s="285"/>
      <c r="G13" s="286"/>
    </row>
    <row r="14" spans="2:10" ht="15.75" customHeight="1" x14ac:dyDescent="0.25">
      <c r="B14" s="287"/>
      <c r="C14" s="285"/>
      <c r="D14" s="285"/>
      <c r="E14" s="285"/>
      <c r="F14" s="285"/>
      <c r="G14" s="286"/>
      <c r="J14" s="80"/>
    </row>
    <row r="15" spans="2:10" ht="15.75" customHeight="1" x14ac:dyDescent="0.25">
      <c r="B15" s="147" t="s">
        <v>90</v>
      </c>
      <c r="C15" s="122" t="s">
        <v>144</v>
      </c>
      <c r="D15" s="114" t="s">
        <v>145</v>
      </c>
      <c r="E15" s="113" t="s">
        <v>146</v>
      </c>
      <c r="F15" s="113" t="s">
        <v>147</v>
      </c>
      <c r="G15" s="111" t="s">
        <v>148</v>
      </c>
    </row>
    <row r="16" spans="2:10" x14ac:dyDescent="0.25">
      <c r="B16" s="148"/>
      <c r="C16" s="123" t="s">
        <v>149</v>
      </c>
      <c r="D16" s="115" t="s">
        <v>145</v>
      </c>
      <c r="E16" s="116" t="s">
        <v>152</v>
      </c>
      <c r="F16" s="116" t="s">
        <v>153</v>
      </c>
      <c r="G16" s="112" t="s">
        <v>148</v>
      </c>
    </row>
    <row r="17" spans="2:7" x14ac:dyDescent="0.25">
      <c r="B17" s="148"/>
      <c r="C17" s="123" t="s">
        <v>150</v>
      </c>
      <c r="D17" s="115" t="s">
        <v>145</v>
      </c>
      <c r="E17" s="116" t="s">
        <v>154</v>
      </c>
      <c r="F17" s="116" t="s">
        <v>155</v>
      </c>
      <c r="G17" s="112" t="s">
        <v>148</v>
      </c>
    </row>
    <row r="18" spans="2:7" x14ac:dyDescent="0.25">
      <c r="B18" s="148"/>
      <c r="C18" s="123" t="s">
        <v>151</v>
      </c>
      <c r="D18" s="115" t="s">
        <v>145</v>
      </c>
      <c r="E18" s="116" t="s">
        <v>156</v>
      </c>
      <c r="F18" s="116" t="s">
        <v>161</v>
      </c>
      <c r="G18" s="112" t="s">
        <v>148</v>
      </c>
    </row>
    <row r="19" spans="2:7" x14ac:dyDescent="0.25">
      <c r="B19" s="148"/>
      <c r="C19" s="123"/>
      <c r="D19" s="115"/>
      <c r="E19" s="116"/>
      <c r="F19" s="116"/>
      <c r="G19" s="112"/>
    </row>
    <row r="20" spans="2:7" x14ac:dyDescent="0.25">
      <c r="B20" s="148"/>
      <c r="C20" s="123" t="s">
        <v>157</v>
      </c>
      <c r="D20" s="115" t="s">
        <v>158</v>
      </c>
      <c r="E20" s="116" t="s">
        <v>159</v>
      </c>
      <c r="F20" s="116" t="s">
        <v>160</v>
      </c>
      <c r="G20" s="112" t="s">
        <v>162</v>
      </c>
    </row>
    <row r="21" spans="2:7" x14ac:dyDescent="0.25">
      <c r="B21" s="148"/>
      <c r="C21" s="123"/>
      <c r="D21" s="115"/>
      <c r="E21" s="116"/>
      <c r="F21" s="116"/>
      <c r="G21" s="112"/>
    </row>
    <row r="22" spans="2:7" ht="15.75" x14ac:dyDescent="0.3">
      <c r="B22" s="149"/>
      <c r="C22" s="79"/>
      <c r="D22" s="77"/>
      <c r="E22" s="77"/>
      <c r="F22" s="77"/>
      <c r="G22" s="78"/>
    </row>
    <row r="23" spans="2:7" x14ac:dyDescent="0.25">
      <c r="B23" s="284" t="s">
        <v>164</v>
      </c>
      <c r="C23" s="285"/>
      <c r="D23" s="285"/>
      <c r="E23" s="285"/>
      <c r="F23" s="285"/>
      <c r="G23" s="286"/>
    </row>
    <row r="24" spans="2:7" x14ac:dyDescent="0.25">
      <c r="B24" s="287"/>
      <c r="C24" s="285"/>
      <c r="D24" s="285"/>
      <c r="E24" s="285"/>
      <c r="F24" s="285"/>
      <c r="G24" s="286"/>
    </row>
    <row r="25" spans="2:7" x14ac:dyDescent="0.25">
      <c r="B25" s="147" t="s">
        <v>163</v>
      </c>
      <c r="C25" s="122"/>
      <c r="D25" s="114"/>
      <c r="E25" s="113"/>
      <c r="F25" s="113"/>
      <c r="G25" s="111"/>
    </row>
    <row r="26" spans="2:7" x14ac:dyDescent="0.25">
      <c r="B26" s="148"/>
      <c r="C26" s="123" t="s">
        <v>166</v>
      </c>
      <c r="D26" s="115" t="s">
        <v>168</v>
      </c>
      <c r="F26" s="116"/>
      <c r="G26" s="112"/>
    </row>
    <row r="27" spans="2:7" x14ac:dyDescent="0.25">
      <c r="B27" s="148"/>
      <c r="C27" s="123"/>
      <c r="E27" s="116"/>
      <c r="F27" s="116"/>
      <c r="G27" s="112"/>
    </row>
    <row r="28" spans="2:7" x14ac:dyDescent="0.25">
      <c r="B28" s="148"/>
      <c r="C28" s="123"/>
      <c r="D28" s="115"/>
      <c r="E28" s="116"/>
      <c r="F28" s="116"/>
      <c r="G28" s="112"/>
    </row>
    <row r="29" spans="2:7" x14ac:dyDescent="0.25">
      <c r="B29" s="148"/>
      <c r="C29" s="123" t="s">
        <v>167</v>
      </c>
      <c r="D29" s="115" t="s">
        <v>169</v>
      </c>
      <c r="F29" s="116"/>
      <c r="G29" s="112"/>
    </row>
    <row r="30" spans="2:7" x14ac:dyDescent="0.25">
      <c r="B30" s="148"/>
      <c r="C30" s="123"/>
      <c r="D30" s="115"/>
      <c r="E30" s="116"/>
      <c r="F30" s="116"/>
      <c r="G30" s="112"/>
    </row>
    <row r="31" spans="2:7" x14ac:dyDescent="0.25">
      <c r="B31" s="148"/>
      <c r="C31" s="123"/>
      <c r="D31" s="115"/>
      <c r="E31" s="116"/>
      <c r="F31" s="116"/>
      <c r="G31" s="112"/>
    </row>
    <row r="32" spans="2:7" ht="15.75" x14ac:dyDescent="0.3">
      <c r="B32" s="149"/>
      <c r="C32" s="79"/>
      <c r="D32" s="77"/>
      <c r="E32" s="77"/>
      <c r="F32" s="77"/>
      <c r="G32" s="78"/>
    </row>
  </sheetData>
  <mergeCells count="10">
    <mergeCell ref="B1:D2"/>
    <mergeCell ref="E1:F2"/>
    <mergeCell ref="G1:G2"/>
    <mergeCell ref="G3:G4"/>
    <mergeCell ref="B3:F4"/>
    <mergeCell ref="B5:B12"/>
    <mergeCell ref="B13:G14"/>
    <mergeCell ref="B15:B22"/>
    <mergeCell ref="B25:B32"/>
    <mergeCell ref="B23:G24"/>
  </mergeCells>
  <pageMargins left="0.25" right="0.25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5497-687D-4F6F-80B5-25D9898179E2}">
  <dimension ref="B1:J32"/>
  <sheetViews>
    <sheetView workbookViewId="0">
      <selection activeCell="I23" sqref="I23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3" width="16.28515625" customWidth="1"/>
    <col min="4" max="4" width="25.7109375" customWidth="1"/>
    <col min="5" max="6" width="13.28515625" customWidth="1"/>
    <col min="7" max="7" width="16.28515625" customWidth="1"/>
  </cols>
  <sheetData>
    <row r="1" spans="2:10" x14ac:dyDescent="0.25">
      <c r="B1" s="129" t="s">
        <v>124</v>
      </c>
      <c r="C1" s="130"/>
      <c r="D1" s="130"/>
      <c r="E1" s="133">
        <f>Kompetenzraster!Q21</f>
        <v>46482</v>
      </c>
      <c r="F1" s="134"/>
      <c r="G1" s="137">
        <v>9</v>
      </c>
    </row>
    <row r="2" spans="2:10" x14ac:dyDescent="0.25">
      <c r="B2" s="131"/>
      <c r="C2" s="132"/>
      <c r="D2" s="132"/>
      <c r="E2" s="135"/>
      <c r="F2" s="136"/>
      <c r="G2" s="138"/>
    </row>
    <row r="3" spans="2:10" ht="15.75" customHeight="1" x14ac:dyDescent="0.25">
      <c r="B3" s="139" t="s">
        <v>165</v>
      </c>
      <c r="C3" s="140"/>
      <c r="D3" s="140"/>
      <c r="E3" s="140"/>
      <c r="F3" s="141"/>
      <c r="G3" s="145">
        <v>8.11</v>
      </c>
    </row>
    <row r="4" spans="2:10" ht="14.25" customHeight="1" x14ac:dyDescent="0.25">
      <c r="B4" s="142"/>
      <c r="C4" s="143"/>
      <c r="D4" s="143"/>
      <c r="E4" s="143"/>
      <c r="F4" s="144"/>
      <c r="G4" s="146"/>
    </row>
    <row r="5" spans="2:10" ht="15.75" customHeight="1" x14ac:dyDescent="0.25">
      <c r="B5" s="308" t="s">
        <v>89</v>
      </c>
      <c r="C5" s="122" t="s">
        <v>125</v>
      </c>
      <c r="D5" s="114" t="s">
        <v>126</v>
      </c>
      <c r="E5" s="113" t="s">
        <v>128</v>
      </c>
      <c r="F5" s="113" t="s">
        <v>129</v>
      </c>
      <c r="G5" s="111" t="s">
        <v>130</v>
      </c>
    </row>
    <row r="6" spans="2:10" x14ac:dyDescent="0.25">
      <c r="B6" s="148"/>
      <c r="C6" s="123" t="s">
        <v>131</v>
      </c>
      <c r="D6" s="115" t="s">
        <v>45</v>
      </c>
      <c r="E6" s="116" t="s">
        <v>127</v>
      </c>
      <c r="F6" s="116" t="s">
        <v>135</v>
      </c>
      <c r="G6" s="112" t="s">
        <v>134</v>
      </c>
    </row>
    <row r="7" spans="2:10" x14ac:dyDescent="0.25">
      <c r="B7" s="148"/>
      <c r="C7" s="123" t="s">
        <v>133</v>
      </c>
      <c r="D7" s="115" t="s">
        <v>140</v>
      </c>
      <c r="E7" s="116" t="s">
        <v>136</v>
      </c>
      <c r="F7" s="116" t="s">
        <v>137</v>
      </c>
      <c r="G7" s="112" t="s">
        <v>138</v>
      </c>
    </row>
    <row r="8" spans="2:10" x14ac:dyDescent="0.25">
      <c r="B8" s="148"/>
      <c r="C8" s="123" t="s">
        <v>139</v>
      </c>
      <c r="D8" s="115" t="s">
        <v>141</v>
      </c>
      <c r="E8" s="116" t="s">
        <v>142</v>
      </c>
      <c r="F8" s="116" t="s">
        <v>143</v>
      </c>
      <c r="G8" s="112" t="s">
        <v>132</v>
      </c>
    </row>
    <row r="9" spans="2:10" x14ac:dyDescent="0.25">
      <c r="B9" s="148"/>
      <c r="C9" s="124"/>
      <c r="D9" s="116"/>
      <c r="E9" s="116"/>
      <c r="F9" s="116"/>
      <c r="G9" s="112"/>
    </row>
    <row r="10" spans="2:10" x14ac:dyDescent="0.25">
      <c r="B10" s="148"/>
      <c r="C10" s="124"/>
      <c r="D10" s="116"/>
      <c r="E10" s="116"/>
      <c r="F10" s="116"/>
      <c r="G10" s="112"/>
    </row>
    <row r="11" spans="2:10" x14ac:dyDescent="0.25">
      <c r="B11" s="148"/>
      <c r="C11" s="125"/>
      <c r="D11" s="116"/>
      <c r="E11" s="116"/>
      <c r="F11" s="116"/>
      <c r="G11" s="112"/>
    </row>
    <row r="12" spans="2:10" ht="15.75" x14ac:dyDescent="0.3">
      <c r="B12" s="148"/>
      <c r="C12" s="117"/>
      <c r="D12" s="118"/>
      <c r="E12" s="119"/>
      <c r="F12" s="120"/>
      <c r="G12" s="121"/>
    </row>
    <row r="13" spans="2:10" ht="15" customHeight="1" x14ac:dyDescent="0.25">
      <c r="B13" s="284" t="s">
        <v>24</v>
      </c>
      <c r="C13" s="285"/>
      <c r="D13" s="285"/>
      <c r="E13" s="285"/>
      <c r="F13" s="285"/>
      <c r="G13" s="286"/>
    </row>
    <row r="14" spans="2:10" ht="15.75" customHeight="1" x14ac:dyDescent="0.25">
      <c r="B14" s="287"/>
      <c r="C14" s="285"/>
      <c r="D14" s="285"/>
      <c r="E14" s="285"/>
      <c r="F14" s="285"/>
      <c r="G14" s="286"/>
      <c r="J14" s="80"/>
    </row>
    <row r="15" spans="2:10" ht="15.75" customHeight="1" x14ac:dyDescent="0.25">
      <c r="B15" s="147" t="s">
        <v>90</v>
      </c>
      <c r="C15" s="122" t="s">
        <v>144</v>
      </c>
      <c r="D15" s="114" t="s">
        <v>145</v>
      </c>
      <c r="E15" s="113" t="s">
        <v>146</v>
      </c>
      <c r="F15" s="113" t="s">
        <v>147</v>
      </c>
      <c r="G15" s="111" t="s">
        <v>148</v>
      </c>
    </row>
    <row r="16" spans="2:10" x14ac:dyDescent="0.25">
      <c r="B16" s="148"/>
      <c r="C16" s="123" t="s">
        <v>149</v>
      </c>
      <c r="D16" s="115" t="s">
        <v>145</v>
      </c>
      <c r="E16" s="116" t="s">
        <v>152</v>
      </c>
      <c r="F16" s="116" t="s">
        <v>153</v>
      </c>
      <c r="G16" s="112" t="s">
        <v>148</v>
      </c>
    </row>
    <row r="17" spans="2:7" x14ac:dyDescent="0.25">
      <c r="B17" s="148"/>
      <c r="C17" s="123" t="s">
        <v>150</v>
      </c>
      <c r="D17" s="115" t="s">
        <v>145</v>
      </c>
      <c r="E17" s="116" t="s">
        <v>154</v>
      </c>
      <c r="F17" s="116" t="s">
        <v>155</v>
      </c>
      <c r="G17" s="112" t="s">
        <v>148</v>
      </c>
    </row>
    <row r="18" spans="2:7" x14ac:dyDescent="0.25">
      <c r="B18" s="148"/>
      <c r="C18" s="123" t="s">
        <v>151</v>
      </c>
      <c r="D18" s="115" t="s">
        <v>145</v>
      </c>
      <c r="E18" s="116" t="s">
        <v>156</v>
      </c>
      <c r="F18" s="116" t="s">
        <v>161</v>
      </c>
      <c r="G18" s="112" t="s">
        <v>148</v>
      </c>
    </row>
    <row r="19" spans="2:7" x14ac:dyDescent="0.25">
      <c r="B19" s="148"/>
      <c r="C19" s="123"/>
      <c r="D19" s="115"/>
      <c r="E19" s="116"/>
      <c r="F19" s="116"/>
      <c r="G19" s="112"/>
    </row>
    <row r="20" spans="2:7" x14ac:dyDescent="0.25">
      <c r="B20" s="148"/>
      <c r="C20" s="123" t="s">
        <v>157</v>
      </c>
      <c r="D20" s="115" t="s">
        <v>158</v>
      </c>
      <c r="E20" s="116" t="s">
        <v>159</v>
      </c>
      <c r="F20" s="116" t="s">
        <v>160</v>
      </c>
      <c r="G20" s="112" t="s">
        <v>162</v>
      </c>
    </row>
    <row r="21" spans="2:7" x14ac:dyDescent="0.25">
      <c r="B21" s="148"/>
      <c r="C21" s="123"/>
      <c r="D21" s="115"/>
      <c r="E21" s="116"/>
      <c r="F21" s="116"/>
      <c r="G21" s="112"/>
    </row>
    <row r="22" spans="2:7" ht="15.75" x14ac:dyDescent="0.3">
      <c r="B22" s="149"/>
      <c r="C22" s="79"/>
      <c r="D22" s="77"/>
      <c r="E22" s="77"/>
      <c r="F22" s="77"/>
      <c r="G22" s="78"/>
    </row>
    <row r="23" spans="2:7" x14ac:dyDescent="0.25">
      <c r="B23" s="284" t="s">
        <v>164</v>
      </c>
      <c r="C23" s="285"/>
      <c r="D23" s="285"/>
      <c r="E23" s="285"/>
      <c r="F23" s="285"/>
      <c r="G23" s="286"/>
    </row>
    <row r="24" spans="2:7" x14ac:dyDescent="0.25">
      <c r="B24" s="287"/>
      <c r="C24" s="285"/>
      <c r="D24" s="285"/>
      <c r="E24" s="285"/>
      <c r="F24" s="285"/>
      <c r="G24" s="286"/>
    </row>
    <row r="25" spans="2:7" x14ac:dyDescent="0.25">
      <c r="B25" s="147" t="s">
        <v>163</v>
      </c>
      <c r="C25" s="122"/>
      <c r="D25" s="114"/>
      <c r="E25" s="113"/>
      <c r="F25" s="113"/>
      <c r="G25" s="111"/>
    </row>
    <row r="26" spans="2:7" x14ac:dyDescent="0.25">
      <c r="B26" s="148"/>
      <c r="C26" s="123" t="s">
        <v>166</v>
      </c>
      <c r="D26" s="115" t="s">
        <v>168</v>
      </c>
      <c r="F26" s="116"/>
      <c r="G26" s="112"/>
    </row>
    <row r="27" spans="2:7" x14ac:dyDescent="0.25">
      <c r="B27" s="148"/>
      <c r="C27" s="123"/>
      <c r="E27" s="116"/>
      <c r="F27" s="116"/>
      <c r="G27" s="112"/>
    </row>
    <row r="28" spans="2:7" x14ac:dyDescent="0.25">
      <c r="B28" s="148"/>
      <c r="C28" s="123"/>
      <c r="D28" s="115"/>
      <c r="E28" s="116"/>
      <c r="F28" s="116"/>
      <c r="G28" s="112"/>
    </row>
    <row r="29" spans="2:7" x14ac:dyDescent="0.25">
      <c r="B29" s="148"/>
      <c r="C29" s="123" t="s">
        <v>167</v>
      </c>
      <c r="D29" s="115" t="s">
        <v>169</v>
      </c>
      <c r="F29" s="116"/>
      <c r="G29" s="112"/>
    </row>
    <row r="30" spans="2:7" x14ac:dyDescent="0.25">
      <c r="B30" s="148"/>
      <c r="C30" s="123"/>
      <c r="D30" s="115"/>
      <c r="E30" s="116"/>
      <c r="F30" s="116"/>
      <c r="G30" s="112"/>
    </row>
    <row r="31" spans="2:7" x14ac:dyDescent="0.25">
      <c r="B31" s="148"/>
      <c r="C31" s="123"/>
      <c r="D31" s="115"/>
      <c r="E31" s="116"/>
      <c r="F31" s="116"/>
      <c r="G31" s="112"/>
    </row>
    <row r="32" spans="2:7" ht="15.75" x14ac:dyDescent="0.3">
      <c r="B32" s="149"/>
      <c r="C32" s="79"/>
      <c r="D32" s="77"/>
      <c r="E32" s="77"/>
      <c r="F32" s="77"/>
      <c r="G32" s="78"/>
    </row>
  </sheetData>
  <mergeCells count="10">
    <mergeCell ref="B13:G14"/>
    <mergeCell ref="B15:B22"/>
    <mergeCell ref="B23:G24"/>
    <mergeCell ref="B25:B32"/>
    <mergeCell ref="B1:D2"/>
    <mergeCell ref="E1:F2"/>
    <mergeCell ref="G1:G2"/>
    <mergeCell ref="B3:F4"/>
    <mergeCell ref="G3:G4"/>
    <mergeCell ref="B5:B12"/>
  </mergeCells>
  <pageMargins left="0.25" right="0.25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B42BB-D2D5-4E0A-AE64-24AE0E95492C}">
  <dimension ref="B1:J32"/>
  <sheetViews>
    <sheetView workbookViewId="0">
      <selection activeCell="C40" sqref="C40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3" width="16.28515625" customWidth="1"/>
    <col min="4" max="4" width="25.7109375" customWidth="1"/>
    <col min="5" max="6" width="13.28515625" customWidth="1"/>
    <col min="7" max="7" width="16.28515625" customWidth="1"/>
  </cols>
  <sheetData>
    <row r="1" spans="2:10" x14ac:dyDescent="0.25">
      <c r="B1" s="129" t="s">
        <v>124</v>
      </c>
      <c r="C1" s="130"/>
      <c r="D1" s="130"/>
      <c r="E1" s="133">
        <f>Kompetenzraster!Q23</f>
        <v>46503</v>
      </c>
      <c r="F1" s="134"/>
      <c r="G1" s="137">
        <v>10</v>
      </c>
    </row>
    <row r="2" spans="2:10" x14ac:dyDescent="0.25">
      <c r="B2" s="131"/>
      <c r="C2" s="132"/>
      <c r="D2" s="132"/>
      <c r="E2" s="135"/>
      <c r="F2" s="136"/>
      <c r="G2" s="138"/>
    </row>
    <row r="3" spans="2:10" ht="15.75" customHeight="1" x14ac:dyDescent="0.25">
      <c r="B3" s="139" t="s">
        <v>165</v>
      </c>
      <c r="C3" s="140"/>
      <c r="D3" s="140"/>
      <c r="E3" s="140"/>
      <c r="F3" s="141"/>
      <c r="G3" s="145">
        <v>8.1199999999999992</v>
      </c>
    </row>
    <row r="4" spans="2:10" ht="14.25" customHeight="1" x14ac:dyDescent="0.25">
      <c r="B4" s="142"/>
      <c r="C4" s="143"/>
      <c r="D4" s="143"/>
      <c r="E4" s="143"/>
      <c r="F4" s="144"/>
      <c r="G4" s="146"/>
    </row>
    <row r="5" spans="2:10" ht="15.75" customHeight="1" x14ac:dyDescent="0.25">
      <c r="B5" s="308" t="s">
        <v>89</v>
      </c>
      <c r="C5" s="122" t="s">
        <v>125</v>
      </c>
      <c r="D5" s="114" t="s">
        <v>126</v>
      </c>
      <c r="E5" s="113" t="s">
        <v>128</v>
      </c>
      <c r="F5" s="113" t="s">
        <v>129</v>
      </c>
      <c r="G5" s="111" t="s">
        <v>130</v>
      </c>
    </row>
    <row r="6" spans="2:10" x14ac:dyDescent="0.25">
      <c r="B6" s="148"/>
      <c r="C6" s="123" t="s">
        <v>131</v>
      </c>
      <c r="D6" s="115" t="s">
        <v>45</v>
      </c>
      <c r="E6" s="116" t="s">
        <v>127</v>
      </c>
      <c r="F6" s="116" t="s">
        <v>135</v>
      </c>
      <c r="G6" s="112" t="s">
        <v>134</v>
      </c>
    </row>
    <row r="7" spans="2:10" x14ac:dyDescent="0.25">
      <c r="B7" s="148"/>
      <c r="C7" s="123" t="s">
        <v>133</v>
      </c>
      <c r="D7" s="115" t="s">
        <v>140</v>
      </c>
      <c r="E7" s="116" t="s">
        <v>136</v>
      </c>
      <c r="F7" s="116" t="s">
        <v>137</v>
      </c>
      <c r="G7" s="112" t="s">
        <v>170</v>
      </c>
    </row>
    <row r="8" spans="2:10" x14ac:dyDescent="0.25">
      <c r="B8" s="148"/>
      <c r="C8" s="123" t="s">
        <v>139</v>
      </c>
      <c r="D8" s="115" t="s">
        <v>141</v>
      </c>
      <c r="E8" s="116" t="s">
        <v>142</v>
      </c>
      <c r="F8" s="116" t="s">
        <v>143</v>
      </c>
      <c r="G8" s="112" t="s">
        <v>132</v>
      </c>
    </row>
    <row r="9" spans="2:10" x14ac:dyDescent="0.25">
      <c r="B9" s="148"/>
      <c r="C9" s="124"/>
      <c r="D9" s="116"/>
      <c r="E9" s="116"/>
      <c r="F9" s="116"/>
      <c r="G9" s="112"/>
    </row>
    <row r="10" spans="2:10" x14ac:dyDescent="0.25">
      <c r="B10" s="148"/>
      <c r="C10" s="124"/>
      <c r="D10" s="116"/>
      <c r="E10" s="116"/>
      <c r="F10" s="116"/>
      <c r="G10" s="112"/>
    </row>
    <row r="11" spans="2:10" x14ac:dyDescent="0.25">
      <c r="B11" s="148"/>
      <c r="C11" s="125"/>
      <c r="D11" s="116"/>
      <c r="E11" s="116"/>
      <c r="F11" s="116"/>
      <c r="G11" s="112"/>
    </row>
    <row r="12" spans="2:10" ht="15.75" x14ac:dyDescent="0.3">
      <c r="B12" s="148"/>
      <c r="C12" s="117"/>
      <c r="D12" s="118"/>
      <c r="E12" s="119"/>
      <c r="F12" s="120"/>
      <c r="G12" s="121"/>
    </row>
    <row r="13" spans="2:10" ht="15" customHeight="1" x14ac:dyDescent="0.25">
      <c r="B13" s="284" t="s">
        <v>24</v>
      </c>
      <c r="C13" s="285"/>
      <c r="D13" s="285"/>
      <c r="E13" s="285"/>
      <c r="F13" s="285"/>
      <c r="G13" s="286"/>
    </row>
    <row r="14" spans="2:10" ht="15.75" customHeight="1" x14ac:dyDescent="0.25">
      <c r="B14" s="287"/>
      <c r="C14" s="285"/>
      <c r="D14" s="285"/>
      <c r="E14" s="285"/>
      <c r="F14" s="285"/>
      <c r="G14" s="286"/>
      <c r="J14" s="80"/>
    </row>
    <row r="15" spans="2:10" ht="15.75" customHeight="1" x14ac:dyDescent="0.25">
      <c r="B15" s="147" t="s">
        <v>90</v>
      </c>
      <c r="C15" s="122" t="s">
        <v>144</v>
      </c>
      <c r="D15" s="114" t="s">
        <v>145</v>
      </c>
      <c r="E15" s="113" t="s">
        <v>146</v>
      </c>
      <c r="F15" s="113" t="s">
        <v>147</v>
      </c>
      <c r="G15" s="111" t="s">
        <v>148</v>
      </c>
    </row>
    <row r="16" spans="2:10" x14ac:dyDescent="0.25">
      <c r="B16" s="148"/>
      <c r="C16" s="123" t="s">
        <v>149</v>
      </c>
      <c r="D16" s="115" t="s">
        <v>145</v>
      </c>
      <c r="E16" s="116" t="s">
        <v>152</v>
      </c>
      <c r="F16" s="116" t="s">
        <v>153</v>
      </c>
      <c r="G16" s="112" t="s">
        <v>148</v>
      </c>
    </row>
    <row r="17" spans="2:7" x14ac:dyDescent="0.25">
      <c r="B17" s="148"/>
      <c r="C17" s="123" t="s">
        <v>150</v>
      </c>
      <c r="D17" s="115" t="s">
        <v>145</v>
      </c>
      <c r="E17" s="116" t="s">
        <v>154</v>
      </c>
      <c r="F17" s="116" t="s">
        <v>155</v>
      </c>
      <c r="G17" s="112" t="s">
        <v>148</v>
      </c>
    </row>
    <row r="18" spans="2:7" x14ac:dyDescent="0.25">
      <c r="B18" s="148"/>
      <c r="C18" s="123" t="s">
        <v>151</v>
      </c>
      <c r="D18" s="115" t="s">
        <v>145</v>
      </c>
      <c r="E18" s="116" t="s">
        <v>156</v>
      </c>
      <c r="F18" s="116" t="s">
        <v>161</v>
      </c>
      <c r="G18" s="112" t="s">
        <v>148</v>
      </c>
    </row>
    <row r="19" spans="2:7" x14ac:dyDescent="0.25">
      <c r="B19" s="148"/>
      <c r="C19" s="123"/>
      <c r="D19" s="115"/>
      <c r="E19" s="116"/>
      <c r="F19" s="116"/>
      <c r="G19" s="112"/>
    </row>
    <row r="20" spans="2:7" x14ac:dyDescent="0.25">
      <c r="B20" s="148"/>
      <c r="C20" s="123" t="s">
        <v>157</v>
      </c>
      <c r="D20" s="115" t="s">
        <v>158</v>
      </c>
      <c r="E20" s="116" t="s">
        <v>159</v>
      </c>
      <c r="F20" s="116" t="s">
        <v>160</v>
      </c>
      <c r="G20" s="112" t="s">
        <v>162</v>
      </c>
    </row>
    <row r="21" spans="2:7" x14ac:dyDescent="0.25">
      <c r="B21" s="148"/>
      <c r="C21" s="123"/>
      <c r="D21" s="115"/>
      <c r="E21" s="116"/>
      <c r="F21" s="116"/>
      <c r="G21" s="112"/>
    </row>
    <row r="22" spans="2:7" ht="15.75" x14ac:dyDescent="0.3">
      <c r="B22" s="149"/>
      <c r="C22" s="79"/>
      <c r="D22" s="77"/>
      <c r="E22" s="77"/>
      <c r="F22" s="77"/>
      <c r="G22" s="78"/>
    </row>
    <row r="23" spans="2:7" x14ac:dyDescent="0.25">
      <c r="B23" s="284" t="s">
        <v>164</v>
      </c>
      <c r="C23" s="285"/>
      <c r="D23" s="285"/>
      <c r="E23" s="285"/>
      <c r="F23" s="285"/>
      <c r="G23" s="286"/>
    </row>
    <row r="24" spans="2:7" x14ac:dyDescent="0.25">
      <c r="B24" s="287"/>
      <c r="C24" s="285"/>
      <c r="D24" s="285"/>
      <c r="E24" s="285"/>
      <c r="F24" s="285"/>
      <c r="G24" s="286"/>
    </row>
    <row r="25" spans="2:7" x14ac:dyDescent="0.25">
      <c r="B25" s="147" t="s">
        <v>163</v>
      </c>
      <c r="C25" s="122"/>
      <c r="D25" s="114"/>
      <c r="E25" s="113"/>
      <c r="F25" s="113"/>
      <c r="G25" s="111"/>
    </row>
    <row r="26" spans="2:7" x14ac:dyDescent="0.25">
      <c r="B26" s="148"/>
      <c r="C26" s="123" t="s">
        <v>166</v>
      </c>
      <c r="D26" s="115" t="s">
        <v>168</v>
      </c>
      <c r="F26" s="116"/>
      <c r="G26" s="112"/>
    </row>
    <row r="27" spans="2:7" x14ac:dyDescent="0.25">
      <c r="B27" s="148"/>
      <c r="C27" s="123"/>
      <c r="E27" s="116"/>
      <c r="F27" s="116"/>
      <c r="G27" s="112"/>
    </row>
    <row r="28" spans="2:7" x14ac:dyDescent="0.25">
      <c r="B28" s="148"/>
      <c r="C28" s="123"/>
      <c r="D28" s="115"/>
      <c r="E28" s="116"/>
      <c r="F28" s="116"/>
      <c r="G28" s="112"/>
    </row>
    <row r="29" spans="2:7" x14ac:dyDescent="0.25">
      <c r="B29" s="148"/>
      <c r="C29" s="123" t="s">
        <v>167</v>
      </c>
      <c r="D29" s="115" t="s">
        <v>169</v>
      </c>
      <c r="F29" s="116"/>
      <c r="G29" s="112"/>
    </row>
    <row r="30" spans="2:7" x14ac:dyDescent="0.25">
      <c r="B30" s="148"/>
      <c r="C30" s="123"/>
      <c r="D30" s="115"/>
      <c r="E30" s="116"/>
      <c r="F30" s="116"/>
      <c r="G30" s="112"/>
    </row>
    <row r="31" spans="2:7" x14ac:dyDescent="0.25">
      <c r="B31" s="148"/>
      <c r="C31" s="123"/>
      <c r="D31" s="115"/>
      <c r="E31" s="116"/>
      <c r="F31" s="116"/>
      <c r="G31" s="112"/>
    </row>
    <row r="32" spans="2:7" ht="15.75" x14ac:dyDescent="0.3">
      <c r="B32" s="149"/>
      <c r="C32" s="79"/>
      <c r="D32" s="77"/>
      <c r="E32" s="77"/>
      <c r="F32" s="77"/>
      <c r="G32" s="78"/>
    </row>
  </sheetData>
  <mergeCells count="10">
    <mergeCell ref="B13:G14"/>
    <mergeCell ref="B15:B22"/>
    <mergeCell ref="B23:G24"/>
    <mergeCell ref="B25:B32"/>
    <mergeCell ref="B1:D2"/>
    <mergeCell ref="E1:F2"/>
    <mergeCell ref="G1:G2"/>
    <mergeCell ref="B3:F4"/>
    <mergeCell ref="G3:G4"/>
    <mergeCell ref="B5:B12"/>
  </mergeCells>
  <pageMargins left="0.25" right="0.25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6AC79-EA77-4AFF-8D7E-2EC997687582}">
  <dimension ref="B1:J32"/>
  <sheetViews>
    <sheetView workbookViewId="0">
      <selection activeCell="O14" sqref="O14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3" width="16.28515625" customWidth="1"/>
    <col min="4" max="4" width="25.7109375" customWidth="1"/>
    <col min="5" max="6" width="13.28515625" customWidth="1"/>
    <col min="7" max="7" width="16.28515625" customWidth="1"/>
  </cols>
  <sheetData>
    <row r="1" spans="2:10" x14ac:dyDescent="0.25">
      <c r="B1" s="129" t="s">
        <v>124</v>
      </c>
      <c r="C1" s="130"/>
      <c r="D1" s="130"/>
      <c r="E1" s="133">
        <f>Kompetenzraster!Q25</f>
        <v>46510</v>
      </c>
      <c r="F1" s="134"/>
      <c r="G1" s="137">
        <v>11</v>
      </c>
    </row>
    <row r="2" spans="2:10" x14ac:dyDescent="0.25">
      <c r="B2" s="131"/>
      <c r="C2" s="132"/>
      <c r="D2" s="132"/>
      <c r="E2" s="135"/>
      <c r="F2" s="136"/>
      <c r="G2" s="138"/>
    </row>
    <row r="3" spans="2:10" ht="15.75" customHeight="1" x14ac:dyDescent="0.25">
      <c r="B3" s="139" t="s">
        <v>165</v>
      </c>
      <c r="C3" s="140"/>
      <c r="D3" s="140"/>
      <c r="E3" s="140"/>
      <c r="F3" s="141"/>
      <c r="G3" s="145" t="s">
        <v>175</v>
      </c>
    </row>
    <row r="4" spans="2:10" ht="14.25" customHeight="1" x14ac:dyDescent="0.25">
      <c r="B4" s="142"/>
      <c r="C4" s="143"/>
      <c r="D4" s="143"/>
      <c r="E4" s="143"/>
      <c r="F4" s="144"/>
      <c r="G4" s="146"/>
    </row>
    <row r="5" spans="2:10" ht="15.75" customHeight="1" x14ac:dyDescent="0.25">
      <c r="B5" s="308" t="s">
        <v>89</v>
      </c>
      <c r="C5" s="122" t="s">
        <v>125</v>
      </c>
      <c r="D5" s="114" t="s">
        <v>126</v>
      </c>
      <c r="E5" s="113" t="s">
        <v>128</v>
      </c>
      <c r="F5" s="113" t="s">
        <v>129</v>
      </c>
      <c r="G5" s="111" t="s">
        <v>130</v>
      </c>
    </row>
    <row r="6" spans="2:10" x14ac:dyDescent="0.25">
      <c r="B6" s="148"/>
      <c r="C6" s="123" t="s">
        <v>131</v>
      </c>
      <c r="D6" s="115" t="s">
        <v>45</v>
      </c>
      <c r="E6" s="116" t="s">
        <v>127</v>
      </c>
      <c r="F6" s="116" t="s">
        <v>135</v>
      </c>
      <c r="G6" s="112" t="s">
        <v>134</v>
      </c>
    </row>
    <row r="7" spans="2:10" x14ac:dyDescent="0.25">
      <c r="B7" s="148"/>
      <c r="C7" s="123" t="s">
        <v>133</v>
      </c>
      <c r="D7" s="115" t="s">
        <v>140</v>
      </c>
      <c r="E7" s="116" t="s">
        <v>136</v>
      </c>
      <c r="F7" s="116" t="s">
        <v>137</v>
      </c>
      <c r="G7" s="112" t="s">
        <v>170</v>
      </c>
    </row>
    <row r="8" spans="2:10" x14ac:dyDescent="0.25">
      <c r="B8" s="148"/>
      <c r="C8" s="123" t="s">
        <v>139</v>
      </c>
      <c r="D8" s="115" t="s">
        <v>141</v>
      </c>
      <c r="E8" s="116" t="s">
        <v>142</v>
      </c>
      <c r="F8" s="116" t="s">
        <v>143</v>
      </c>
      <c r="G8" s="112" t="s">
        <v>132</v>
      </c>
    </row>
    <row r="9" spans="2:10" x14ac:dyDescent="0.25">
      <c r="B9" s="148"/>
      <c r="C9" s="124"/>
      <c r="D9" s="116"/>
      <c r="E9" s="116"/>
      <c r="F9" s="116"/>
      <c r="G9" s="112"/>
    </row>
    <row r="10" spans="2:10" x14ac:dyDescent="0.25">
      <c r="B10" s="148"/>
      <c r="C10" s="124"/>
      <c r="D10" s="116"/>
      <c r="E10" s="116"/>
      <c r="F10" s="116"/>
      <c r="G10" s="112"/>
    </row>
    <row r="11" spans="2:10" x14ac:dyDescent="0.25">
      <c r="B11" s="148"/>
      <c r="C11" s="125"/>
      <c r="D11" s="116"/>
      <c r="E11" s="116"/>
      <c r="F11" s="116"/>
      <c r="G11" s="112"/>
    </row>
    <row r="12" spans="2:10" ht="15.75" x14ac:dyDescent="0.3">
      <c r="B12" s="148"/>
      <c r="C12" s="117"/>
      <c r="D12" s="118"/>
      <c r="E12" s="119"/>
      <c r="F12" s="120"/>
      <c r="G12" s="121"/>
    </row>
    <row r="13" spans="2:10" ht="15" customHeight="1" x14ac:dyDescent="0.25">
      <c r="B13" s="284" t="s">
        <v>24</v>
      </c>
      <c r="C13" s="285"/>
      <c r="D13" s="285"/>
      <c r="E13" s="285"/>
      <c r="F13" s="285"/>
      <c r="G13" s="286"/>
    </row>
    <row r="14" spans="2:10" ht="15.75" customHeight="1" x14ac:dyDescent="0.25">
      <c r="B14" s="287"/>
      <c r="C14" s="285"/>
      <c r="D14" s="285"/>
      <c r="E14" s="285"/>
      <c r="F14" s="285"/>
      <c r="G14" s="286"/>
      <c r="J14" s="80"/>
    </row>
    <row r="15" spans="2:10" ht="15.75" customHeight="1" x14ac:dyDescent="0.25">
      <c r="B15" s="147" t="s">
        <v>90</v>
      </c>
      <c r="C15" s="122" t="s">
        <v>144</v>
      </c>
      <c r="D15" s="114" t="s">
        <v>145</v>
      </c>
      <c r="E15" s="113" t="s">
        <v>146</v>
      </c>
      <c r="F15" s="113" t="s">
        <v>147</v>
      </c>
      <c r="G15" s="111" t="s">
        <v>148</v>
      </c>
    </row>
    <row r="16" spans="2:10" x14ac:dyDescent="0.25">
      <c r="B16" s="148"/>
      <c r="C16" s="123" t="s">
        <v>149</v>
      </c>
      <c r="D16" s="115" t="s">
        <v>145</v>
      </c>
      <c r="E16" s="116" t="s">
        <v>152</v>
      </c>
      <c r="F16" s="116" t="s">
        <v>153</v>
      </c>
      <c r="G16" s="112" t="s">
        <v>148</v>
      </c>
    </row>
    <row r="17" spans="2:7" x14ac:dyDescent="0.25">
      <c r="B17" s="148"/>
      <c r="C17" s="123" t="s">
        <v>150</v>
      </c>
      <c r="D17" s="115" t="s">
        <v>145</v>
      </c>
      <c r="E17" s="116" t="s">
        <v>154</v>
      </c>
      <c r="F17" s="116" t="s">
        <v>155</v>
      </c>
      <c r="G17" s="112" t="s">
        <v>148</v>
      </c>
    </row>
    <row r="18" spans="2:7" x14ac:dyDescent="0.25">
      <c r="B18" s="148"/>
      <c r="C18" s="123" t="s">
        <v>151</v>
      </c>
      <c r="D18" s="115" t="s">
        <v>145</v>
      </c>
      <c r="E18" s="116" t="s">
        <v>156</v>
      </c>
      <c r="F18" s="116" t="s">
        <v>161</v>
      </c>
      <c r="G18" s="112" t="s">
        <v>148</v>
      </c>
    </row>
    <row r="19" spans="2:7" x14ac:dyDescent="0.25">
      <c r="B19" s="148"/>
      <c r="C19" s="123"/>
      <c r="D19" s="115"/>
      <c r="E19" s="116"/>
      <c r="F19" s="116"/>
      <c r="G19" s="112"/>
    </row>
    <row r="20" spans="2:7" x14ac:dyDescent="0.25">
      <c r="B20" s="148"/>
      <c r="C20" s="123" t="s">
        <v>157</v>
      </c>
      <c r="D20" s="115" t="s">
        <v>158</v>
      </c>
      <c r="E20" s="116" t="s">
        <v>159</v>
      </c>
      <c r="F20" s="116" t="s">
        <v>160</v>
      </c>
      <c r="G20" s="112" t="s">
        <v>162</v>
      </c>
    </row>
    <row r="21" spans="2:7" x14ac:dyDescent="0.25">
      <c r="B21" s="148"/>
      <c r="C21" s="123"/>
      <c r="D21" s="115"/>
      <c r="E21" s="116"/>
      <c r="F21" s="116"/>
      <c r="G21" s="112"/>
    </row>
    <row r="22" spans="2:7" ht="15.75" x14ac:dyDescent="0.3">
      <c r="B22" s="149"/>
      <c r="C22" s="79"/>
      <c r="D22" s="77"/>
      <c r="E22" s="77"/>
      <c r="F22" s="77"/>
      <c r="G22" s="78"/>
    </row>
    <row r="23" spans="2:7" x14ac:dyDescent="0.25">
      <c r="B23" s="284" t="s">
        <v>164</v>
      </c>
      <c r="C23" s="285"/>
      <c r="D23" s="285"/>
      <c r="E23" s="285"/>
      <c r="F23" s="285"/>
      <c r="G23" s="286"/>
    </row>
    <row r="24" spans="2:7" x14ac:dyDescent="0.25">
      <c r="B24" s="287"/>
      <c r="C24" s="285"/>
      <c r="D24" s="285"/>
      <c r="E24" s="285"/>
      <c r="F24" s="285"/>
      <c r="G24" s="286"/>
    </row>
    <row r="25" spans="2:7" x14ac:dyDescent="0.25">
      <c r="B25" s="147" t="s">
        <v>163</v>
      </c>
      <c r="C25" s="122"/>
      <c r="D25" s="114"/>
      <c r="E25" s="113"/>
      <c r="F25" s="113"/>
      <c r="G25" s="111"/>
    </row>
    <row r="26" spans="2:7" x14ac:dyDescent="0.25">
      <c r="B26" s="148"/>
      <c r="C26" s="123" t="s">
        <v>166</v>
      </c>
      <c r="D26" s="115" t="s">
        <v>168</v>
      </c>
      <c r="F26" s="116"/>
      <c r="G26" s="112"/>
    </row>
    <row r="27" spans="2:7" x14ac:dyDescent="0.25">
      <c r="B27" s="148"/>
      <c r="C27" s="123"/>
      <c r="E27" s="116"/>
      <c r="F27" s="116"/>
      <c r="G27" s="112"/>
    </row>
    <row r="28" spans="2:7" x14ac:dyDescent="0.25">
      <c r="B28" s="148"/>
      <c r="C28" s="123"/>
      <c r="D28" s="115"/>
      <c r="E28" s="116"/>
      <c r="F28" s="116"/>
      <c r="G28" s="112"/>
    </row>
    <row r="29" spans="2:7" x14ac:dyDescent="0.25">
      <c r="B29" s="148"/>
      <c r="C29" s="123" t="s">
        <v>167</v>
      </c>
      <c r="D29" s="115" t="s">
        <v>169</v>
      </c>
      <c r="F29" s="116"/>
      <c r="G29" s="112"/>
    </row>
    <row r="30" spans="2:7" x14ac:dyDescent="0.25">
      <c r="B30" s="148"/>
      <c r="C30" s="123"/>
      <c r="D30" s="115"/>
      <c r="E30" s="116"/>
      <c r="F30" s="116"/>
      <c r="G30" s="112"/>
    </row>
    <row r="31" spans="2:7" x14ac:dyDescent="0.25">
      <c r="B31" s="148"/>
      <c r="C31" s="123"/>
      <c r="D31" s="115"/>
      <c r="E31" s="116"/>
      <c r="F31" s="116"/>
      <c r="G31" s="112"/>
    </row>
    <row r="32" spans="2:7" ht="15.75" x14ac:dyDescent="0.3">
      <c r="B32" s="149"/>
      <c r="C32" s="79"/>
      <c r="D32" s="77"/>
      <c r="E32" s="77"/>
      <c r="F32" s="77"/>
      <c r="G32" s="78"/>
    </row>
  </sheetData>
  <mergeCells count="10">
    <mergeCell ref="B13:G14"/>
    <mergeCell ref="B15:B22"/>
    <mergeCell ref="B23:G24"/>
    <mergeCell ref="B25:B32"/>
    <mergeCell ref="B1:D2"/>
    <mergeCell ref="E1:F2"/>
    <mergeCell ref="G1:G2"/>
    <mergeCell ref="B3:F4"/>
    <mergeCell ref="G3:G4"/>
    <mergeCell ref="B5:B12"/>
  </mergeCells>
  <pageMargins left="0.25" right="0.25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7186D-238B-46E9-9E4D-A83BE82067A9}">
  <dimension ref="B1:G12"/>
  <sheetViews>
    <sheetView workbookViewId="0">
      <selection activeCell="B3" sqref="B3:F4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3" width="16.28515625" customWidth="1"/>
    <col min="4" max="4" width="25.7109375" customWidth="1"/>
    <col min="5" max="6" width="13.28515625" customWidth="1"/>
    <col min="7" max="7" width="16.28515625" customWidth="1"/>
  </cols>
  <sheetData>
    <row r="1" spans="2:7" x14ac:dyDescent="0.25">
      <c r="B1" s="129" t="s">
        <v>124</v>
      </c>
      <c r="C1" s="130"/>
      <c r="D1" s="130"/>
      <c r="E1" s="133">
        <f>Kompetenzraster!Q27</f>
        <v>46517</v>
      </c>
      <c r="F1" s="134"/>
      <c r="G1" s="137">
        <v>12</v>
      </c>
    </row>
    <row r="2" spans="2:7" x14ac:dyDescent="0.25">
      <c r="B2" s="131"/>
      <c r="C2" s="132"/>
      <c r="D2" s="132"/>
      <c r="E2" s="135"/>
      <c r="F2" s="136"/>
      <c r="G2" s="138"/>
    </row>
    <row r="3" spans="2:7" ht="15.75" customHeight="1" x14ac:dyDescent="0.25">
      <c r="B3" s="139" t="s">
        <v>171</v>
      </c>
      <c r="C3" s="140"/>
      <c r="D3" s="140"/>
      <c r="E3" s="140"/>
      <c r="F3" s="141"/>
      <c r="G3" s="145"/>
    </row>
    <row r="4" spans="2:7" ht="14.25" customHeight="1" x14ac:dyDescent="0.25">
      <c r="B4" s="142"/>
      <c r="C4" s="143"/>
      <c r="D4" s="143"/>
      <c r="E4" s="143"/>
      <c r="F4" s="144"/>
      <c r="G4" s="146"/>
    </row>
    <row r="5" spans="2:7" ht="15.75" customHeight="1" x14ac:dyDescent="0.25">
      <c r="B5" s="147" t="s">
        <v>172</v>
      </c>
      <c r="C5" s="122"/>
      <c r="D5" s="114"/>
      <c r="E5" s="113"/>
      <c r="F5" s="113"/>
      <c r="G5" s="111"/>
    </row>
    <row r="6" spans="2:7" x14ac:dyDescent="0.25">
      <c r="B6" s="148"/>
      <c r="C6" s="123"/>
      <c r="D6" s="115"/>
      <c r="E6" s="116"/>
      <c r="F6" s="116"/>
      <c r="G6" s="112"/>
    </row>
    <row r="7" spans="2:7" x14ac:dyDescent="0.25">
      <c r="B7" s="148"/>
      <c r="C7" s="123"/>
      <c r="E7" s="116"/>
      <c r="F7" s="116"/>
      <c r="G7" s="112"/>
    </row>
    <row r="8" spans="2:7" x14ac:dyDescent="0.25">
      <c r="B8" s="148"/>
      <c r="C8" s="123"/>
      <c r="D8" s="126" t="s">
        <v>173</v>
      </c>
      <c r="E8" s="127"/>
      <c r="F8" s="128"/>
      <c r="G8" s="112"/>
    </row>
    <row r="9" spans="2:7" x14ac:dyDescent="0.25">
      <c r="B9" s="148"/>
      <c r="C9" s="124"/>
      <c r="D9" s="116"/>
      <c r="E9" s="116"/>
      <c r="F9" s="116"/>
      <c r="G9" s="112"/>
    </row>
    <row r="10" spans="2:7" x14ac:dyDescent="0.25">
      <c r="B10" s="148"/>
      <c r="C10" s="124"/>
      <c r="D10" s="116"/>
      <c r="E10" s="116"/>
      <c r="F10" s="116"/>
      <c r="G10" s="112"/>
    </row>
    <row r="11" spans="2:7" x14ac:dyDescent="0.25">
      <c r="B11" s="148"/>
      <c r="C11" s="125"/>
      <c r="D11" s="116"/>
      <c r="E11" s="116"/>
      <c r="F11" s="116"/>
      <c r="G11" s="112"/>
    </row>
    <row r="12" spans="2:7" ht="15.75" x14ac:dyDescent="0.3">
      <c r="B12" s="149"/>
      <c r="C12" s="117"/>
      <c r="D12" s="118"/>
      <c r="E12" s="119"/>
      <c r="F12" s="120"/>
      <c r="G12" s="121"/>
    </row>
  </sheetData>
  <mergeCells count="7">
    <mergeCell ref="D8:F8"/>
    <mergeCell ref="B1:D2"/>
    <mergeCell ref="E1:F2"/>
    <mergeCell ref="G1:G2"/>
    <mergeCell ref="B3:F4"/>
    <mergeCell ref="G3:G4"/>
    <mergeCell ref="B5:B12"/>
  </mergeCells>
  <pageMargins left="0.25" right="0.25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DF43-AD37-4F49-BD92-C9BB22F22DBA}">
  <dimension ref="B1:F48"/>
  <sheetViews>
    <sheetView zoomScaleNormal="100" workbookViewId="0">
      <selection activeCell="K19" sqref="K19"/>
    </sheetView>
  </sheetViews>
  <sheetFormatPr baseColWidth="10" defaultColWidth="11.42578125" defaultRowHeight="15" x14ac:dyDescent="0.25"/>
  <cols>
    <col min="1" max="1" width="2.85546875" customWidth="1"/>
    <col min="2" max="2" width="14.85546875" customWidth="1"/>
    <col min="3" max="5" width="16.28515625" customWidth="1"/>
    <col min="6" max="6" width="27.140625" customWidth="1"/>
    <col min="7" max="7" width="2.85546875" customWidth="1"/>
  </cols>
  <sheetData>
    <row r="1" spans="2:6" x14ac:dyDescent="0.25">
      <c r="B1" s="320" t="s">
        <v>28</v>
      </c>
      <c r="C1" s="321"/>
      <c r="D1" s="321"/>
      <c r="E1" s="322"/>
      <c r="F1" s="323"/>
    </row>
    <row r="2" spans="2:6" x14ac:dyDescent="0.25">
      <c r="B2" s="324"/>
      <c r="C2" s="325"/>
      <c r="D2" s="325"/>
      <c r="E2" s="326"/>
      <c r="F2" s="327"/>
    </row>
    <row r="3" spans="2:6" ht="12.75" customHeight="1" x14ac:dyDescent="0.25">
      <c r="C3" s="86"/>
      <c r="D3" s="86"/>
      <c r="E3" s="86"/>
      <c r="F3" s="86"/>
    </row>
    <row r="4" spans="2:6" x14ac:dyDescent="0.25">
      <c r="B4" s="309" t="s">
        <v>35</v>
      </c>
      <c r="C4" s="328" t="s">
        <v>70</v>
      </c>
      <c r="D4" s="312"/>
      <c r="E4" s="312"/>
      <c r="F4" s="313"/>
    </row>
    <row r="5" spans="2:6" ht="15.75" customHeight="1" x14ac:dyDescent="0.25">
      <c r="B5" s="310"/>
      <c r="C5" s="314"/>
      <c r="D5" s="315"/>
      <c r="E5" s="315"/>
      <c r="F5" s="316"/>
    </row>
    <row r="6" spans="2:6" x14ac:dyDescent="0.25">
      <c r="B6" s="87" t="s">
        <v>29</v>
      </c>
      <c r="C6" s="314"/>
      <c r="D6" s="315"/>
      <c r="E6" s="315"/>
      <c r="F6" s="316"/>
    </row>
    <row r="7" spans="2:6" x14ac:dyDescent="0.25">
      <c r="B7" s="88">
        <v>3</v>
      </c>
      <c r="C7" s="314"/>
      <c r="D7" s="315"/>
      <c r="E7" s="315"/>
      <c r="F7" s="316"/>
    </row>
    <row r="8" spans="2:6" ht="15.75" customHeight="1" x14ac:dyDescent="0.25">
      <c r="B8" s="89" t="s">
        <v>30</v>
      </c>
      <c r="C8" s="314"/>
      <c r="D8" s="315"/>
      <c r="E8" s="315"/>
      <c r="F8" s="316"/>
    </row>
    <row r="9" spans="2:6" ht="15.75" customHeight="1" x14ac:dyDescent="0.3">
      <c r="B9" s="90">
        <f>Kompetenzraster!Q7</f>
        <v>46433</v>
      </c>
      <c r="C9" s="314"/>
      <c r="D9" s="315"/>
      <c r="E9" s="315"/>
      <c r="F9" s="316"/>
    </row>
    <row r="10" spans="2:6" ht="15.75" customHeight="1" x14ac:dyDescent="0.25">
      <c r="B10" s="89" t="s">
        <v>31</v>
      </c>
      <c r="C10" s="314"/>
      <c r="D10" s="315"/>
      <c r="E10" s="315"/>
      <c r="F10" s="316"/>
    </row>
    <row r="11" spans="2:6" ht="15.75" customHeight="1" x14ac:dyDescent="0.3">
      <c r="B11" s="91">
        <f>Kompetenzraster!Q13-1</f>
        <v>46453</v>
      </c>
      <c r="C11" s="314"/>
      <c r="D11" s="315"/>
      <c r="E11" s="315"/>
      <c r="F11" s="316"/>
    </row>
    <row r="12" spans="2:6" ht="15.75" customHeight="1" x14ac:dyDescent="0.25">
      <c r="B12" s="100"/>
      <c r="C12" s="317"/>
      <c r="D12" s="318"/>
      <c r="E12" s="318"/>
      <c r="F12" s="319"/>
    </row>
    <row r="13" spans="2:6" ht="15.75" customHeight="1" x14ac:dyDescent="0.25">
      <c r="B13" s="309" t="s">
        <v>67</v>
      </c>
      <c r="C13" s="328" t="s">
        <v>118</v>
      </c>
      <c r="D13" s="312"/>
      <c r="E13" s="312"/>
      <c r="F13" s="313"/>
    </row>
    <row r="14" spans="2:6" ht="15.75" customHeight="1" x14ac:dyDescent="0.25">
      <c r="B14" s="310"/>
      <c r="C14" s="314"/>
      <c r="D14" s="315"/>
      <c r="E14" s="315"/>
      <c r="F14" s="316"/>
    </row>
    <row r="15" spans="2:6" ht="15.75" customHeight="1" x14ac:dyDescent="0.25">
      <c r="B15" s="87" t="s">
        <v>29</v>
      </c>
      <c r="C15" s="314"/>
      <c r="D15" s="315"/>
      <c r="E15" s="315"/>
      <c r="F15" s="316"/>
    </row>
    <row r="16" spans="2:6" ht="15.75" customHeight="1" x14ac:dyDescent="0.25">
      <c r="B16" s="88">
        <v>3</v>
      </c>
      <c r="C16" s="314"/>
      <c r="D16" s="315"/>
      <c r="E16" s="315"/>
      <c r="F16" s="316"/>
    </row>
    <row r="17" spans="2:6" ht="15.75" customHeight="1" x14ac:dyDescent="0.25">
      <c r="B17" s="89" t="s">
        <v>30</v>
      </c>
      <c r="C17" s="314"/>
      <c r="D17" s="315"/>
      <c r="E17" s="315"/>
      <c r="F17" s="316"/>
    </row>
    <row r="18" spans="2:6" ht="15.75" customHeight="1" x14ac:dyDescent="0.3">
      <c r="B18" s="90">
        <f>Kompetenzraster!Q13</f>
        <v>46454</v>
      </c>
      <c r="C18" s="314"/>
      <c r="D18" s="315"/>
      <c r="E18" s="315"/>
      <c r="F18" s="316"/>
    </row>
    <row r="19" spans="2:6" ht="15.75" customHeight="1" x14ac:dyDescent="0.25">
      <c r="B19" s="89" t="s">
        <v>31</v>
      </c>
      <c r="C19" s="314"/>
      <c r="D19" s="315"/>
      <c r="E19" s="315"/>
      <c r="F19" s="316"/>
    </row>
    <row r="20" spans="2:6" ht="15.75" customHeight="1" x14ac:dyDescent="0.3">
      <c r="B20" s="91">
        <f>Kompetenzraster!Q19-1</f>
        <v>46474</v>
      </c>
      <c r="C20" s="314"/>
      <c r="D20" s="315"/>
      <c r="E20" s="315"/>
      <c r="F20" s="316"/>
    </row>
    <row r="21" spans="2:6" ht="15.75" customHeight="1" x14ac:dyDescent="0.25">
      <c r="B21" s="100"/>
      <c r="C21" s="317"/>
      <c r="D21" s="318"/>
      <c r="E21" s="318"/>
      <c r="F21" s="319"/>
    </row>
    <row r="22" spans="2:6" x14ac:dyDescent="0.25">
      <c r="B22" s="309" t="s">
        <v>36</v>
      </c>
      <c r="C22" s="328" t="s">
        <v>117</v>
      </c>
      <c r="D22" s="312"/>
      <c r="E22" s="312"/>
      <c r="F22" s="313"/>
    </row>
    <row r="23" spans="2:6" x14ac:dyDescent="0.25">
      <c r="B23" s="310"/>
      <c r="C23" s="314"/>
      <c r="D23" s="315"/>
      <c r="E23" s="315"/>
      <c r="F23" s="316"/>
    </row>
    <row r="24" spans="2:6" x14ac:dyDescent="0.25">
      <c r="B24" s="87" t="s">
        <v>29</v>
      </c>
      <c r="C24" s="314"/>
      <c r="D24" s="315"/>
      <c r="E24" s="315"/>
      <c r="F24" s="316"/>
    </row>
    <row r="25" spans="2:6" x14ac:dyDescent="0.25">
      <c r="B25" s="88">
        <v>3</v>
      </c>
      <c r="C25" s="314"/>
      <c r="D25" s="315"/>
      <c r="E25" s="315"/>
      <c r="F25" s="316"/>
    </row>
    <row r="26" spans="2:6" x14ac:dyDescent="0.25">
      <c r="B26" s="89" t="s">
        <v>30</v>
      </c>
      <c r="C26" s="314"/>
      <c r="D26" s="315"/>
      <c r="E26" s="315"/>
      <c r="F26" s="316"/>
    </row>
    <row r="27" spans="2:6" ht="16.5" x14ac:dyDescent="0.3">
      <c r="B27" s="90">
        <v>44995</v>
      </c>
      <c r="C27" s="314"/>
      <c r="D27" s="315"/>
      <c r="E27" s="315"/>
      <c r="F27" s="316"/>
    </row>
    <row r="28" spans="2:6" x14ac:dyDescent="0.25">
      <c r="B28" s="89" t="s">
        <v>31</v>
      </c>
      <c r="C28" s="314"/>
      <c r="D28" s="315"/>
      <c r="E28" s="315"/>
      <c r="F28" s="316"/>
    </row>
    <row r="29" spans="2:6" ht="16.5" x14ac:dyDescent="0.3">
      <c r="B29" s="91">
        <v>45022</v>
      </c>
      <c r="C29" s="314"/>
      <c r="D29" s="315"/>
      <c r="E29" s="315"/>
      <c r="F29" s="316"/>
    </row>
    <row r="30" spans="2:6" x14ac:dyDescent="0.25">
      <c r="B30" s="100"/>
      <c r="C30" s="317"/>
      <c r="D30" s="318"/>
      <c r="E30" s="318"/>
      <c r="F30" s="319"/>
    </row>
    <row r="31" spans="2:6" x14ac:dyDescent="0.25">
      <c r="B31" s="309" t="s">
        <v>37</v>
      </c>
      <c r="C31" s="311" t="s">
        <v>116</v>
      </c>
      <c r="D31" s="312"/>
      <c r="E31" s="312"/>
      <c r="F31" s="313"/>
    </row>
    <row r="32" spans="2:6" x14ac:dyDescent="0.25">
      <c r="B32" s="310"/>
      <c r="C32" s="314"/>
      <c r="D32" s="315"/>
      <c r="E32" s="315"/>
      <c r="F32" s="316"/>
    </row>
    <row r="33" spans="2:6" x14ac:dyDescent="0.25">
      <c r="B33" s="87" t="s">
        <v>29</v>
      </c>
      <c r="C33" s="314"/>
      <c r="D33" s="315"/>
      <c r="E33" s="315"/>
      <c r="F33" s="316"/>
    </row>
    <row r="34" spans="2:6" x14ac:dyDescent="0.25">
      <c r="B34" s="88">
        <v>3</v>
      </c>
      <c r="C34" s="314"/>
      <c r="D34" s="315"/>
      <c r="E34" s="315"/>
      <c r="F34" s="316"/>
    </row>
    <row r="35" spans="2:6" x14ac:dyDescent="0.25">
      <c r="B35" s="89" t="s">
        <v>30</v>
      </c>
      <c r="C35" s="314"/>
      <c r="D35" s="315"/>
      <c r="E35" s="315"/>
      <c r="F35" s="316"/>
    </row>
    <row r="36" spans="2:6" ht="16.5" x14ac:dyDescent="0.3">
      <c r="B36" s="90">
        <f>Kompetenzraster!Q13</f>
        <v>46454</v>
      </c>
      <c r="C36" s="314"/>
      <c r="D36" s="315"/>
      <c r="E36" s="315"/>
      <c r="F36" s="316"/>
    </row>
    <row r="37" spans="2:6" x14ac:dyDescent="0.25">
      <c r="B37" s="89" t="s">
        <v>31</v>
      </c>
      <c r="C37" s="314"/>
      <c r="D37" s="315"/>
      <c r="E37" s="315"/>
      <c r="F37" s="316"/>
    </row>
    <row r="38" spans="2:6" ht="16.5" x14ac:dyDescent="0.3">
      <c r="B38" s="91">
        <f>Kompetenzraster!Q19-1</f>
        <v>46474</v>
      </c>
      <c r="C38" s="314"/>
      <c r="D38" s="315"/>
      <c r="E38" s="315"/>
      <c r="F38" s="316"/>
    </row>
    <row r="39" spans="2:6" x14ac:dyDescent="0.25">
      <c r="B39" s="100"/>
      <c r="C39" s="317"/>
      <c r="D39" s="318"/>
      <c r="E39" s="318"/>
      <c r="F39" s="319"/>
    </row>
    <row r="40" spans="2:6" x14ac:dyDescent="0.25">
      <c r="B40" s="309" t="s">
        <v>38</v>
      </c>
      <c r="C40" s="311" t="s">
        <v>72</v>
      </c>
      <c r="D40" s="312"/>
      <c r="E40" s="312"/>
      <c r="F40" s="313"/>
    </row>
    <row r="41" spans="2:6" x14ac:dyDescent="0.25">
      <c r="B41" s="310"/>
      <c r="C41" s="314"/>
      <c r="D41" s="315"/>
      <c r="E41" s="315"/>
      <c r="F41" s="316"/>
    </row>
    <row r="42" spans="2:6" x14ac:dyDescent="0.25">
      <c r="B42" s="87" t="s">
        <v>29</v>
      </c>
      <c r="C42" s="314"/>
      <c r="D42" s="315"/>
      <c r="E42" s="315"/>
      <c r="F42" s="316"/>
    </row>
    <row r="43" spans="2:6" x14ac:dyDescent="0.25">
      <c r="B43" s="88">
        <v>1</v>
      </c>
      <c r="C43" s="314"/>
      <c r="D43" s="315"/>
      <c r="E43" s="315"/>
      <c r="F43" s="316"/>
    </row>
    <row r="44" spans="2:6" x14ac:dyDescent="0.25">
      <c r="B44" s="89" t="s">
        <v>30</v>
      </c>
      <c r="C44" s="314"/>
      <c r="D44" s="315"/>
      <c r="E44" s="315"/>
      <c r="F44" s="316"/>
    </row>
    <row r="45" spans="2:6" ht="16.5" x14ac:dyDescent="0.3">
      <c r="B45" s="90" t="str">
        <f>Kompetenzraster!Q14</f>
        <v>8.8 I 8.2</v>
      </c>
      <c r="C45" s="314"/>
      <c r="D45" s="315"/>
      <c r="E45" s="315"/>
      <c r="F45" s="316"/>
    </row>
    <row r="46" spans="2:6" x14ac:dyDescent="0.25">
      <c r="B46" s="89" t="s">
        <v>31</v>
      </c>
      <c r="C46" s="314"/>
      <c r="D46" s="315"/>
      <c r="E46" s="315"/>
      <c r="F46" s="316"/>
    </row>
    <row r="47" spans="2:6" ht="16.5" x14ac:dyDescent="0.3">
      <c r="B47" s="91" t="e">
        <f>Kompetenzraster!Q16-1</f>
        <v>#VALUE!</v>
      </c>
      <c r="C47" s="314"/>
      <c r="D47" s="315"/>
      <c r="E47" s="315"/>
      <c r="F47" s="316"/>
    </row>
    <row r="48" spans="2:6" x14ac:dyDescent="0.25">
      <c r="B48" s="100"/>
      <c r="C48" s="317"/>
      <c r="D48" s="318"/>
      <c r="E48" s="318"/>
      <c r="F48" s="319"/>
    </row>
  </sheetData>
  <mergeCells count="11">
    <mergeCell ref="B40:B41"/>
    <mergeCell ref="C40:F48"/>
    <mergeCell ref="B31:B32"/>
    <mergeCell ref="C31:F39"/>
    <mergeCell ref="B1:F2"/>
    <mergeCell ref="B4:B5"/>
    <mergeCell ref="C4:F12"/>
    <mergeCell ref="B22:B23"/>
    <mergeCell ref="C22:F30"/>
    <mergeCell ref="B13:B14"/>
    <mergeCell ref="C13:F21"/>
  </mergeCells>
  <pageMargins left="0.25" right="0.25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7C54C6B4757CD47A3EC38904B6DF68F" ma:contentTypeVersion="31" ma:contentTypeDescription="Ein neues Dokument erstellen." ma:contentTypeScope="" ma:versionID="378ca918972306f8bcea32dcee92943e">
  <xsd:schema xmlns:xsd="http://www.w3.org/2001/XMLSchema" xmlns:xs="http://www.w3.org/2001/XMLSchema" xmlns:p="http://schemas.microsoft.com/office/2006/metadata/properties" xmlns:ns3="550b22fb-13da-4cf5-969f-c4932bbd4a2b" xmlns:ns4="e6d905db-4f59-4a3b-930f-acb1d61e4a6c" targetNamespace="http://schemas.microsoft.com/office/2006/metadata/properties" ma:root="true" ma:fieldsID="f6b321631842e57c4f471f5baaeb880f" ns3:_="" ns4:_="">
    <xsd:import namespace="550b22fb-13da-4cf5-969f-c4932bbd4a2b"/>
    <xsd:import namespace="e6d905db-4f59-4a3b-930f-acb1d61e4a6c"/>
    <xsd:element name="properties">
      <xsd:complexType>
        <xsd:sequence>
          <xsd:element name="documentManagement">
            <xsd:complexType>
              <xsd:all>
                <xsd:element ref="ns3:NotebookType" minOccurs="0"/>
                <xsd:element ref="ns3:FolderType" minOccurs="0"/>
                <xsd:element ref="ns3:Owner" minOccurs="0"/>
                <xsd:element ref="ns3:DefaultSectionNames" minOccurs="0"/>
                <xsd:element ref="ns3:Templates" minOccurs="0"/>
                <xsd:element ref="ns3:CultureName" minOccurs="0"/>
                <xsd:element ref="ns3:AppVersion" minOccurs="0"/>
                <xsd:element ref="ns3:Teachers" minOccurs="0"/>
                <xsd:element ref="ns3:Students" minOccurs="0"/>
                <xsd:element ref="ns3:Student_Group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TeamsChannelId" minOccurs="0"/>
                <xsd:element ref="ns3:IsNotebookLocked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ath_Settings" minOccurs="0"/>
                <xsd:element ref="ns3:MediaServiceGenerationTime" minOccurs="0"/>
                <xsd:element ref="ns3:MediaServiceEventHashCode" minOccurs="0"/>
                <xsd:element ref="ns3:Distribution_Groups" minOccurs="0"/>
                <xsd:element ref="ns3:LMS_Mappin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b22fb-13da-4cf5-969f-c4932bbd4a2b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Owner" ma:index="10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faultSectionNames" ma:index="11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2" nillable="true" ma:displayName="Templates" ma:internalName="Templates">
      <xsd:simpleType>
        <xsd:restriction base="dms:Note">
          <xsd:maxLength value="255"/>
        </xsd:restriction>
      </xsd:simpleType>
    </xsd:element>
    <xsd:element name="CultureName" ma:index="13" nillable="true" ma:displayName="Culture Name" ma:internalName="CultureName">
      <xsd:simpleType>
        <xsd:restriction base="dms:Text"/>
      </xsd:simpleType>
    </xsd:element>
    <xsd:element name="AppVersion" ma:index="14" nillable="true" ma:displayName="App Version" ma:internalName="AppVersion">
      <xsd:simpleType>
        <xsd:restriction base="dms:Text"/>
      </xsd:simpleType>
    </xsd:element>
    <xsd:element name="Teachers" ma:index="15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6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7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nvited_Teachers" ma:index="18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19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0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1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2" nillable="true" ma:displayName="Is Collaboration Space Locked" ma:internalName="Is_Collaboration_Space_Locked">
      <xsd:simpleType>
        <xsd:restriction base="dms:Boolean"/>
      </xsd:simpleType>
    </xsd:element>
    <xsd:element name="MediaServiceMetadata" ma:index="2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7" nillable="true" ma:displayName="MediaServiceFastMetadata" ma:hidden="true" ma:internalName="MediaServiceFastMetadata" ma:readOnly="true">
      <xsd:simpleType>
        <xsd:restriction base="dms:Note"/>
      </xsd:simpleType>
    </xsd:element>
    <xsd:element name="TeamsChannelId" ma:index="28" nillable="true" ma:displayName="Teams Channel Id" ma:internalName="TeamsChannelId">
      <xsd:simpleType>
        <xsd:restriction base="dms:Text"/>
      </xsd:simpleType>
    </xsd:element>
    <xsd:element name="IsNotebookLocked" ma:index="29" nillable="true" ma:displayName="Is Notebook Locked" ma:internalName="IsNotebookLocked">
      <xsd:simpleType>
        <xsd:restriction base="dms:Boolean"/>
      </xsd:simpleType>
    </xsd:element>
    <xsd:element name="MediaServiceAutoTags" ma:index="30" nillable="true" ma:displayName="MediaServiceAutoTags" ma:internalName="MediaServiceAutoTags" ma:readOnly="true">
      <xsd:simpleType>
        <xsd:restriction base="dms:Text"/>
      </xsd:simpleType>
    </xsd:element>
    <xsd:element name="MediaServiceOCR" ma:index="3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3" nillable="true" ma:displayName="Location" ma:internalName="MediaServiceLocation" ma:readOnly="true">
      <xsd:simpleType>
        <xsd:restriction base="dms:Text"/>
      </xsd:simpleType>
    </xsd:element>
    <xsd:element name="Math_Settings" ma:index="34" nillable="true" ma:displayName="Math Settings" ma:internalName="Math_Settings">
      <xsd:simpleType>
        <xsd:restriction base="dms:Text"/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Distribution_Groups" ma:index="37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8" nillable="true" ma:displayName="LMS Mappings" ma:internalName="LMS_Mapping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d905db-4f59-4a3b-930f-acb1d61e4a6c" elementFormDefault="qualified">
    <xsd:import namespace="http://schemas.microsoft.com/office/2006/documentManagement/types"/>
    <xsd:import namespace="http://schemas.microsoft.com/office/infopath/2007/PartnerControls"/>
    <xsd:element name="SharedWithUsers" ma:index="23" nillable="true" ma:displayName="Freigegeben für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Freigegeben für -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5" nillable="true" ma:displayName="Freigabehinweishash" ma:description="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s_Teacher_Only_SectionGroup xmlns="550b22fb-13da-4cf5-969f-c4932bbd4a2b" xsi:nil="true"/>
    <FolderType xmlns="550b22fb-13da-4cf5-969f-c4932bbd4a2b" xsi:nil="true"/>
    <Invited_Teachers xmlns="550b22fb-13da-4cf5-969f-c4932bbd4a2b" xsi:nil="true"/>
    <Invited_Students xmlns="550b22fb-13da-4cf5-969f-c4932bbd4a2b" xsi:nil="true"/>
    <IsNotebookLocked xmlns="550b22fb-13da-4cf5-969f-c4932bbd4a2b" xsi:nil="true"/>
    <Self_Registration_Enabled xmlns="550b22fb-13da-4cf5-969f-c4932bbd4a2b" xsi:nil="true"/>
    <Teachers xmlns="550b22fb-13da-4cf5-969f-c4932bbd4a2b">
      <UserInfo>
        <DisplayName/>
        <AccountId xsi:nil="true"/>
        <AccountType/>
      </UserInfo>
    </Teachers>
    <Is_Collaboration_Space_Locked xmlns="550b22fb-13da-4cf5-969f-c4932bbd4a2b" xsi:nil="true"/>
    <CultureName xmlns="550b22fb-13da-4cf5-969f-c4932bbd4a2b" xsi:nil="true"/>
    <Templates xmlns="550b22fb-13da-4cf5-969f-c4932bbd4a2b" xsi:nil="true"/>
    <NotebookType xmlns="550b22fb-13da-4cf5-969f-c4932bbd4a2b" xsi:nil="true"/>
    <Student_Groups xmlns="550b22fb-13da-4cf5-969f-c4932bbd4a2b">
      <UserInfo>
        <DisplayName/>
        <AccountId xsi:nil="true"/>
        <AccountType/>
      </UserInfo>
    </Student_Groups>
    <TeamsChannelId xmlns="550b22fb-13da-4cf5-969f-c4932bbd4a2b" xsi:nil="true"/>
    <Math_Settings xmlns="550b22fb-13da-4cf5-969f-c4932bbd4a2b" xsi:nil="true"/>
    <Owner xmlns="550b22fb-13da-4cf5-969f-c4932bbd4a2b">
      <UserInfo>
        <DisplayName/>
        <AccountId xsi:nil="true"/>
        <AccountType/>
      </UserInfo>
    </Owner>
    <Students xmlns="550b22fb-13da-4cf5-969f-c4932bbd4a2b">
      <UserInfo>
        <DisplayName/>
        <AccountId xsi:nil="true"/>
        <AccountType/>
      </UserInfo>
    </Students>
    <Distribution_Groups xmlns="550b22fb-13da-4cf5-969f-c4932bbd4a2b" xsi:nil="true"/>
    <AppVersion xmlns="550b22fb-13da-4cf5-969f-c4932bbd4a2b" xsi:nil="true"/>
    <LMS_Mappings xmlns="550b22fb-13da-4cf5-969f-c4932bbd4a2b" xsi:nil="true"/>
    <DefaultSectionNames xmlns="550b22fb-13da-4cf5-969f-c4932bbd4a2b" xsi:nil="true"/>
  </documentManagement>
</p:properties>
</file>

<file path=customXml/itemProps1.xml><?xml version="1.0" encoding="utf-8"?>
<ds:datastoreItem xmlns:ds="http://schemas.openxmlformats.org/officeDocument/2006/customXml" ds:itemID="{C2F2AA97-FA8A-488E-A75B-B1EC579558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0b22fb-13da-4cf5-969f-c4932bbd4a2b"/>
    <ds:schemaRef ds:uri="e6d905db-4f59-4a3b-930f-acb1d61e4a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B53204-ECB9-430B-80C6-D40F92B99C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4F57DC-141E-4AB1-87CC-0E2B5E397D59}">
  <ds:schemaRefs>
    <ds:schemaRef ds:uri="http://schemas.microsoft.com/office/2006/metadata/properties"/>
    <ds:schemaRef ds:uri="http://schemas.openxmlformats.org/package/2006/metadata/core-properties"/>
    <ds:schemaRef ds:uri="http://purl.org/dc/terms/"/>
    <ds:schemaRef ds:uri="550b22fb-13da-4cf5-969f-c4932bbd4a2b"/>
    <ds:schemaRef ds:uri="http://purl.org/dc/elements/1.1/"/>
    <ds:schemaRef ds:uri="e6d905db-4f59-4a3b-930f-acb1d61e4a6c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806a8f2b-28e4-44c4-ac01-7357a3a2b9e7}" enabled="1" method="Standard" siteId="{5daf41bd-338c-4311-b1b0-e1299889c34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14</vt:i4>
      </vt:variant>
    </vt:vector>
  </HeadingPairs>
  <TitlesOfParts>
    <vt:vector size="14" baseType="lpstr">
      <vt:lpstr>Kompetenzraster</vt:lpstr>
      <vt:lpstr>ST_1_KW_6</vt:lpstr>
      <vt:lpstr>ST_2_KW_7</vt:lpstr>
      <vt:lpstr>ST_3_KW_8</vt:lpstr>
      <vt:lpstr>ST_4_KW_9</vt:lpstr>
      <vt:lpstr>ST_5_KW_10</vt:lpstr>
      <vt:lpstr>ST_6_KW_11</vt:lpstr>
      <vt:lpstr>ST_7_KW_12</vt:lpstr>
      <vt:lpstr>ST_8_KW_13</vt:lpstr>
      <vt:lpstr>ST_9_KW_14 </vt:lpstr>
      <vt:lpstr>ST_10_KW_15</vt:lpstr>
      <vt:lpstr>ST_11_KW_16</vt:lpstr>
      <vt:lpstr>ST_12_KW_17 </vt:lpstr>
      <vt:lpstr>Aufgaben_Teams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 Item</dc:creator>
  <cp:keywords/>
  <dc:description/>
  <cp:lastModifiedBy>Item Marcel GBS-LPGB</cp:lastModifiedBy>
  <cp:revision/>
  <cp:lastPrinted>2026-04-23T08:31:54Z</cp:lastPrinted>
  <dcterms:created xsi:type="dcterms:W3CDTF">2018-02-19T12:02:46Z</dcterms:created>
  <dcterms:modified xsi:type="dcterms:W3CDTF">2026-06-30T13:52:08Z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0x01010017C54C6B4757CD47A3EC38904B6DF68F</vt:lpwstr>
  </property>
</Properties>
</file>