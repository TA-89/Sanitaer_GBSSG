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tobias_arnold_gbssg_ch/Documents/01_GBS_SG_2025/01_Klassen/03_SAIa_25-29/1.Semester/"/>
    </mc:Choice>
  </mc:AlternateContent>
  <xr:revisionPtr revIDLastSave="5993" documentId="8_{3BFB4D69-A220-407D-99E4-3E0E987B4F87}" xr6:coauthVersionLast="47" xr6:coauthVersionMax="47" xr10:uidLastSave="{396D8F20-877D-45E2-A4FD-5C611B88DDCB}"/>
  <bookViews>
    <workbookView xWindow="-110" yWindow="-110" windowWidth="24220" windowHeight="15500" activeTab="5" xr2:uid="{00000000-000D-0000-FFFF-FFFF00000000}"/>
  </bookViews>
  <sheets>
    <sheet name="Kompetenzraster" sheetId="65" r:id="rId1"/>
    <sheet name="ST_1_KW33" sheetId="14" state="hidden" r:id="rId2"/>
    <sheet name="ST_2_KW34 " sheetId="43" state="hidden" r:id="rId3"/>
    <sheet name="ST_03_KW35" sheetId="66" state="hidden" r:id="rId4"/>
    <sheet name="ST_4_KW36" sheetId="49" state="hidden" r:id="rId5"/>
    <sheet name="ST_5_KW37 " sheetId="50" r:id="rId6"/>
    <sheet name="ST_6_KW38_" sheetId="52" r:id="rId7"/>
    <sheet name="ST_7_KW39 " sheetId="51" r:id="rId8"/>
    <sheet name="ST_8_KW43" sheetId="67" r:id="rId9"/>
    <sheet name="ST_9_KW44" sheetId="54" r:id="rId10"/>
    <sheet name="ST_10_KW45" sheetId="55" r:id="rId11"/>
    <sheet name="ST_11_KW46 (2)" sheetId="69" r:id="rId12"/>
    <sheet name="ST_11_KW46" sheetId="56" r:id="rId13"/>
    <sheet name="ST_12_KW47" sheetId="57" r:id="rId14"/>
    <sheet name="ST_13_KW48" sheetId="58" r:id="rId15"/>
    <sheet name="ST_14_KW49." sheetId="68" r:id="rId16"/>
    <sheet name="ST_15_KW50" sheetId="61" r:id="rId17"/>
    <sheet name="ST_16_KW51" sheetId="62" r:id="rId18"/>
    <sheet name="ST_17_KW02" sheetId="63" r:id="rId19"/>
    <sheet name="ST_18_KW03" sheetId="64" r:id="rId20"/>
    <sheet name="Tabelle1" sheetId="59" r:id="rId21"/>
  </sheets>
  <definedNames>
    <definedName name="_xlnm.Print_Area" localSheetId="0">Kompetenzraster!$A$1:$V$44</definedName>
    <definedName name="_xlnm.Print_Area" localSheetId="1">ST_1_KW33!$A$1:$I$50</definedName>
    <definedName name="_xlnm.Print_Area" localSheetId="10">ST_10_KW45!$A$1:$I$51</definedName>
    <definedName name="_xlnm.Print_Area" localSheetId="12">ST_11_KW46!$A$1:$I$50</definedName>
    <definedName name="_xlnm.Print_Area" localSheetId="11">'ST_11_KW46 (2)'!$A$1:$I$50</definedName>
    <definedName name="_xlnm.Print_Area" localSheetId="13">ST_12_KW47!$A$1:$I$51</definedName>
    <definedName name="_xlnm.Print_Area" localSheetId="14">ST_13_KW48!$A$1:$I$52</definedName>
    <definedName name="_xlnm.Print_Area" localSheetId="15">ST_14_KW49.!$A$1:$J$51</definedName>
    <definedName name="_xlnm.Print_Area" localSheetId="16">ST_15_KW50!$A$1:$I$52</definedName>
    <definedName name="_xlnm.Print_Area" localSheetId="17">ST_16_KW51!$A$1:$I$52</definedName>
    <definedName name="_xlnm.Print_Area" localSheetId="18">ST_17_KW02!$A$1:$I$51</definedName>
    <definedName name="_xlnm.Print_Area" localSheetId="19">ST_18_KW03!$A$1:$I$52</definedName>
    <definedName name="_xlnm.Print_Area" localSheetId="4">ST_4_KW36!$A$1:$I$51</definedName>
    <definedName name="_xlnm.Print_Area" localSheetId="5">'ST_5_KW37 '!$A$1:$I$50</definedName>
    <definedName name="_xlnm.Print_Area" localSheetId="6">ST_6_KW38_!$A$1:$I$50</definedName>
    <definedName name="_xlnm.Print_Area" localSheetId="7">'ST_7_KW39 '!$A$1:$I$48</definedName>
    <definedName name="_xlnm.Print_Area" localSheetId="8">ST_8_KW43!$A$1:$I$49</definedName>
    <definedName name="_xlnm.Print_Area" localSheetId="9">ST_9_KW44!$A$1:$I$51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" i="69" l="1"/>
  <c r="R5" i="65"/>
  <c r="R7" i="65" l="1"/>
  <c r="R9" i="65" s="1"/>
  <c r="R11" i="65" s="1"/>
  <c r="R13" i="65" s="1"/>
  <c r="N24" i="65"/>
  <c r="N32" i="65"/>
  <c r="F1" i="14" l="1"/>
  <c r="F1" i="43"/>
  <c r="R15" i="65"/>
  <c r="F1" i="50"/>
  <c r="F1" i="66"/>
  <c r="F1" i="49"/>
  <c r="R17" i="65" l="1"/>
  <c r="F1" i="52"/>
  <c r="R19" i="65" l="1"/>
  <c r="F1" i="51"/>
  <c r="R21" i="65" l="1"/>
  <c r="F1" i="67"/>
  <c r="R23" i="65" l="1"/>
  <c r="F1" i="54"/>
  <c r="R25" i="65" l="1"/>
  <c r="F1" i="55"/>
  <c r="R27" i="65" l="1"/>
  <c r="F1" i="56"/>
  <c r="R29" i="65" l="1"/>
  <c r="F1" i="57"/>
  <c r="R31" i="65" l="1"/>
  <c r="F1" i="58"/>
  <c r="R33" i="65" l="1"/>
  <c r="F1" i="68"/>
  <c r="R35" i="65" l="1"/>
  <c r="F1" i="61"/>
  <c r="R37" i="65" l="1"/>
  <c r="F1" i="62"/>
  <c r="R39" i="65" l="1"/>
  <c r="F1" i="63"/>
  <c r="R41" i="65" l="1"/>
  <c r="F1" i="64"/>
</calcChain>
</file>

<file path=xl/sharedStrings.xml><?xml version="1.0" encoding="utf-8"?>
<sst xmlns="http://schemas.openxmlformats.org/spreadsheetml/2006/main" count="1542" uniqueCount="516">
  <si>
    <t>Kompetenzraster 1.Semester  Sanitärinstallateur/in EFZ</t>
  </si>
  <si>
    <t>Semesterstart:</t>
  </si>
  <si>
    <t>Schultag:</t>
  </si>
  <si>
    <t>Handlungsfelder und Kompetenzen</t>
  </si>
  <si>
    <t>Bewertung / Benotung</t>
  </si>
  <si>
    <t>Unterichtsplanung 1. Semester</t>
  </si>
  <si>
    <t>Auftrag 1.1</t>
  </si>
  <si>
    <t>Auftrag 1.2</t>
  </si>
  <si>
    <t>Auftrag 1.3</t>
  </si>
  <si>
    <t xml:space="preserve">Allgemeine Infos zum Schulbetrieb / ICT </t>
  </si>
  <si>
    <t>5 Schultage (10L)</t>
  </si>
  <si>
    <t>8 Schultage (16L)</t>
  </si>
  <si>
    <t>2 Schultage (4L)</t>
  </si>
  <si>
    <t>Sie rechnen Masse aus Plänen in Baumasse um.</t>
  </si>
  <si>
    <t xml:space="preserve">Sie interpretieren einfache Architekturpläne. </t>
  </si>
  <si>
    <t>Sie verstehen die Grundlagen des technischen Zeichnens und können diese anwenden.</t>
  </si>
  <si>
    <t>Sie können die drei Ansichten aus der Vorgabe einer Normalprojektion erstellen.</t>
  </si>
  <si>
    <t>Sie können aus der Vorgabe der drei Ansichten dreidimensionale Körper erstellen.</t>
  </si>
  <si>
    <t xml:space="preserve">Sie erläutern einen einfachen Stromkreislauf. </t>
  </si>
  <si>
    <t>Sie erläutern die Gefahren von Strom und beschreiben den Personen- und Sachschutz.</t>
  </si>
  <si>
    <t>Trinkwasser, Eigenschaften &amp; Gewinnung</t>
  </si>
  <si>
    <r>
      <t>1.4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1.1</t>
    </r>
  </si>
  <si>
    <t>Masse und Flächen berechnen</t>
  </si>
  <si>
    <t xml:space="preserve">Sie beschreiben, bei welchen Situationen eine PSA getragen werden muss. </t>
  </si>
  <si>
    <t xml:space="preserve">Sie berechnen Längen- und Höhenmasse. 
</t>
  </si>
  <si>
    <t xml:space="preserve">Sie berechnen den Platzbedarf (Fläche) von Apparaten und Anlagen anhand von Planvorgaben. </t>
  </si>
  <si>
    <t xml:space="preserve">Sie erklären, welche Reparatur- und Wartungsarbeiten an Maschinen erlaubt sind. </t>
  </si>
  <si>
    <t xml:space="preserve">Auftrag 1.1 </t>
  </si>
  <si>
    <t>1.4    1.1</t>
  </si>
  <si>
    <t xml:space="preserve">Sie erläutern die Gefahren auf der Baustelle und in der Werkstatt. </t>
  </si>
  <si>
    <t>Auftrag 1.4</t>
  </si>
  <si>
    <t>Auftrag 1.5</t>
  </si>
  <si>
    <t>4 Schultage (12L)</t>
  </si>
  <si>
    <t>Auftrag 1.6</t>
  </si>
  <si>
    <t>Wasserleitungsmaterialien &amp; Verbindungen</t>
  </si>
  <si>
    <t xml:space="preserve">Sie beschreiben die wichtigsten Eigenschaften von Wasser. </t>
  </si>
  <si>
    <t xml:space="preserve">Sie beschreiben die Funktionsweise der Wasserversorgung. </t>
  </si>
  <si>
    <t xml:space="preserve">Sie unterscheiden die Systeme für Wasserleitungen nach Material und Verwendungszweck. </t>
  </si>
  <si>
    <t xml:space="preserve">Sie ordnen die gebräuchlichen Armaturen den Armaturengruppen korrekt zu. </t>
  </si>
  <si>
    <t xml:space="preserve">Sie beschreiben die Materialeigenschaften der verschiedenen Rohrsysteme aus Kunststoff und Metall. </t>
  </si>
  <si>
    <t>Auftrag 1.8</t>
  </si>
  <si>
    <t>1.5    1.1</t>
  </si>
  <si>
    <t>Arbeitssicherheit &amp; Elektrizität</t>
  </si>
  <si>
    <t>Auftrag 1.9</t>
  </si>
  <si>
    <t>Auftrag 1.12</t>
  </si>
  <si>
    <t>1.5    1.3</t>
  </si>
  <si>
    <t xml:space="preserve">Sie erklären die Trink-wassergewinnung. 
</t>
  </si>
  <si>
    <t xml:space="preserve">Sie benennen die gängigen Vorschriften bezüglich Wasserhygiene. </t>
  </si>
  <si>
    <t xml:space="preserve">Sie benennen die Verbindungen und Dichtungsmaterialien der verschiedenen Installationssysteme. </t>
  </si>
  <si>
    <t>1.5    1.2</t>
  </si>
  <si>
    <t>Grundlagen technisches Zeichnen</t>
  </si>
  <si>
    <t>WAS Leitungsmaterialien &amp; Verbindungen</t>
  </si>
  <si>
    <t>3 Schultage (9L)</t>
  </si>
  <si>
    <t>1.6   1.2</t>
  </si>
  <si>
    <t xml:space="preserve"> Sie beschreiben die unterschiedlichen Abwasserarten. </t>
  </si>
  <si>
    <t xml:space="preserve">Sie unterscheiden die Systeme von Entsorgungsleitungen nach Verwendungszweck. </t>
  </si>
  <si>
    <t xml:space="preserve">Sie beschreiben die Materialen und Werkstoffe, die bei Entsorgungsleitungen eingesetzt werden. </t>
  </si>
  <si>
    <t xml:space="preserve">Sie beschreiben die gebräuchlichen Entwässerungsgegenstände. </t>
  </si>
  <si>
    <t>Zeugnisnote</t>
  </si>
  <si>
    <t xml:space="preserve">Sie beschreiben die verschiedenen Rohrmaterialien für Entsorgungsleitungen. </t>
  </si>
  <si>
    <t xml:space="preserve">Sie erläutern die Verbindungsmöglichkeiten der verschiedenen Installationssysteme. </t>
  </si>
  <si>
    <t xml:space="preserve"> Sie bestimmen geeignete Befestigungen mit Hilfe von Montagebüchern. </t>
  </si>
  <si>
    <t>Die wichtigsten Sanitärapparate</t>
  </si>
  <si>
    <t>1.8   1.2</t>
  </si>
  <si>
    <t>2 Schultage (5L)</t>
  </si>
  <si>
    <t>1 Schultag (4L)</t>
  </si>
  <si>
    <t xml:space="preserve">Sie erklären den organisatorischen Ablauf bei der Entsorgung von Abfällen. </t>
  </si>
  <si>
    <t xml:space="preserve">Sie benennen die relevanten Umweltvorschriften im Zusammenhang mit der Vermeidung und Entsorgung von Abfällen. </t>
  </si>
  <si>
    <t>Sie beherschen ihr Arbeitsgerät (Convertible) und können die Software korrekt bedienen.</t>
  </si>
  <si>
    <t xml:space="preserve">Sie erläutern den Recycling-Kreislauf und erläutern die Gefahren von Sonderabfällen. 
</t>
  </si>
  <si>
    <t>Abfallentsorgung</t>
  </si>
  <si>
    <t>1.9  1.2</t>
  </si>
  <si>
    <t xml:space="preserve">Abfallentsorgung / Besprechung Zeugnis </t>
  </si>
  <si>
    <t>1.9  1.11</t>
  </si>
  <si>
    <t>Leitungsisometrie</t>
  </si>
  <si>
    <t xml:space="preserve">Fachgruppe Sanitär Spengler </t>
  </si>
  <si>
    <t>Kanton St.Gallen Gewerbliches Berufs- und Weiterbildungszentrum</t>
  </si>
  <si>
    <t>ICT Grundlagen</t>
  </si>
  <si>
    <t>* Installation Convertible / GBS Login der Schule</t>
  </si>
  <si>
    <t>* Login und Erkärung myGBS / NESA</t>
  </si>
  <si>
    <t>Lernziele</t>
  </si>
  <si>
    <t>* Erklärung &amp; Einrichtung OneDrive</t>
  </si>
  <si>
    <t>* Auftrag Leistungsnachweis</t>
  </si>
  <si>
    <t>* Wasserkreislauf &amp; Verteilung auf der Erde</t>
  </si>
  <si>
    <t>Themen:</t>
  </si>
  <si>
    <t>Zeit</t>
  </si>
  <si>
    <t>min.</t>
  </si>
  <si>
    <t>Material / Links</t>
  </si>
  <si>
    <t>Inhalt</t>
  </si>
  <si>
    <t>Lektion 1</t>
  </si>
  <si>
    <t>Lektion 2</t>
  </si>
  <si>
    <t>Lektion 3</t>
  </si>
  <si>
    <t>°Sie kennen Ihren Login und können sich in den Portalen der Schule (mygbs / NESA) anmelden.</t>
  </si>
  <si>
    <t>°Sie kennen die Plattform Microsoft Teams und myPlanner, myGBS, myDrive, myMail, MyEDU</t>
  </si>
  <si>
    <t>°Sie wissen wie man eine Aufgabe entgegennimmt und ein PDF bearbeitet.</t>
  </si>
  <si>
    <t>°Sie wissen wie man ein Dokument auf OneDrive abspeichert und eine Aufgabe abgiebt.</t>
  </si>
  <si>
    <t>Unterrichtsplanung BKU</t>
  </si>
  <si>
    <t>45'</t>
  </si>
  <si>
    <t>20'</t>
  </si>
  <si>
    <t>25'</t>
  </si>
  <si>
    <t>Ausblick nächste Woche:</t>
  </si>
  <si>
    <t>Administratives:</t>
  </si>
  <si>
    <t>Hausaufgaben:</t>
  </si>
  <si>
    <t>Taschenrechner mitnehmen!</t>
  </si>
  <si>
    <t>Wasser und seine besonderen</t>
  </si>
  <si>
    <t>Eigenschaften</t>
  </si>
  <si>
    <t>SF</t>
  </si>
  <si>
    <t>Lektion 4</t>
  </si>
  <si>
    <t>Lektion 5</t>
  </si>
  <si>
    <t>* Sie beschreiben die wichtigsten Eigenschaften von Wasser.</t>
  </si>
  <si>
    <t>*Sie können den Taschenrechner bedienen kennen die wichtigsten Funktionen.</t>
  </si>
  <si>
    <t>*Sie kennen den Sinn der SI-Einheiten und können Einheiten umrechnen.</t>
  </si>
  <si>
    <t>* Einstieg mit Film - Wasser und seine besonderen Eigenschaften</t>
  </si>
  <si>
    <t>* Spezielle Eigenschaften von Wasser kennenlernen</t>
  </si>
  <si>
    <t>PL</t>
  </si>
  <si>
    <t>10'</t>
  </si>
  <si>
    <t>* Start mit Aufgabe 1-5</t>
  </si>
  <si>
    <t>35'</t>
  </si>
  <si>
    <t>EA</t>
  </si>
  <si>
    <t>5'</t>
  </si>
  <si>
    <t>40'</t>
  </si>
  <si>
    <t xml:space="preserve">* Aufgabe 6 </t>
  </si>
  <si>
    <t>* Aufgabe 7- 9</t>
  </si>
  <si>
    <t>suissetecEdu</t>
  </si>
  <si>
    <t xml:space="preserve">* Einstieg Sinn vom Rechnen </t>
  </si>
  <si>
    <t>* Selbständige Bearbeitung Auftrag 1 | Kapitel 1 | Seite 6-11</t>
  </si>
  <si>
    <t xml:space="preserve">* SI Einheiten </t>
  </si>
  <si>
    <t>1.1_Uebungen_1.pdf</t>
  </si>
  <si>
    <t>* SI Einheiten umrechnen / Übungen Stufe 1-3</t>
  </si>
  <si>
    <t>15'</t>
  </si>
  <si>
    <t>* Abschluss</t>
  </si>
  <si>
    <t>* Sie benennen die gängigen Vorschriften bezüglich Wasserhygiene</t>
  </si>
  <si>
    <t>* Sie beschreiben die Trinkwassergewinnung</t>
  </si>
  <si>
    <t xml:space="preserve">* Sie rechnen Masse aus Plänen in Baumasse um. </t>
  </si>
  <si>
    <t>Einstieg und Erklärung SVGW W3 Norm</t>
  </si>
  <si>
    <t>Wichtigste Grundsätze Hygiene</t>
  </si>
  <si>
    <t>Umrechnen von Massen aus Plänen</t>
  </si>
  <si>
    <t>Übungen fertigstellen Stufe 1-3</t>
  </si>
  <si>
    <t>GrafIZ LA 1.4_Auftrag 4 in Teams abgeben</t>
  </si>
  <si>
    <t xml:space="preserve">Fertigstellen Lernauftrag 1.1 bis und mit </t>
  </si>
  <si>
    <t>Seite 11 (nicht abzugeben, wird aber kontr.)</t>
  </si>
  <si>
    <t xml:space="preserve">Funktion der Wasserversorgung </t>
  </si>
  <si>
    <t xml:space="preserve">Flächenberechnung </t>
  </si>
  <si>
    <t xml:space="preserve">* Einstieg </t>
  </si>
  <si>
    <t>30'</t>
  </si>
  <si>
    <t>GA</t>
  </si>
  <si>
    <t>*Sie können einfache Längen und Flächen berechnen und umrechnen.</t>
  </si>
  <si>
    <t>* Sie beschreiben die Funktionsweise der Wasserversorgung.</t>
  </si>
  <si>
    <t>* Gemeinsamer Einstieg | Kontrolle Auftrag 7 LA1.1</t>
  </si>
  <si>
    <t>1.1_Uebungen_2.pdf</t>
  </si>
  <si>
    <t>*  Gemeinsames lösen | Aufgabe 13 auf Seite 12</t>
  </si>
  <si>
    <t>* Selbständiges Lösen Aufgabe 14 (danach die Übungen 1.1_2)</t>
  </si>
  <si>
    <t xml:space="preserve">* 1.1 Übungen_2 Flächenberechnungen selbständig lösen </t>
  </si>
  <si>
    <t xml:space="preserve">* Ausblick auf nächste Woche </t>
  </si>
  <si>
    <t xml:space="preserve">* Theorie lesen "Kaltwasserversorgung" </t>
  </si>
  <si>
    <t xml:space="preserve">    Kapitel 2.2 bis 2.6 / Seite 18 - 24</t>
  </si>
  <si>
    <t xml:space="preserve">10' </t>
  </si>
  <si>
    <t>* Ausfüllen Repetitionsfragen suissetec EDU S.25 (8-14)</t>
  </si>
  <si>
    <t xml:space="preserve">* Sichtung Werkleitungen im Labor </t>
  </si>
  <si>
    <t>* Lernauftrag 1.4 Fragen 18-23</t>
  </si>
  <si>
    <t>* Lernauftrag 1.4 abschliessen</t>
  </si>
  <si>
    <t xml:space="preserve">25' </t>
  </si>
  <si>
    <t>* Erstellen sie ein PDF mit den gängisten Formeln (Flächenberechn.)</t>
  </si>
  <si>
    <t>Prüfung 1.4 Kaltwasserversorgung</t>
  </si>
  <si>
    <t>* Üben für Prüfung 1.4</t>
  </si>
  <si>
    <t xml:space="preserve">Üben für Prüfung 1.4 </t>
  </si>
  <si>
    <t>* Einstieg mit Filmen über Wasserversorgung</t>
  </si>
  <si>
    <t>Leitungsmaterialien &amp; Verbindungen</t>
  </si>
  <si>
    <t>* Sie beschreiben die Materialeigenschaften der verschiedenen Rohrsysteme aus Kunststoff.</t>
  </si>
  <si>
    <t>* Sie unterscheiden die Systeme für Wasserleitungen nach Material und Verwendungszweck.</t>
  </si>
  <si>
    <t>* Sie benennen die Verbindungen und Dichtungsmaterialien der verschiedenen Installationssysteme.</t>
  </si>
  <si>
    <t xml:space="preserve">Prüfung 1.4 </t>
  </si>
  <si>
    <t>keine Hilfsmittel!</t>
  </si>
  <si>
    <t xml:space="preserve">    Repetitionsaufgaben 41-49 auf suissetec edu</t>
  </si>
  <si>
    <t>* Start mit Lernauftrag 1.5</t>
  </si>
  <si>
    <t xml:space="preserve">  Fragen 1+2 selbständig bearbeiten</t>
  </si>
  <si>
    <t xml:space="preserve">Arbeitssicherheit PSA / Gefahren auf der </t>
  </si>
  <si>
    <t>Baustelle</t>
  </si>
  <si>
    <t>Arbeitssicherheit / Umgang mit Maschinen</t>
  </si>
  <si>
    <t>*Sie beschreiben die Materialeigenschaften der verschiedenen Rohrsysteme aus Metall.</t>
  </si>
  <si>
    <t>*Sie unterscheiden die Systeme für Wasserleitungen nach Material und Verwendungszweck.</t>
  </si>
  <si>
    <t>*Sie benennen die Verbindungen und Dichtungsmaterialien der verschiedenen Installationssysteme.</t>
  </si>
  <si>
    <t>*Sie erläutern die Gefahren auf der Baustelle und in der Werkstatt.</t>
  </si>
  <si>
    <t>*Einstieg mit Film "Herstellung von Stahlrohren"</t>
  </si>
  <si>
    <t>*Betrachtung von Stahlrohrsystemen</t>
  </si>
  <si>
    <t>*Fertigstellung Auftrag 1.5 Fragen 1-12</t>
  </si>
  <si>
    <t>*Auftrag 3 Fragen 13 - 17</t>
  </si>
  <si>
    <t>*Selbständige Bearbeitung Fragen 19-22</t>
  </si>
  <si>
    <t>*Gemeinsame Bearbeitung 13-17</t>
  </si>
  <si>
    <t>Bericht_SUVA</t>
  </si>
  <si>
    <t>1.3_PSA_Übersicht.pdf</t>
  </si>
  <si>
    <t>*Einstieg Diskussion Arbeitssicherheit</t>
  </si>
  <si>
    <t>*PSA was ist das?</t>
  </si>
  <si>
    <t>*Bericht Suva lesen</t>
  </si>
  <si>
    <t>1.3 Grundlagen Elektrotechnik</t>
  </si>
  <si>
    <t>1.3 Arbeitssicherheit / Chemikalien</t>
  </si>
  <si>
    <t xml:space="preserve">*Die 10 Grundregeln der Arbeitssicherheit </t>
  </si>
  <si>
    <t>*Selbstständiges Lösen Fragen 1+2</t>
  </si>
  <si>
    <t>*Abschluss und Ausblick</t>
  </si>
  <si>
    <t>Ausrüstung PSA" per Video link</t>
  </si>
  <si>
    <t>Fertigstellung Fragen 1-22 Lernauftrag 1.5</t>
  </si>
  <si>
    <t>Verbundrohrsysteme</t>
  </si>
  <si>
    <t>*Sie beschreiben die Materialeigenschaften der verschiedenen Rohrsysteme.</t>
  </si>
  <si>
    <t>*Sie erläutern die Gefahren von Strom und beschreiben den Personen- und Sachschutz</t>
  </si>
  <si>
    <t>* Sie erläutern einen einfachen Stromkreislauf</t>
  </si>
  <si>
    <t>Grundlagen Fachzeichnen/ Isometrie</t>
  </si>
  <si>
    <t>*Erklärung Auftrag 4</t>
  </si>
  <si>
    <t>LV</t>
  </si>
  <si>
    <t>* Sie verstehen die Grundlagen des technischen Zeichnens und können Sie anwenden.</t>
  </si>
  <si>
    <t>Grundlagen Fachzeichen / Isometrie</t>
  </si>
  <si>
    <t>*Start mit Theorie zur Normschrift</t>
  </si>
  <si>
    <t>1.2_Uebungen_1.pdf</t>
  </si>
  <si>
    <t>*Theorie lesen Seite 11-15, danach Übungen 1.2_1 lösen</t>
  </si>
  <si>
    <t>*Start mit Auftrag 2 / Plankopf</t>
  </si>
  <si>
    <t>*Selbständig Übungen 1.2_2 lösen</t>
  </si>
  <si>
    <t>1.2_Uebungen_2.pdf</t>
  </si>
  <si>
    <t>*Einführung Plankopf zeichnen</t>
  </si>
  <si>
    <t>*Kontrolle der Arbeiten</t>
  </si>
  <si>
    <t>*Sie ordnen die gebräuchlichen Armaturen den Armaturengruppen korrekt zu.</t>
  </si>
  <si>
    <t>Leistungsnachweis 1.2</t>
  </si>
  <si>
    <t>Keine Hilfsmittel!</t>
  </si>
  <si>
    <t>*Prüfung 1.5</t>
  </si>
  <si>
    <t>*Einstieg Abwasserentsorgung</t>
  </si>
  <si>
    <t>*Spiel "Bezeichnungen zuordnen"</t>
  </si>
  <si>
    <t>*Start mit Lernauftrag 1.6</t>
  </si>
  <si>
    <t>*Sichtung der VideoCasts "Rohrsysteme"</t>
  </si>
  <si>
    <t>*Weiterarbeit an Lernauftrag 1.2</t>
  </si>
  <si>
    <t xml:space="preserve">*Besprechung Vermassungsübung </t>
  </si>
  <si>
    <t>*Sie beschreiben die unterschiedlichen Abwasserarten</t>
  </si>
  <si>
    <t>*Sie beschreiben die Materialien und Werkstoffe, die bei Entsorgungsleitungen eingesetzt werden</t>
  </si>
  <si>
    <t>*Fertigstellung Vermassungsübung und Abgabe</t>
  </si>
  <si>
    <t>*Start mit Auftrag 4 /Sie lesen die Theorie S.21-22</t>
  </si>
  <si>
    <t>1.2_Uebungen_4.pdf</t>
  </si>
  <si>
    <t>*Start mit 1.2Übung_4</t>
  </si>
  <si>
    <t>Eigenschaften von Abwasserleitungen</t>
  </si>
  <si>
    <t>Werkstoffe von Abwasserleitungen</t>
  </si>
  <si>
    <t>Isometrie &amp; Normprojektion</t>
  </si>
  <si>
    <t>*Sie können die drei Ansichten aus der Vorgabe einer Normprojektion erstellen.</t>
  </si>
  <si>
    <t xml:space="preserve">*Sie beschreiben die Materialien und Werkstoffe, die bei Entsorgungsleitungen eingesetzt </t>
  </si>
  <si>
    <t xml:space="preserve">  werden</t>
  </si>
  <si>
    <t>*Sie erläutern die Verbindungsmöglichkeiten der verschiedenen Installationssystemen</t>
  </si>
  <si>
    <t xml:space="preserve">*Begrüssung und Start </t>
  </si>
  <si>
    <t>*Einstieg ins Thema ( Schweissübung)</t>
  </si>
  <si>
    <t>*Werkstoffkunde im Demoraum</t>
  </si>
  <si>
    <t>*Herstellung von Polyethylenrohren</t>
  </si>
  <si>
    <t>*Vortrag in Gruppen vorbereiten</t>
  </si>
  <si>
    <t>*Vorstellung Vorträge</t>
  </si>
  <si>
    <t>Grundlagen zum technischen Zeichnen</t>
  </si>
  <si>
    <t>Entsorgungssysteme zuordnen</t>
  </si>
  <si>
    <t xml:space="preserve">Befestigungstechnik </t>
  </si>
  <si>
    <t>*Sie unterscheiden Systeme von Entsorgungsleitungen nach deren Verwendungszweck</t>
  </si>
  <si>
    <t>*Sie bestimmen geeignete Befestigungen mit Hilfe von Montagebüchern</t>
  </si>
  <si>
    <t>*Video zu den Leitungsteilen und Bezeichnungen</t>
  </si>
  <si>
    <t>Bezeichnung der Leitungsteile</t>
  </si>
  <si>
    <t>Gewichtskraft</t>
  </si>
  <si>
    <t>*Besprechung LNW1.2</t>
  </si>
  <si>
    <t>*Kontrolle und Abschluss</t>
  </si>
  <si>
    <t>Normprojektion</t>
  </si>
  <si>
    <t>* Einstieg und Unterrichtsplanung</t>
  </si>
  <si>
    <t>* Wer wird Millionär</t>
  </si>
  <si>
    <t xml:space="preserve">* Sie lösen die Aufgaben 19-22 </t>
  </si>
  <si>
    <t>* Film über Gewichtskraft</t>
  </si>
  <si>
    <t>*Sie Starten mit den Übungen 1.6_1</t>
  </si>
  <si>
    <t>* Lernzielkontrolle Auftrag 1.6</t>
  </si>
  <si>
    <t>* Weiterarbeit an Übungen 1.6_1</t>
  </si>
  <si>
    <t>*Weiterarbeit an 1.2_Übungen_6 (10-18)</t>
  </si>
  <si>
    <t>Prüfung 1.6</t>
  </si>
  <si>
    <t>*Sie lernen für die Prüfung 1.6</t>
  </si>
  <si>
    <t>*Sie stellen die Übungen 1.6_1 fertig</t>
  </si>
  <si>
    <t xml:space="preserve">* Sie kennen die Aufgabe und Funktion von Ablaufventilen und Geruchsverschlüssen </t>
  </si>
  <si>
    <t>* Sie kennen die Hauptgruppen und Eigenschaften bei sanitären Apparaten</t>
  </si>
  <si>
    <t>Entwässerungsgegenstände</t>
  </si>
  <si>
    <t>Demoraum / Besichtigung Entwässerungs-</t>
  </si>
  <si>
    <t>Urinoirsteuerungen, Spülsysteme</t>
  </si>
  <si>
    <t>* Abschluss &amp; Ausblick</t>
  </si>
  <si>
    <t>*Sie erklären den organisatorischen Ablauf bei der Entsorgung von Abfällen</t>
  </si>
  <si>
    <t>*Sie benennen die Umweltvorschriften bei der Entsorgung von Abfällen.</t>
  </si>
  <si>
    <t>* Sie kennen verschiedene Urinoirmodelle die darin enthaltenen Komponenten.</t>
  </si>
  <si>
    <t>* Sie kennen die verschiedenen Steuerungstypen von Urinoirs.</t>
  </si>
  <si>
    <t>* Sie lernen die Vor- und Nachteile von wasserlosen/wasserbetriebenen Urinoirs.</t>
  </si>
  <si>
    <t>* Gemeinsames errarbeiten des eigenen Themas Gr. 1-5</t>
  </si>
  <si>
    <t>* Start mit Rotation auf dem Marktplatz</t>
  </si>
  <si>
    <t>* Diskussionsrunde über 1.Semester</t>
  </si>
  <si>
    <t xml:space="preserve">5' </t>
  </si>
  <si>
    <t>Sie schliessen den Auftrag 1.8 ab.</t>
  </si>
  <si>
    <t>Skitag Savognin</t>
  </si>
  <si>
    <t>*Sie kennen die ökologischen Kriterien zur Abfallentsorgung.</t>
  </si>
  <si>
    <t>* Begrüssung und Diskussion</t>
  </si>
  <si>
    <t>*Einstieg mit Lehrmittel S.26-29 lesen und Repetitionsfragen lösen</t>
  </si>
  <si>
    <t>*Sie lösen im Lernauftrag 1.9 die Fragen 1-6 (2erGruppen)</t>
  </si>
  <si>
    <t>*Sie lesen den Bericht und lösen die Fragen 6-11</t>
  </si>
  <si>
    <t>Bericht</t>
  </si>
  <si>
    <t xml:space="preserve">*Auftrag 3, Sie erstellen eine Übersicht  über die Problematik </t>
  </si>
  <si>
    <t>der Kunsstoffe und den Stoffkreislauf am Beispiel von PET</t>
  </si>
  <si>
    <t>*Erklärung Leistungsnachweis 1.9_Abfallkonzept Firma</t>
  </si>
  <si>
    <t>*Sie erstellen ein Abfallkonzept ihrer Firma inkl. Visualisierungen</t>
  </si>
  <si>
    <t>Abgabe Leistungsnachweis 1.9</t>
  </si>
  <si>
    <t>Fertigstellung Übung Alpha bis Gamma</t>
  </si>
  <si>
    <t>Asbest und dessen Gefahr</t>
  </si>
  <si>
    <t>*Kontrolle Übungen Alpha bis Gamma</t>
  </si>
  <si>
    <t>*Info Skitag</t>
  </si>
  <si>
    <t>*Abschluss Übung Delta und Epsilon</t>
  </si>
  <si>
    <t>Ergänzung und Start Übung Delta</t>
  </si>
  <si>
    <t>Zeugnisbesprechungen</t>
  </si>
  <si>
    <t>*Start Video / Beantwortung Fragen Auftrag 4</t>
  </si>
  <si>
    <t>*Kennenlernen der Gefahren von Asbest im Wohnhaus</t>
  </si>
  <si>
    <t>*Video zu den Gefahren</t>
  </si>
  <si>
    <t>Abbruch Eternit-Roh</t>
  </si>
  <si>
    <t>*Selbstständige Recherche auf SUVA Seite</t>
  </si>
  <si>
    <t xml:space="preserve">*SUVA Quiz / Spielen bis </t>
  </si>
  <si>
    <t>*Alle Unterlagen vom 1.Semester ordnen und ablegen</t>
  </si>
  <si>
    <t>Montieren von Sanitäranlagen</t>
  </si>
  <si>
    <t xml:space="preserve">Total Punkte </t>
  </si>
  <si>
    <t>HF 4/7       (MVS)</t>
  </si>
  <si>
    <t>HF 2     (MVS)</t>
  </si>
  <si>
    <t>Planen der Arbeiten</t>
  </si>
  <si>
    <r>
      <rPr>
        <b/>
        <sz val="12"/>
        <color theme="1"/>
        <rFont val="Century Gothic"/>
        <family val="2"/>
      </rPr>
      <t xml:space="preserve">Planen der Arbeiten </t>
    </r>
    <r>
      <rPr>
        <sz val="12"/>
        <color theme="1"/>
        <rFont val="Century Gothic"/>
        <family val="2"/>
      </rPr>
      <t xml:space="preserve">
</t>
    </r>
  </si>
  <si>
    <t xml:space="preserve">Die Note der Leistungsnachweise entsteht aus den während des Semestes erzielten Punkten. </t>
  </si>
  <si>
    <t>Leistungsnachweise</t>
  </si>
  <si>
    <t>HF 1       (PDA)</t>
  </si>
  <si>
    <t>Die Zeugnisnote setzt sich aus den Leistungsnachweisen und Kompetenzprüfungen zusammen. Die Note aus den Leistungsnachweisen zählt zu ca. 30% an die Zeugnisnote. Alle Noten der Prüfungen zählen zu ca. 60% an die Zeugnisnote.</t>
  </si>
  <si>
    <t>* Bearbeitung Onedrive</t>
  </si>
  <si>
    <t>*Begrüssung und Einführung</t>
  </si>
  <si>
    <t>*Vorstellung von Klassenlehrperson</t>
  </si>
  <si>
    <t xml:space="preserve">* Präsentation Schule </t>
  </si>
  <si>
    <t>*Erklärung Teams und alle Funktionen</t>
  </si>
  <si>
    <t xml:space="preserve">*Ordnerstruktur </t>
  </si>
  <si>
    <t>*Kennenlernrunde</t>
  </si>
  <si>
    <t>*Start mit Lernauftrag 1.12</t>
  </si>
  <si>
    <t>*NESA</t>
  </si>
  <si>
    <t>SI Einheiten</t>
  </si>
  <si>
    <t>*Sichtung IT Und 1.12LNW</t>
  </si>
  <si>
    <t>* Besprechung Fragen 1-5</t>
  </si>
  <si>
    <t>*Der Wasserkreislauf</t>
  </si>
  <si>
    <t>*Ergänzung der Zeichnung Frage 6</t>
  </si>
  <si>
    <t>*Wasservorkommen auf der Erde</t>
  </si>
  <si>
    <t>*Bearbeitung der Frage 8-9</t>
  </si>
  <si>
    <t>*Vorstellung der Richtlinie W3</t>
  </si>
  <si>
    <t>*Beantwortung Fragen 10-13</t>
  </si>
  <si>
    <t>*Sie lesen die Theorie S.9-11</t>
  </si>
  <si>
    <t>*Abschluss Frage 13</t>
  </si>
  <si>
    <t>W3 Richtlinie</t>
  </si>
  <si>
    <t>*Selbständiger Start mit Auftrag 4</t>
  </si>
  <si>
    <t>*Gemeinsame Kontrolle Fragen 1-10</t>
  </si>
  <si>
    <t>*Vorstellung der Höhenmasse Auftrag 5</t>
  </si>
  <si>
    <t>*Selbständige Übung 1 a,b,c + 2 a,b,c</t>
  </si>
  <si>
    <t>*Abschluss &amp; Ausblick</t>
  </si>
  <si>
    <t xml:space="preserve">Leistungsnachweis </t>
  </si>
  <si>
    <t>Trinkwassergewinnung</t>
  </si>
  <si>
    <t>Flächenberechnungen</t>
  </si>
  <si>
    <t>*Kontrolle 1.1_Übungen_1 / Stufe 1-3</t>
  </si>
  <si>
    <t>Übung 1 a,b,c + 2 a,b,c fertigstellen</t>
  </si>
  <si>
    <t>Auftrag bis und mit Frage 13 fertigstellen</t>
  </si>
  <si>
    <t>*Bearbeitung Fragen 14-17</t>
  </si>
  <si>
    <t>*Sie lesen die Theorie S.13-18</t>
  </si>
  <si>
    <t>*Start mit Auftrag 4</t>
  </si>
  <si>
    <t>*Arbeit an Leistungsnachweis 1.4</t>
  </si>
  <si>
    <t>*Kontrolle Auftrag 5_Übung 1 a,b,c + 2 a,b,c</t>
  </si>
  <si>
    <t>*Selbständiges Bearbeiten der Übung 3 + 4 A-E</t>
  </si>
  <si>
    <t>*Einstieg Flächenberechnung / Formeln ergänzen</t>
  </si>
  <si>
    <t>*Start mit Aufgabe 11 + 12</t>
  </si>
  <si>
    <t>*Einstieg mit Quiz</t>
  </si>
  <si>
    <t>ARTO I  ITM I sanitärlernen.ch</t>
  </si>
  <si>
    <t>(Nur Übung 1-6)</t>
  </si>
  <si>
    <t>*Einstieg &amp; Unterrichtsablauf</t>
  </si>
  <si>
    <t>*Einstiegsdiskussion über "Plastik"</t>
  </si>
  <si>
    <t>*Sichtung verschiedener Kunststoffe</t>
  </si>
  <si>
    <t>* Sie lesen Seite 45-50  und lösen anschliessend die</t>
  </si>
  <si>
    <t>*Selbständige Bearbeitung Lernauftrag 1.5 bis und mit Auftrag 2</t>
  </si>
  <si>
    <t>*Gruppenarbeit 1.5</t>
  </si>
  <si>
    <t>*Gemeinsamer Start mit Auftrag 8 / Aufgabe 15</t>
  </si>
  <si>
    <t>*Selbständige Arbeit an 16+17 und danach an den Übungen</t>
  </si>
  <si>
    <t>1.1_Übungen_3</t>
  </si>
  <si>
    <t>*Abschluss 1.1_Übung 3</t>
  </si>
  <si>
    <t>*Üben für Prüfung Einheiten umrechnen (Länge,Fläche, Volumen)</t>
  </si>
  <si>
    <t>Herstellung Kunststoff- und Stahlrohren</t>
  </si>
  <si>
    <t>*Erklärung Prüfung "Einheiten umrechnen"</t>
  </si>
  <si>
    <t>*Gemeinsame Betrachtung Filme Kunststoffarten</t>
  </si>
  <si>
    <t>Lernen für Prüfung "Einheiten umrechnen"</t>
  </si>
  <si>
    <t>1.1Übungen 3 fertigstellen und selber korr.</t>
  </si>
  <si>
    <t>*Prüfung Masseinheiten umwandeln</t>
  </si>
  <si>
    <t>*Prüfungsbesprechung 1.4</t>
  </si>
  <si>
    <t>*Erklärung Leistungsnachweis 1.3</t>
  </si>
  <si>
    <t>23.10.2024_Abgabe 1.3_Leistungsnachweis</t>
  </si>
  <si>
    <t>Schulferien</t>
  </si>
  <si>
    <t>nächster Schultag:</t>
  </si>
  <si>
    <t>*Einstieg</t>
  </si>
  <si>
    <t>*Gemeinsame Kontrolle des Auftrags 1.5 / Fragen 1-24</t>
  </si>
  <si>
    <t>*Sie lesen die Theorie "Suissetec EDU" S.33-34</t>
  </si>
  <si>
    <t>*Selbständige Arbeit an Leistungsnachweis 1.5</t>
  </si>
  <si>
    <t>*Sie bearbeiten beide Spiele bis Sie alles richtig haben</t>
  </si>
  <si>
    <t>*Sichtung Videos "PSA"</t>
  </si>
  <si>
    <t>*Selbständiges Üben für 1.5 Prüfung</t>
  </si>
  <si>
    <t>*Ergänzung Fragen 3-6 / Auftrag 1.3</t>
  </si>
  <si>
    <t>*Sie lesen die Theorie "suissetec EDU" S.12-17</t>
  </si>
  <si>
    <t>*Sie bearbeiten die Fragen 7-9</t>
  </si>
  <si>
    <t>*Gemeinsame Kontrolle Fragen 1-9</t>
  </si>
  <si>
    <t xml:space="preserve">*Selbständige Wissensbeschaffung / </t>
  </si>
  <si>
    <t>ChemieInfo.ch</t>
  </si>
  <si>
    <t>*Sie bearbeiten den Auftrag 5 im Lernauftrag 1.3</t>
  </si>
  <si>
    <t>*Sie komplettieren den gesamten Auftrag 1.3</t>
  </si>
  <si>
    <t>*Ausblick &amp; Abschluss</t>
  </si>
  <si>
    <t>*Einstieg &amp; Unterrichtsplanung</t>
  </si>
  <si>
    <t>*Arbeit an Leistungsnachweis</t>
  </si>
  <si>
    <t xml:space="preserve">*Sie starten mit der Lernzielkontrolle und füllen diese komplett </t>
  </si>
  <si>
    <t xml:space="preserve">  aus</t>
  </si>
  <si>
    <t xml:space="preserve">WAS Leitungsmaterialien &amp; </t>
  </si>
  <si>
    <t>Verbindungen</t>
  </si>
  <si>
    <t>Üben für Prüfung 1.5</t>
  </si>
  <si>
    <t>*Begrüssung &amp; Start</t>
  </si>
  <si>
    <t>Repetitionsfragen zum Üben suissetec EDU</t>
  </si>
  <si>
    <t>*Start mit Partnerinterview</t>
  </si>
  <si>
    <t>*Abschluss Partnerinterview</t>
  </si>
  <si>
    <t>*Selbständiges Üben für Prüfung 1.5</t>
  </si>
  <si>
    <t>Fertigstellung Vermassungsübung</t>
  </si>
  <si>
    <t>mind 2 Blätter</t>
  </si>
  <si>
    <t>*Weiterarbeit an Lernauftrag 1.6 /Erstellung MindMap Gusseisen</t>
  </si>
  <si>
    <t>1.6 MindMap Gusseisen fertigstellen</t>
  </si>
  <si>
    <t>1.2_Übung_4</t>
  </si>
  <si>
    <t>*Start mit 1.2Übung_4 / Aufgabe Beat</t>
  </si>
  <si>
    <t>*Selbständige Arbeit an 1.2_Übung 4</t>
  </si>
  <si>
    <t>Arbeit an 1.2_Leistungsnachweis Teil 1</t>
  </si>
  <si>
    <t>*Kahoot zum Einstieg</t>
  </si>
  <si>
    <t>* Unterrichtsplanung</t>
  </si>
  <si>
    <t>* Sie lesen die Theorie S18-20</t>
  </si>
  <si>
    <t>* Selbständiges Lösen der Fragen 6-11</t>
  </si>
  <si>
    <t>* Kontrolle Fragen 6-11</t>
  </si>
  <si>
    <t>* Bearbeitung Auftrag 4 / Fragen 12-15</t>
  </si>
  <si>
    <t>*Sie lösen selbständig die Repetitionsfragen auf S.21 (11-19)</t>
  </si>
  <si>
    <t>*Einstieg Gewichtskraft / Auftrag 5</t>
  </si>
  <si>
    <t>* Selbstständiges Üben Aufgabe 19-21</t>
  </si>
  <si>
    <t>* Selbständige Arbeit an Lernauftrag 1.2 /Übungen 4 fertigstellen</t>
  </si>
  <si>
    <t>*Weiterarbeit an 1.2 / Auftrag 4 / Übungen_6</t>
  </si>
  <si>
    <t>Fertigstellung 1.2_Übungen_4</t>
  </si>
  <si>
    <t>bis und mit Aufgabe "Hans"</t>
  </si>
  <si>
    <t>RITA</t>
  </si>
  <si>
    <t>* Sie kennen die Hauptgruppen und Eigenschaften der sanitären Entwässerungsgegenstände</t>
  </si>
  <si>
    <t xml:space="preserve">   bei sanitären Apparaten</t>
  </si>
  <si>
    <t>R</t>
  </si>
  <si>
    <t>*Einstieg Entwässerungsgegenstände / Gruppierungsübung</t>
  </si>
  <si>
    <t>I</t>
  </si>
  <si>
    <t>* Begriffsfindung in Arbeitsblättern in 2er Gruppen</t>
  </si>
  <si>
    <t>* Präsentation zum Arbeitsblatt</t>
  </si>
  <si>
    <t>*Start mit Lernauftrag 1.8 / Augfgaben 1-3</t>
  </si>
  <si>
    <t>* Gemeinsame Beantwortung Frage 4</t>
  </si>
  <si>
    <t xml:space="preserve">* Weitere Bearbeitung Fragen 5-7 </t>
  </si>
  <si>
    <t xml:space="preserve">* Info zum Auftrag </t>
  </si>
  <si>
    <t>T</t>
  </si>
  <si>
    <t>A</t>
  </si>
  <si>
    <t>Abgabe LNW 1.8 am 15:30Uhr!</t>
  </si>
  <si>
    <t>Arbeit an Leistungsnachweis Teil 1 + 2</t>
  </si>
  <si>
    <t>Abschluss &amp; Ausblick nächste Woche</t>
  </si>
  <si>
    <t>Erstellung A3 Übersicht zu den Armaturengruppen</t>
  </si>
  <si>
    <t>* Selbständige Bearbeitung des Leistungsnachweis 1.8</t>
  </si>
  <si>
    <t>* Weiterarbeit an Leistungsnachweis 1.2 Teil 2</t>
  </si>
  <si>
    <t>Prüfung 1.6 nächste Woche</t>
  </si>
  <si>
    <t>Üben für Prüfung 1.6</t>
  </si>
  <si>
    <t xml:space="preserve">* Fertigstellung aller  1.2_Übungen_6 (10-18)Übungen </t>
  </si>
  <si>
    <t>* Abschluss &amp;  Ausblick</t>
  </si>
  <si>
    <t xml:space="preserve">1.2_Übungen_6 /10-18 fertigstellen </t>
  </si>
  <si>
    <t>*Arbeit an Leistungsnachweis Teil 1 &amp; 2</t>
  </si>
  <si>
    <t>1.6 Prüfung</t>
  </si>
  <si>
    <t xml:space="preserve">Formelbuch &amp; </t>
  </si>
  <si>
    <t>Taschenrechner</t>
  </si>
  <si>
    <t>*Durchlüften und Tische richten</t>
  </si>
  <si>
    <t>Pl</t>
  </si>
  <si>
    <t>*Start mit Auftrag 3 / Theorie lesen</t>
  </si>
  <si>
    <t>*Selbständige Bearbeitung Fragen 8-17</t>
  </si>
  <si>
    <t>*Gemeinsame Kontrolle Fragen 8-17</t>
  </si>
  <si>
    <t>*Betrachtung Video Spülauslösung</t>
  </si>
  <si>
    <t>*Selbständige Bearbeitung Fragen 18-20</t>
  </si>
  <si>
    <t>* Individuelle Arbeit an Übungen 4 &amp; 6</t>
  </si>
  <si>
    <t xml:space="preserve">* Üben für Prüfung </t>
  </si>
  <si>
    <t>*Arbeit an Leistungsnachweisen Teil 1-3</t>
  </si>
  <si>
    <t>*Üben für Prüfung</t>
  </si>
  <si>
    <t>Abgabe 1.2 LNW</t>
  </si>
  <si>
    <t>Keine</t>
  </si>
  <si>
    <t>1.2_Prüfung 08.01.2025</t>
  </si>
  <si>
    <t>*Individuelle Prüfungsvorbereitung</t>
  </si>
  <si>
    <t xml:space="preserve">Schulferien: </t>
  </si>
  <si>
    <t xml:space="preserve">Nächster Schultag: </t>
  </si>
  <si>
    <t>Abfallentsorgung / Recycling</t>
  </si>
  <si>
    <t xml:space="preserve">* Umfrage 1.Semester </t>
  </si>
  <si>
    <t>*Abschluss Marktplatz</t>
  </si>
  <si>
    <t>* Abschluss Auftrag 1.8</t>
  </si>
  <si>
    <t>*Zeit für Abschluss Leistungsnachweis 1.2 Teil 1-3</t>
  </si>
  <si>
    <t>* Weiterarbeit an Übungen</t>
  </si>
  <si>
    <t>*Einstieg mit Video</t>
  </si>
  <si>
    <t>1.2_Prüfung</t>
  </si>
  <si>
    <t>*Start mit Leitungsisometrie</t>
  </si>
  <si>
    <t>*Selbständige Übung Aufgabe Alpha</t>
  </si>
  <si>
    <t>Keine Hilfsmittel</t>
  </si>
  <si>
    <t>Klasse SAIa 25-29</t>
  </si>
  <si>
    <t>Donnerstag</t>
  </si>
  <si>
    <t>1.12_LNW fertigstellen</t>
  </si>
  <si>
    <t>12:50 - 13:35</t>
  </si>
  <si>
    <t>13:40 - 14:25</t>
  </si>
  <si>
    <t>14:30 - 15:15</t>
  </si>
  <si>
    <t>15:30 - 16:15</t>
  </si>
  <si>
    <t>16:20 - 17:05</t>
  </si>
  <si>
    <r>
      <rPr>
        <b/>
        <sz val="11"/>
        <color theme="1"/>
        <rFont val="Calibri"/>
        <family val="2"/>
      </rPr>
      <t xml:space="preserve">Pause </t>
    </r>
    <r>
      <rPr>
        <i/>
        <sz val="11"/>
        <color theme="1"/>
        <rFont val="Calibri"/>
        <family val="2"/>
      </rPr>
      <t xml:space="preserve">
15:15-15:30Uhr</t>
    </r>
  </si>
  <si>
    <t xml:space="preserve">1.1_Übungen_2 fertigstellen und </t>
  </si>
  <si>
    <t>bis am 11.09.2025</t>
  </si>
  <si>
    <t>selbstständig korrigieren</t>
  </si>
  <si>
    <t>29.09.-20.10.2025</t>
  </si>
  <si>
    <t>1.6_Uebungen_1.pdf</t>
  </si>
  <si>
    <t>Gegenstände</t>
  </si>
  <si>
    <t>Am 11.12.2025</t>
  </si>
  <si>
    <t>21.12.2025 - 04.01.2026</t>
  </si>
  <si>
    <t>Prüfung 1.2_08.01.2026</t>
  </si>
  <si>
    <t>18.12.2025 / 15:15Uhr</t>
  </si>
  <si>
    <t>1.Semester geschafft!</t>
  </si>
  <si>
    <t>Abgabe LNW 1.5 bis am 30.10.2025</t>
  </si>
  <si>
    <t>Prüfung 1.5 in 2 Wochen/ 06.11.2025</t>
  </si>
  <si>
    <t>*Weiterarbeit an Lernauftrag 1.6 /</t>
  </si>
  <si>
    <t>Erstellung MindMap Gusseisen&amp; Verbindungen Kunststoffsysteme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</si>
</sst>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0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8"/>
      <color theme="0" tint="-0.499984740745262"/>
      <name val="Century Gothic"/>
      <family val="2"/>
    </font>
    <font>
      <sz val="8"/>
      <color theme="0" tint="-0.499984740745262"/>
      <name val="Calibri"/>
      <family val="2"/>
      <scheme val="minor"/>
    </font>
    <font>
      <b/>
      <sz val="10"/>
      <name val="Century Gothic"/>
      <family val="2"/>
    </font>
    <font>
      <sz val="8"/>
      <color theme="1" tint="0.499984740745262"/>
      <name val="Century Gothic"/>
      <family val="2"/>
    </font>
    <font>
      <sz val="8"/>
      <color theme="1" tint="0.499984740745262"/>
      <name val="Calibri"/>
      <family val="2"/>
      <scheme val="minor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10"/>
      <name val="Century Gothic"/>
      <family val="2"/>
    </font>
    <font>
      <sz val="18"/>
      <color theme="1"/>
      <name val="Calibri"/>
      <family val="2"/>
      <scheme val="minor"/>
    </font>
    <font>
      <sz val="8"/>
      <color rgb="FF000000"/>
      <name val="Century Gothic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8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 Light"/>
      <family val="2"/>
    </font>
    <font>
      <u/>
      <sz val="10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3"/>
      <name val="Calibri"/>
      <family val="2"/>
      <scheme val="minor"/>
    </font>
    <font>
      <u/>
      <sz val="8"/>
      <color theme="3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4"/>
      <color rgb="FF242424"/>
      <name val="Segoe UI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sz val="9"/>
      <color theme="0"/>
      <name val="Century Gothic"/>
      <family val="2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61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center" vertical="center"/>
    </xf>
    <xf numFmtId="0" fontId="26" fillId="3" borderId="2" xfId="0" applyFont="1" applyFill="1" applyBorder="1"/>
    <xf numFmtId="14" fontId="23" fillId="3" borderId="44" xfId="0" applyNumberFormat="1" applyFont="1" applyFill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4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14" fontId="2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3" borderId="9" xfId="0" applyFont="1" applyFill="1" applyBorder="1" applyAlignment="1">
      <alignment horizontal="left"/>
    </xf>
    <xf numFmtId="0" fontId="14" fillId="3" borderId="18" xfId="0" applyFont="1" applyFill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9" fillId="0" borderId="32" xfId="0" applyFont="1" applyBorder="1" applyAlignment="1">
      <alignment horizontal="center" vertical="center"/>
    </xf>
    <xf numFmtId="0" fontId="32" fillId="0" borderId="0" xfId="0" applyFont="1"/>
    <xf numFmtId="0" fontId="32" fillId="0" borderId="33" xfId="0" applyFont="1" applyBorder="1"/>
    <xf numFmtId="0" fontId="32" fillId="0" borderId="24" xfId="0" applyFont="1" applyBorder="1"/>
    <xf numFmtId="0" fontId="32" fillId="0" borderId="25" xfId="0" applyFont="1" applyBorder="1"/>
    <xf numFmtId="0" fontId="32" fillId="0" borderId="40" xfId="0" applyFont="1" applyBorder="1"/>
    <xf numFmtId="0" fontId="32" fillId="0" borderId="46" xfId="0" applyFont="1" applyBorder="1"/>
    <xf numFmtId="0" fontId="32" fillId="0" borderId="47" xfId="0" applyFont="1" applyBorder="1"/>
    <xf numFmtId="0" fontId="32" fillId="0" borderId="37" xfId="0" applyFont="1" applyBorder="1"/>
    <xf numFmtId="0" fontId="32" fillId="0" borderId="36" xfId="0" applyFont="1" applyBorder="1"/>
    <xf numFmtId="0" fontId="32" fillId="0" borderId="35" xfId="0" applyFont="1" applyBorder="1"/>
    <xf numFmtId="0" fontId="32" fillId="0" borderId="32" xfId="0" applyFont="1" applyBorder="1"/>
    <xf numFmtId="0" fontId="32" fillId="0" borderId="10" xfId="0" applyFont="1" applyBorder="1"/>
    <xf numFmtId="0" fontId="30" fillId="0" borderId="0" xfId="0" applyFont="1"/>
    <xf numFmtId="0" fontId="32" fillId="0" borderId="37" xfId="0" applyFont="1" applyBorder="1" applyAlignment="1">
      <alignment horizontal="center"/>
    </xf>
    <xf numFmtId="0" fontId="32" fillId="0" borderId="24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0" xfId="0" applyFont="1" applyAlignment="1">
      <alignment vertical="center" textRotation="90"/>
    </xf>
    <xf numFmtId="0" fontId="32" fillId="0" borderId="0" xfId="0" applyFont="1" applyAlignment="1">
      <alignment horizontal="center" vertical="center" textRotation="90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2" fillId="0" borderId="25" xfId="0" applyFont="1" applyBorder="1" applyAlignment="1">
      <alignment horizontal="left" vertical="center"/>
    </xf>
    <xf numFmtId="0" fontId="32" fillId="0" borderId="46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32" fillId="0" borderId="24" xfId="0" applyFont="1" applyBorder="1" applyAlignment="1">
      <alignment horizontal="left" vertical="center"/>
    </xf>
    <xf numFmtId="0" fontId="32" fillId="0" borderId="10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32" fillId="0" borderId="25" xfId="0" applyFont="1" applyBorder="1" applyAlignment="1">
      <alignment horizontal="left" vertical="center" textRotation="90"/>
    </xf>
    <xf numFmtId="0" fontId="29" fillId="0" borderId="10" xfId="0" applyFont="1" applyBorder="1" applyAlignment="1">
      <alignment horizontal="left" vertical="center"/>
    </xf>
    <xf numFmtId="0" fontId="29" fillId="4" borderId="48" xfId="0" applyFont="1" applyFill="1" applyBorder="1" applyAlignment="1">
      <alignment horizontal="left"/>
    </xf>
    <xf numFmtId="0" fontId="29" fillId="4" borderId="45" xfId="0" applyFont="1" applyFill="1" applyBorder="1" applyAlignment="1">
      <alignment horizontal="left"/>
    </xf>
    <xf numFmtId="0" fontId="32" fillId="4" borderId="49" xfId="0" applyFont="1" applyFill="1" applyBorder="1"/>
    <xf numFmtId="0" fontId="34" fillId="0" borderId="0" xfId="0" applyFont="1" applyAlignment="1">
      <alignment horizontal="left" vertical="center"/>
    </xf>
    <xf numFmtId="0" fontId="32" fillId="5" borderId="24" xfId="0" applyFont="1" applyFill="1" applyBorder="1"/>
    <xf numFmtId="0" fontId="32" fillId="5" borderId="46" xfId="0" applyFont="1" applyFill="1" applyBorder="1"/>
    <xf numFmtId="0" fontId="32" fillId="0" borderId="46" xfId="0" applyFont="1" applyBorder="1" applyAlignment="1">
      <alignment horizontal="left"/>
    </xf>
    <xf numFmtId="0" fontId="32" fillId="3" borderId="24" xfId="0" applyFont="1" applyFill="1" applyBorder="1"/>
    <xf numFmtId="0" fontId="32" fillId="2" borderId="24" xfId="0" applyFont="1" applyFill="1" applyBorder="1"/>
    <xf numFmtId="0" fontId="32" fillId="2" borderId="46" xfId="0" applyFont="1" applyFill="1" applyBorder="1"/>
    <xf numFmtId="0" fontId="32" fillId="3" borderId="37" xfId="0" applyFont="1" applyFill="1" applyBorder="1"/>
    <xf numFmtId="0" fontId="8" fillId="0" borderId="0" xfId="1"/>
    <xf numFmtId="0" fontId="29" fillId="0" borderId="33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8" fillId="0" borderId="33" xfId="1" applyBorder="1" applyAlignment="1">
      <alignment horizontal="center"/>
    </xf>
    <xf numFmtId="0" fontId="32" fillId="0" borderId="47" xfId="0" applyFont="1" applyBorder="1" applyAlignment="1">
      <alignment horizontal="center"/>
    </xf>
    <xf numFmtId="0" fontId="29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 textRotation="90"/>
    </xf>
    <xf numFmtId="0" fontId="32" fillId="0" borderId="46" xfId="0" applyFont="1" applyBorder="1" applyAlignment="1">
      <alignment horizontal="left" vertical="center" textRotation="90"/>
    </xf>
    <xf numFmtId="0" fontId="8" fillId="0" borderId="25" xfId="1" applyBorder="1"/>
    <xf numFmtId="0" fontId="32" fillId="0" borderId="32" xfId="0" applyFont="1" applyBorder="1" applyAlignment="1">
      <alignment horizontal="left"/>
    </xf>
    <xf numFmtId="0" fontId="32" fillId="0" borderId="37" xfId="0" applyFont="1" applyBorder="1" applyAlignment="1">
      <alignment horizontal="center" vertical="center"/>
    </xf>
    <xf numFmtId="0" fontId="8" fillId="0" borderId="25" xfId="1" applyBorder="1" applyAlignment="1">
      <alignment horizontal="center"/>
    </xf>
    <xf numFmtId="0" fontId="8" fillId="0" borderId="25" xfId="1" applyBorder="1" applyAlignment="1">
      <alignment horizontal="center" vertical="center"/>
    </xf>
    <xf numFmtId="0" fontId="8" fillId="0" borderId="47" xfId="1" applyBorder="1" applyAlignment="1">
      <alignment horizontal="center"/>
    </xf>
    <xf numFmtId="0" fontId="32" fillId="3" borderId="46" xfId="0" applyFont="1" applyFill="1" applyBorder="1"/>
    <xf numFmtId="0" fontId="8" fillId="0" borderId="0" xfId="1" applyFill="1" applyBorder="1"/>
    <xf numFmtId="0" fontId="32" fillId="0" borderId="0" xfId="0" applyFont="1" applyAlignment="1">
      <alignment horizontal="center" vertical="center"/>
    </xf>
    <xf numFmtId="0" fontId="8" fillId="0" borderId="0" xfId="1" applyFill="1" applyBorder="1" applyAlignment="1">
      <alignment horizontal="center"/>
    </xf>
    <xf numFmtId="0" fontId="8" fillId="0" borderId="10" xfId="1" applyBorder="1" applyAlignment="1">
      <alignment horizontal="center"/>
    </xf>
    <xf numFmtId="0" fontId="40" fillId="0" borderId="25" xfId="1" applyFont="1" applyBorder="1" applyAlignment="1">
      <alignment horizontal="center"/>
    </xf>
    <xf numFmtId="0" fontId="40" fillId="0" borderId="47" xfId="1" applyFont="1" applyBorder="1" applyAlignment="1">
      <alignment horizontal="center"/>
    </xf>
    <xf numFmtId="0" fontId="42" fillId="0" borderId="24" xfId="0" applyFont="1" applyBorder="1" applyAlignment="1">
      <alignment vertical="top"/>
    </xf>
    <xf numFmtId="0" fontId="42" fillId="0" borderId="0" xfId="0" applyFont="1" applyAlignment="1">
      <alignment vertical="top"/>
    </xf>
    <xf numFmtId="0" fontId="0" fillId="0" borderId="37" xfId="1" applyFont="1" applyBorder="1"/>
    <xf numFmtId="0" fontId="32" fillId="0" borderId="24" xfId="0" applyFont="1" applyBorder="1" applyAlignment="1">
      <alignment vertical="top"/>
    </xf>
    <xf numFmtId="0" fontId="32" fillId="0" borderId="37" xfId="0" applyFont="1" applyBorder="1" applyAlignment="1">
      <alignment vertical="top"/>
    </xf>
    <xf numFmtId="0" fontId="42" fillId="0" borderId="36" xfId="0" applyFont="1" applyBorder="1" applyAlignment="1">
      <alignment vertical="top"/>
    </xf>
    <xf numFmtId="0" fontId="45" fillId="0" borderId="25" xfId="1" applyFont="1" applyBorder="1" applyAlignment="1">
      <alignment horizontal="center"/>
    </xf>
    <xf numFmtId="0" fontId="45" fillId="0" borderId="47" xfId="1" applyFont="1" applyBorder="1" applyAlignment="1">
      <alignment horizontal="center"/>
    </xf>
    <xf numFmtId="0" fontId="44" fillId="0" borderId="25" xfId="1" applyFont="1" applyBorder="1" applyAlignment="1">
      <alignment horizontal="center"/>
    </xf>
    <xf numFmtId="0" fontId="44" fillId="0" borderId="47" xfId="1" applyFont="1" applyBorder="1" applyAlignment="1">
      <alignment horizontal="center"/>
    </xf>
    <xf numFmtId="0" fontId="43" fillId="0" borderId="47" xfId="1" applyFont="1" applyBorder="1" applyAlignment="1">
      <alignment horizontal="center"/>
    </xf>
    <xf numFmtId="0" fontId="8" fillId="0" borderId="10" xfId="1" applyBorder="1"/>
    <xf numFmtId="0" fontId="32" fillId="0" borderId="33" xfId="0" applyFont="1" applyBorder="1" applyAlignment="1">
      <alignment horizontal="left"/>
    </xf>
    <xf numFmtId="0" fontId="0" fillId="0" borderId="10" xfId="1" applyFont="1" applyFill="1" applyBorder="1" applyAlignment="1">
      <alignment horizontal="left"/>
    </xf>
    <xf numFmtId="0" fontId="8" fillId="0" borderId="25" xfId="1" applyFill="1" applyBorder="1"/>
    <xf numFmtId="0" fontId="43" fillId="0" borderId="47" xfId="1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8" fillId="0" borderId="25" xfId="1" applyFill="1" applyBorder="1" applyAlignment="1">
      <alignment horizontal="center"/>
    </xf>
    <xf numFmtId="0" fontId="32" fillId="0" borderId="35" xfId="0" applyFont="1" applyBorder="1" applyAlignment="1">
      <alignment horizontal="center" vertical="center"/>
    </xf>
    <xf numFmtId="0" fontId="0" fillId="0" borderId="37" xfId="1" applyFont="1" applyFill="1" applyBorder="1"/>
    <xf numFmtId="0" fontId="0" fillId="0" borderId="24" xfId="1" applyFont="1" applyFill="1" applyBorder="1"/>
    <xf numFmtId="0" fontId="44" fillId="0" borderId="10" xfId="1" applyFont="1" applyFill="1" applyBorder="1" applyAlignment="1">
      <alignment horizontal="center"/>
    </xf>
    <xf numFmtId="0" fontId="45" fillId="0" borderId="25" xfId="1" applyFont="1" applyFill="1" applyBorder="1" applyAlignment="1">
      <alignment horizontal="center"/>
    </xf>
    <xf numFmtId="0" fontId="0" fillId="0" borderId="37" xfId="0" applyBorder="1"/>
    <xf numFmtId="0" fontId="0" fillId="0" borderId="36" xfId="0" applyBorder="1"/>
    <xf numFmtId="0" fontId="0" fillId="0" borderId="32" xfId="0" applyBorder="1"/>
    <xf numFmtId="0" fontId="0" fillId="0" borderId="33" xfId="0" applyBorder="1"/>
    <xf numFmtId="0" fontId="0" fillId="0" borderId="10" xfId="0" applyBorder="1" applyAlignment="1">
      <alignment horizontal="center"/>
    </xf>
    <xf numFmtId="0" fontId="46" fillId="0" borderId="47" xfId="1" applyFont="1" applyBorder="1" applyAlignment="1">
      <alignment horizontal="center"/>
    </xf>
    <xf numFmtId="0" fontId="32" fillId="3" borderId="10" xfId="0" applyFont="1" applyFill="1" applyBorder="1"/>
    <xf numFmtId="0" fontId="32" fillId="3" borderId="25" xfId="0" applyFont="1" applyFill="1" applyBorder="1"/>
    <xf numFmtId="0" fontId="32" fillId="3" borderId="47" xfId="0" applyFont="1" applyFill="1" applyBorder="1"/>
    <xf numFmtId="0" fontId="32" fillId="2" borderId="10" xfId="0" applyFont="1" applyFill="1" applyBorder="1"/>
    <xf numFmtId="0" fontId="32" fillId="2" borderId="47" xfId="0" applyFont="1" applyFill="1" applyBorder="1"/>
    <xf numFmtId="0" fontId="8" fillId="0" borderId="10" xfId="1" applyBorder="1" applyAlignment="1">
      <alignment horizontal="left"/>
    </xf>
    <xf numFmtId="0" fontId="46" fillId="0" borderId="10" xfId="1" applyFont="1" applyBorder="1"/>
    <xf numFmtId="0" fontId="0" fillId="0" borderId="25" xfId="0" applyBorder="1" applyAlignment="1">
      <alignment horizontal="center"/>
    </xf>
    <xf numFmtId="0" fontId="8" fillId="0" borderId="25" xfId="1" applyBorder="1" applyAlignment="1">
      <alignment horizontal="left"/>
    </xf>
    <xf numFmtId="0" fontId="8" fillId="0" borderId="47" xfId="1" applyBorder="1"/>
    <xf numFmtId="0" fontId="32" fillId="2" borderId="24" xfId="0" applyFont="1" applyFill="1" applyBorder="1" applyAlignment="1">
      <alignment horizontal="left"/>
    </xf>
    <xf numFmtId="0" fontId="32" fillId="2" borderId="0" xfId="0" applyFont="1" applyFill="1" applyAlignment="1">
      <alignment horizontal="left"/>
    </xf>
    <xf numFmtId="0" fontId="32" fillId="2" borderId="33" xfId="0" applyFont="1" applyFill="1" applyBorder="1" applyAlignment="1">
      <alignment horizontal="left"/>
    </xf>
    <xf numFmtId="0" fontId="32" fillId="2" borderId="2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0" fillId="0" borderId="47" xfId="0" applyBorder="1"/>
    <xf numFmtId="0" fontId="0" fillId="0" borderId="46" xfId="1" applyFont="1" applyFill="1" applyBorder="1"/>
    <xf numFmtId="0" fontId="0" fillId="0" borderId="25" xfId="0" applyBorder="1"/>
    <xf numFmtId="0" fontId="32" fillId="0" borderId="0" xfId="0" applyFont="1" applyAlignment="1">
      <alignment horizontal="left"/>
    </xf>
    <xf numFmtId="0" fontId="0" fillId="0" borderId="10" xfId="0" applyBorder="1"/>
    <xf numFmtId="0" fontId="0" fillId="0" borderId="25" xfId="1" applyFont="1" applyFill="1" applyBorder="1"/>
    <xf numFmtId="0" fontId="29" fillId="0" borderId="24" xfId="0" applyFont="1" applyBorder="1"/>
    <xf numFmtId="0" fontId="40" fillId="0" borderId="0" xfId="1" applyFont="1" applyBorder="1"/>
    <xf numFmtId="0" fontId="0" fillId="0" borderId="46" xfId="0" applyBorder="1"/>
    <xf numFmtId="0" fontId="29" fillId="4" borderId="37" xfId="0" applyFont="1" applyFill="1" applyBorder="1" applyAlignment="1">
      <alignment horizontal="left"/>
    </xf>
    <xf numFmtId="0" fontId="32" fillId="2" borderId="25" xfId="0" applyFont="1" applyFill="1" applyBorder="1"/>
    <xf numFmtId="0" fontId="40" fillId="0" borderId="0" xfId="1" applyFont="1"/>
    <xf numFmtId="0" fontId="46" fillId="0" borderId="33" xfId="1" applyFont="1" applyBorder="1" applyAlignment="1">
      <alignment horizontal="center"/>
    </xf>
    <xf numFmtId="0" fontId="32" fillId="8" borderId="10" xfId="0" applyFont="1" applyFill="1" applyBorder="1"/>
    <xf numFmtId="0" fontId="32" fillId="8" borderId="25" xfId="0" applyFont="1" applyFill="1" applyBorder="1"/>
    <xf numFmtId="0" fontId="32" fillId="8" borderId="24" xfId="0" applyFont="1" applyFill="1" applyBorder="1"/>
    <xf numFmtId="0" fontId="32" fillId="8" borderId="47" xfId="0" applyFont="1" applyFill="1" applyBorder="1"/>
    <xf numFmtId="0" fontId="40" fillId="0" borderId="10" xfId="1" applyFont="1" applyBorder="1" applyAlignment="1">
      <alignment horizontal="left"/>
    </xf>
    <xf numFmtId="0" fontId="32" fillId="0" borderId="46" xfId="0" applyFont="1" applyBorder="1" applyAlignment="1">
      <alignment horizontal="center"/>
    </xf>
    <xf numFmtId="0" fontId="32" fillId="0" borderId="46" xfId="0" applyFont="1" applyBorder="1" applyAlignment="1">
      <alignment vertical="top"/>
    </xf>
    <xf numFmtId="0" fontId="42" fillId="0" borderId="35" xfId="0" applyFont="1" applyBorder="1" applyAlignment="1">
      <alignment vertical="top"/>
    </xf>
    <xf numFmtId="0" fontId="48" fillId="6" borderId="33" xfId="0" applyFont="1" applyFill="1" applyBorder="1" applyAlignment="1">
      <alignment horizontal="center" vertical="center"/>
    </xf>
    <xf numFmtId="0" fontId="49" fillId="0" borderId="25" xfId="1" applyFont="1" applyBorder="1"/>
    <xf numFmtId="0" fontId="49" fillId="0" borderId="47" xfId="1" applyFont="1" applyBorder="1"/>
    <xf numFmtId="0" fontId="46" fillId="0" borderId="25" xfId="1" applyFont="1" applyBorder="1"/>
    <xf numFmtId="0" fontId="32" fillId="5" borderId="10" xfId="0" applyFont="1" applyFill="1" applyBorder="1"/>
    <xf numFmtId="0" fontId="32" fillId="5" borderId="25" xfId="0" applyFont="1" applyFill="1" applyBorder="1"/>
    <xf numFmtId="0" fontId="32" fillId="5" borderId="47" xfId="0" applyFont="1" applyFill="1" applyBorder="1"/>
    <xf numFmtId="0" fontId="51" fillId="6" borderId="36" xfId="0" applyFont="1" applyFill="1" applyBorder="1"/>
    <xf numFmtId="0" fontId="51" fillId="6" borderId="24" xfId="0" applyFont="1" applyFill="1" applyBorder="1" applyAlignment="1">
      <alignment horizontal="center" vertical="center"/>
    </xf>
    <xf numFmtId="0" fontId="51" fillId="6" borderId="24" xfId="0" applyFont="1" applyFill="1" applyBorder="1"/>
    <xf numFmtId="0" fontId="51" fillId="6" borderId="0" xfId="0" applyFont="1" applyFill="1"/>
    <xf numFmtId="0" fontId="51" fillId="6" borderId="33" xfId="0" applyFont="1" applyFill="1" applyBorder="1"/>
    <xf numFmtId="0" fontId="51" fillId="6" borderId="35" xfId="0" applyFont="1" applyFill="1" applyBorder="1"/>
    <xf numFmtId="0" fontId="7" fillId="0" borderId="10" xfId="1" applyFont="1" applyFill="1" applyBorder="1"/>
    <xf numFmtId="0" fontId="52" fillId="0" borderId="25" xfId="0" applyFont="1" applyBorder="1"/>
    <xf numFmtId="0" fontId="32" fillId="0" borderId="0" xfId="0" applyFont="1" applyAlignment="1">
      <alignment horizontal="left" vertical="center"/>
    </xf>
    <xf numFmtId="0" fontId="32" fillId="0" borderId="33" xfId="0" applyFont="1" applyBorder="1" applyAlignment="1">
      <alignment horizontal="left" vertical="center"/>
    </xf>
    <xf numFmtId="0" fontId="53" fillId="0" borderId="24" xfId="1" applyFont="1" applyFill="1" applyBorder="1"/>
    <xf numFmtId="0" fontId="53" fillId="0" borderId="46" xfId="1" applyFont="1" applyFill="1" applyBorder="1"/>
    <xf numFmtId="0" fontId="52" fillId="0" borderId="10" xfId="0" applyFont="1" applyBorder="1"/>
    <xf numFmtId="0" fontId="8" fillId="0" borderId="47" xfId="1" applyBorder="1" applyAlignment="1">
      <alignment horizontal="left"/>
    </xf>
    <xf numFmtId="0" fontId="32" fillId="0" borderId="33" xfId="0" applyFont="1" applyBorder="1" applyAlignment="1">
      <alignment horizontal="center"/>
    </xf>
    <xf numFmtId="0" fontId="32" fillId="0" borderId="40" xfId="0" applyFont="1" applyBorder="1" applyAlignment="1">
      <alignment horizontal="center"/>
    </xf>
    <xf numFmtId="0" fontId="28" fillId="4" borderId="3" xfId="0" applyFont="1" applyFill="1" applyBorder="1"/>
    <xf numFmtId="0" fontId="23" fillId="9" borderId="5" xfId="0" applyFont="1" applyFill="1" applyBorder="1" applyAlignment="1">
      <alignment horizontal="left"/>
    </xf>
    <xf numFmtId="0" fontId="5" fillId="9" borderId="19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0" fontId="5" fillId="9" borderId="34" xfId="0" applyFont="1" applyFill="1" applyBorder="1" applyAlignment="1">
      <alignment horizontal="left"/>
    </xf>
    <xf numFmtId="0" fontId="0" fillId="9" borderId="18" xfId="0" applyFill="1" applyBorder="1"/>
    <xf numFmtId="0" fontId="0" fillId="9" borderId="9" xfId="0" applyFill="1" applyBorder="1"/>
    <xf numFmtId="0" fontId="23" fillId="9" borderId="8" xfId="0" applyFont="1" applyFill="1" applyBorder="1" applyAlignment="1">
      <alignment horizontal="left"/>
    </xf>
    <xf numFmtId="0" fontId="23" fillId="2" borderId="5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34" xfId="0" applyFont="1" applyFill="1" applyBorder="1" applyAlignment="1">
      <alignment horizontal="left"/>
    </xf>
    <xf numFmtId="0" fontId="2" fillId="2" borderId="0" xfId="0" applyFont="1" applyFill="1"/>
    <xf numFmtId="0" fontId="9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32" fillId="0" borderId="32" xfId="0" applyFont="1" applyBorder="1" applyAlignment="1">
      <alignment horizontal="center"/>
    </xf>
    <xf numFmtId="0" fontId="0" fillId="0" borderId="24" xfId="1" applyFont="1" applyBorder="1"/>
    <xf numFmtId="0" fontId="29" fillId="0" borderId="36" xfId="0" applyFont="1" applyBorder="1" applyAlignment="1">
      <alignment horizontal="center" vertical="center"/>
    </xf>
    <xf numFmtId="0" fontId="39" fillId="0" borderId="25" xfId="1" applyFont="1" applyFill="1" applyBorder="1"/>
    <xf numFmtId="0" fontId="8" fillId="0" borderId="10" xfId="1" applyBorder="1" applyAlignment="1">
      <alignment horizontal="left" vertical="center"/>
    </xf>
    <xf numFmtId="0" fontId="32" fillId="3" borderId="36" xfId="0" applyFont="1" applyFill="1" applyBorder="1"/>
    <xf numFmtId="0" fontId="32" fillId="3" borderId="32" xfId="0" applyFont="1" applyFill="1" applyBorder="1"/>
    <xf numFmtId="0" fontId="32" fillId="3" borderId="0" xfId="0" applyFont="1" applyFill="1"/>
    <xf numFmtId="0" fontId="32" fillId="3" borderId="33" xfId="0" applyFont="1" applyFill="1" applyBorder="1"/>
    <xf numFmtId="0" fontId="32" fillId="2" borderId="37" xfId="0" applyFont="1" applyFill="1" applyBorder="1"/>
    <xf numFmtId="0" fontId="32" fillId="2" borderId="36" xfId="0" applyFont="1" applyFill="1" applyBorder="1"/>
    <xf numFmtId="0" fontId="32" fillId="2" borderId="32" xfId="0" applyFont="1" applyFill="1" applyBorder="1"/>
    <xf numFmtId="0" fontId="32" fillId="2" borderId="35" xfId="0" applyFont="1" applyFill="1" applyBorder="1"/>
    <xf numFmtId="0" fontId="32" fillId="2" borderId="40" xfId="0" applyFont="1" applyFill="1" applyBorder="1"/>
    <xf numFmtId="0" fontId="51" fillId="6" borderId="37" xfId="0" applyFont="1" applyFill="1" applyBorder="1" applyAlignment="1">
      <alignment horizontal="center"/>
    </xf>
    <xf numFmtId="0" fontId="51" fillId="6" borderId="37" xfId="0" applyFont="1" applyFill="1" applyBorder="1"/>
    <xf numFmtId="0" fontId="48" fillId="6" borderId="32" xfId="0" applyFont="1" applyFill="1" applyBorder="1" applyAlignment="1">
      <alignment horizontal="center" vertical="center"/>
    </xf>
    <xf numFmtId="0" fontId="51" fillId="6" borderId="32" xfId="0" applyFont="1" applyFill="1" applyBorder="1" applyAlignment="1">
      <alignment horizontal="center" vertical="center"/>
    </xf>
    <xf numFmtId="0" fontId="50" fillId="6" borderId="10" xfId="1" applyFont="1" applyFill="1" applyBorder="1" applyAlignment="1">
      <alignment horizontal="left"/>
    </xf>
    <xf numFmtId="0" fontId="51" fillId="6" borderId="47" xfId="0" applyFont="1" applyFill="1" applyBorder="1" applyAlignment="1">
      <alignment horizontal="center"/>
    </xf>
    <xf numFmtId="0" fontId="51" fillId="6" borderId="4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0" fillId="0" borderId="25" xfId="1" applyFont="1" applyFill="1" applyBorder="1"/>
    <xf numFmtId="0" fontId="51" fillId="6" borderId="36" xfId="0" applyFont="1" applyFill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51" fillId="6" borderId="24" xfId="0" applyFont="1" applyFill="1" applyBorder="1" applyAlignment="1">
      <alignment vertical="top"/>
    </xf>
    <xf numFmtId="0" fontId="55" fillId="6" borderId="0" xfId="0" applyFont="1" applyFill="1" applyAlignment="1">
      <alignment vertical="top"/>
    </xf>
    <xf numFmtId="0" fontId="8" fillId="0" borderId="25" xfId="1" applyFill="1" applyBorder="1" applyAlignment="1">
      <alignment horizontal="right"/>
    </xf>
    <xf numFmtId="0" fontId="49" fillId="0" borderId="25" xfId="1" applyFont="1" applyFill="1" applyBorder="1" applyAlignment="1">
      <alignment horizontal="center"/>
    </xf>
    <xf numFmtId="0" fontId="8" fillId="0" borderId="25" xfId="1" applyBorder="1" applyAlignment="1">
      <alignment vertical="center"/>
    </xf>
    <xf numFmtId="0" fontId="32" fillId="0" borderId="24" xfId="0" applyFont="1" applyBorder="1" applyAlignment="1">
      <alignment vertical="center"/>
    </xf>
    <xf numFmtId="0" fontId="32" fillId="0" borderId="37" xfId="0" applyFont="1" applyBorder="1" applyAlignment="1">
      <alignment vertical="center"/>
    </xf>
    <xf numFmtId="0" fontId="32" fillId="0" borderId="36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32" fillId="0" borderId="33" xfId="0" applyFont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32" fillId="0" borderId="46" xfId="0" applyFont="1" applyBorder="1" applyAlignment="1">
      <alignment vertical="center"/>
    </xf>
    <xf numFmtId="0" fontId="32" fillId="0" borderId="35" xfId="0" applyFont="1" applyBorder="1" applyAlignment="1">
      <alignment vertical="center"/>
    </xf>
    <xf numFmtId="0" fontId="32" fillId="0" borderId="40" xfId="0" applyFont="1" applyBorder="1" applyAlignment="1">
      <alignment vertical="center"/>
    </xf>
    <xf numFmtId="0" fontId="32" fillId="0" borderId="24" xfId="0" applyFont="1" applyBorder="1" applyAlignment="1">
      <alignment horizontal="center"/>
    </xf>
    <xf numFmtId="0" fontId="40" fillId="0" borderId="47" xfId="1" applyFont="1" applyFill="1" applyBorder="1"/>
    <xf numFmtId="0" fontId="46" fillId="0" borderId="0" xfId="1" applyFont="1" applyBorder="1" applyAlignment="1">
      <alignment horizontal="center"/>
    </xf>
    <xf numFmtId="0" fontId="32" fillId="0" borderId="0" xfId="0" applyFont="1" applyAlignment="1">
      <alignment vertical="top"/>
    </xf>
    <xf numFmtId="0" fontId="32" fillId="0" borderId="35" xfId="0" applyFont="1" applyBorder="1" applyAlignment="1">
      <alignment vertical="top"/>
    </xf>
    <xf numFmtId="0" fontId="44" fillId="0" borderId="10" xfId="1" applyFont="1" applyFill="1" applyBorder="1" applyAlignment="1">
      <alignment horizontal="left"/>
    </xf>
    <xf numFmtId="0" fontId="48" fillId="6" borderId="24" xfId="0" applyFont="1" applyFill="1" applyBorder="1"/>
    <xf numFmtId="0" fontId="51" fillId="6" borderId="25" xfId="0" applyFont="1" applyFill="1" applyBorder="1" applyAlignment="1">
      <alignment horizontal="center" vertical="center"/>
    </xf>
    <xf numFmtId="0" fontId="40" fillId="0" borderId="10" xfId="1" applyFont="1" applyFill="1" applyBorder="1"/>
    <xf numFmtId="0" fontId="29" fillId="0" borderId="40" xfId="0" applyFont="1" applyBorder="1" applyAlignment="1">
      <alignment horizontal="center" vertical="center"/>
    </xf>
    <xf numFmtId="0" fontId="56" fillId="0" borderId="0" xfId="0" applyFont="1" applyAlignment="1">
      <alignment vertical="top"/>
    </xf>
    <xf numFmtId="0" fontId="29" fillId="0" borderId="0" xfId="0" applyFont="1"/>
    <xf numFmtId="0" fontId="29" fillId="0" borderId="33" xfId="0" applyFont="1" applyBorder="1"/>
    <xf numFmtId="0" fontId="57" fillId="0" borderId="25" xfId="1" applyFont="1" applyFill="1" applyBorder="1" applyAlignment="1">
      <alignment horizontal="center"/>
    </xf>
    <xf numFmtId="0" fontId="32" fillId="8" borderId="24" xfId="0" applyFont="1" applyFill="1" applyBorder="1" applyAlignment="1">
      <alignment horizontal="left"/>
    </xf>
    <xf numFmtId="0" fontId="32" fillId="8" borderId="0" xfId="0" applyFont="1" applyFill="1" applyAlignment="1">
      <alignment horizontal="left"/>
    </xf>
    <xf numFmtId="0" fontId="32" fillId="8" borderId="33" xfId="0" applyFont="1" applyFill="1" applyBorder="1" applyAlignment="1">
      <alignment horizontal="left"/>
    </xf>
    <xf numFmtId="0" fontId="32" fillId="5" borderId="10" xfId="0" applyFont="1" applyFill="1" applyBorder="1" applyAlignment="1">
      <alignment horizontal="center" vertical="center"/>
    </xf>
    <xf numFmtId="0" fontId="32" fillId="5" borderId="25" xfId="0" applyFont="1" applyFill="1" applyBorder="1" applyAlignment="1">
      <alignment horizontal="center" vertical="center"/>
    </xf>
    <xf numFmtId="0" fontId="32" fillId="11" borderId="25" xfId="0" applyFont="1" applyFill="1" applyBorder="1" applyAlignment="1">
      <alignment horizontal="center" vertical="center"/>
    </xf>
    <xf numFmtId="0" fontId="32" fillId="11" borderId="47" xfId="0" applyFont="1" applyFill="1" applyBorder="1" applyAlignment="1">
      <alignment horizontal="center" vertical="center"/>
    </xf>
    <xf numFmtId="0" fontId="32" fillId="11" borderId="32" xfId="0" applyFont="1" applyFill="1" applyBorder="1" applyAlignment="1">
      <alignment horizontal="center" vertical="center"/>
    </xf>
    <xf numFmtId="0" fontId="32" fillId="12" borderId="33" xfId="0" applyFont="1" applyFill="1" applyBorder="1" applyAlignment="1">
      <alignment horizontal="center" vertical="center"/>
    </xf>
    <xf numFmtId="0" fontId="32" fillId="12" borderId="40" xfId="0" applyFont="1" applyFill="1" applyBorder="1" applyAlignment="1">
      <alignment horizontal="center" vertical="center"/>
    </xf>
    <xf numFmtId="0" fontId="51" fillId="13" borderId="33" xfId="0" applyFont="1" applyFill="1" applyBorder="1" applyAlignment="1">
      <alignment horizontal="center" vertical="center"/>
    </xf>
    <xf numFmtId="0" fontId="51" fillId="13" borderId="40" xfId="0" applyFont="1" applyFill="1" applyBorder="1" applyAlignment="1">
      <alignment horizontal="center" vertical="center"/>
    </xf>
    <xf numFmtId="0" fontId="51" fillId="13" borderId="33" xfId="0" applyFont="1" applyFill="1" applyBorder="1" applyAlignment="1">
      <alignment vertical="center"/>
    </xf>
    <xf numFmtId="0" fontId="51" fillId="13" borderId="40" xfId="0" applyFont="1" applyFill="1" applyBorder="1" applyAlignment="1">
      <alignment vertical="center"/>
    </xf>
    <xf numFmtId="0" fontId="32" fillId="12" borderId="36" xfId="0" applyFont="1" applyFill="1" applyBorder="1" applyAlignment="1">
      <alignment horizontal="left" vertical="center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left" vertical="center"/>
    </xf>
    <xf numFmtId="0" fontId="32" fillId="12" borderId="35" xfId="0" applyFont="1" applyFill="1" applyBorder="1" applyAlignment="1">
      <alignment vertical="center"/>
    </xf>
    <xf numFmtId="0" fontId="32" fillId="12" borderId="32" xfId="0" applyFont="1" applyFill="1" applyBorder="1" applyAlignment="1">
      <alignment horizontal="center" vertical="center"/>
    </xf>
    <xf numFmtId="0" fontId="8" fillId="0" borderId="37" xfId="1" applyFill="1" applyBorder="1"/>
    <xf numFmtId="0" fontId="32" fillId="5" borderId="24" xfId="0" applyFont="1" applyFill="1" applyBorder="1" applyAlignment="1">
      <alignment horizontal="left" vertical="center" wrapText="1"/>
    </xf>
    <xf numFmtId="0" fontId="32" fillId="5" borderId="0" xfId="0" applyFont="1" applyFill="1" applyAlignment="1">
      <alignment horizontal="left" vertical="center"/>
    </xf>
    <xf numFmtId="0" fontId="32" fillId="5" borderId="33" xfId="0" applyFont="1" applyFill="1" applyBorder="1" applyAlignment="1">
      <alignment horizontal="left" vertical="center"/>
    </xf>
    <xf numFmtId="0" fontId="43" fillId="0" borderId="25" xfId="1" applyFont="1" applyFill="1" applyBorder="1"/>
    <xf numFmtId="0" fontId="43" fillId="0" borderId="25" xfId="1" applyFont="1" applyBorder="1"/>
    <xf numFmtId="0" fontId="43" fillId="0" borderId="47" xfId="1" applyFont="1" applyBorder="1"/>
    <xf numFmtId="0" fontId="0" fillId="2" borderId="46" xfId="0" applyFill="1" applyBorder="1"/>
    <xf numFmtId="0" fontId="0" fillId="2" borderId="35" xfId="0" applyFill="1" applyBorder="1"/>
    <xf numFmtId="0" fontId="0" fillId="2" borderId="40" xfId="0" applyFill="1" applyBorder="1"/>
    <xf numFmtId="0" fontId="0" fillId="0" borderId="24" xfId="0" applyBorder="1"/>
    <xf numFmtId="0" fontId="0" fillId="0" borderId="40" xfId="0" applyBorder="1"/>
    <xf numFmtId="0" fontId="32" fillId="5" borderId="24" xfId="0" applyFont="1" applyFill="1" applyBorder="1" applyAlignment="1">
      <alignment horizontal="left"/>
    </xf>
    <xf numFmtId="0" fontId="32" fillId="5" borderId="0" xfId="0" applyFont="1" applyFill="1" applyAlignment="1">
      <alignment horizontal="left"/>
    </xf>
    <xf numFmtId="0" fontId="32" fillId="5" borderId="33" xfId="0" applyFont="1" applyFill="1" applyBorder="1" applyAlignment="1">
      <alignment horizontal="left"/>
    </xf>
    <xf numFmtId="0" fontId="51" fillId="6" borderId="37" xfId="0" applyFont="1" applyFill="1" applyBorder="1" applyAlignment="1">
      <alignment horizontal="center" vertical="center"/>
    </xf>
    <xf numFmtId="0" fontId="50" fillId="6" borderId="37" xfId="1" applyFont="1" applyFill="1" applyBorder="1"/>
    <xf numFmtId="0" fontId="51" fillId="6" borderId="32" xfId="0" applyFont="1" applyFill="1" applyBorder="1" applyAlignment="1">
      <alignment horizontal="left"/>
    </xf>
    <xf numFmtId="0" fontId="50" fillId="6" borderId="24" xfId="1" applyFont="1" applyFill="1" applyBorder="1"/>
    <xf numFmtId="0" fontId="51" fillId="6" borderId="33" xfId="0" applyFont="1" applyFill="1" applyBorder="1" applyAlignment="1">
      <alignment horizontal="left"/>
    </xf>
    <xf numFmtId="0" fontId="50" fillId="6" borderId="46" xfId="1" applyFont="1" applyFill="1" applyBorder="1"/>
    <xf numFmtId="0" fontId="51" fillId="6" borderId="40" xfId="0" applyFont="1" applyFill="1" applyBorder="1"/>
    <xf numFmtId="0" fontId="50" fillId="6" borderId="46" xfId="0" applyFont="1" applyFill="1" applyBorder="1"/>
    <xf numFmtId="14" fontId="37" fillId="0" borderId="24" xfId="0" applyNumberFormat="1" applyFont="1" applyBorder="1" applyAlignment="1">
      <alignment horizontal="left" vertical="center" wrapText="1"/>
    </xf>
    <xf numFmtId="0" fontId="32" fillId="5" borderId="24" xfId="0" applyFont="1" applyFill="1" applyBorder="1" applyAlignment="1">
      <alignment horizontal="center"/>
    </xf>
    <xf numFmtId="0" fontId="32" fillId="5" borderId="33" xfId="0" applyFont="1" applyFill="1" applyBorder="1" applyAlignment="1">
      <alignment horizontal="center"/>
    </xf>
    <xf numFmtId="0" fontId="32" fillId="0" borderId="24" xfId="0" applyFont="1" applyBorder="1" applyAlignment="1">
      <alignment horizontal="left"/>
    </xf>
    <xf numFmtId="0" fontId="32" fillId="3" borderId="24" xfId="0" applyFont="1" applyFill="1" applyBorder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32" fillId="3" borderId="33" xfId="0" applyFont="1" applyFill="1" applyBorder="1" applyAlignment="1">
      <alignment horizontal="left" vertical="center"/>
    </xf>
    <xf numFmtId="0" fontId="32" fillId="3" borderId="24" xfId="0" applyFont="1" applyFill="1" applyBorder="1" applyAlignment="1">
      <alignment horizontal="center"/>
    </xf>
    <xf numFmtId="0" fontId="32" fillId="3" borderId="0" xfId="0" applyFont="1" applyFill="1" applyAlignment="1">
      <alignment horizontal="center"/>
    </xf>
    <xf numFmtId="0" fontId="32" fillId="3" borderId="33" xfId="0" applyFont="1" applyFill="1" applyBorder="1" applyAlignment="1">
      <alignment horizontal="center"/>
    </xf>
    <xf numFmtId="0" fontId="32" fillId="3" borderId="24" xfId="0" applyFont="1" applyFill="1" applyBorder="1" applyAlignment="1">
      <alignment horizontal="left"/>
    </xf>
    <xf numFmtId="0" fontId="32" fillId="3" borderId="0" xfId="0" applyFont="1" applyFill="1" applyAlignment="1">
      <alignment horizontal="left"/>
    </xf>
    <xf numFmtId="0" fontId="32" fillId="3" borderId="33" xfId="0" applyFont="1" applyFill="1" applyBorder="1" applyAlignment="1">
      <alignment horizontal="left"/>
    </xf>
    <xf numFmtId="0" fontId="36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32" fillId="5" borderId="0" xfId="0" applyFont="1" applyFill="1" applyAlignment="1">
      <alignment horizontal="center"/>
    </xf>
    <xf numFmtId="0" fontId="29" fillId="0" borderId="10" xfId="0" applyFont="1" applyBorder="1" applyAlignment="1">
      <alignment horizontal="center"/>
    </xf>
    <xf numFmtId="0" fontId="35" fillId="0" borderId="10" xfId="0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 textRotation="90"/>
    </xf>
    <xf numFmtId="0" fontId="32" fillId="0" borderId="47" xfId="0" applyFont="1" applyBorder="1" applyAlignment="1">
      <alignment horizontal="left"/>
    </xf>
    <xf numFmtId="0" fontId="41" fillId="3" borderId="24" xfId="0" applyFont="1" applyFill="1" applyBorder="1" applyAlignment="1">
      <alignment horizontal="left" vertical="center"/>
    </xf>
    <xf numFmtId="0" fontId="41" fillId="3" borderId="0" xfId="0" applyFont="1" applyFill="1" applyAlignment="1">
      <alignment horizontal="left" vertical="center"/>
    </xf>
    <xf numFmtId="0" fontId="41" fillId="3" borderId="33" xfId="0" applyFont="1" applyFill="1" applyBorder="1" applyAlignment="1">
      <alignment horizontal="left" vertical="center"/>
    </xf>
    <xf numFmtId="0" fontId="40" fillId="0" borderId="0" xfId="1" applyFont="1" applyFill="1"/>
    <xf numFmtId="0" fontId="40" fillId="0" borderId="25" xfId="1" applyFont="1" applyFill="1" applyBorder="1" applyAlignment="1">
      <alignment horizontal="left"/>
    </xf>
    <xf numFmtId="14" fontId="29" fillId="2" borderId="24" xfId="0" applyNumberFormat="1" applyFont="1" applyFill="1" applyBorder="1" applyAlignment="1">
      <alignment horizontal="left"/>
    </xf>
    <xf numFmtId="0" fontId="29" fillId="2" borderId="0" xfId="0" applyFont="1" applyFill="1" applyAlignment="1">
      <alignment horizontal="left"/>
    </xf>
    <xf numFmtId="0" fontId="0" fillId="0" borderId="47" xfId="1" applyFont="1" applyFill="1" applyBorder="1" applyAlignment="1">
      <alignment horizontal="center"/>
    </xf>
    <xf numFmtId="0" fontId="54" fillId="0" borderId="24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14" fontId="41" fillId="3" borderId="24" xfId="0" applyNumberFormat="1" applyFont="1" applyFill="1" applyBorder="1" applyAlignment="1">
      <alignment horizontal="left"/>
    </xf>
    <xf numFmtId="0" fontId="41" fillId="3" borderId="0" xfId="0" applyFont="1" applyFill="1" applyAlignment="1">
      <alignment horizontal="left"/>
    </xf>
    <xf numFmtId="0" fontId="41" fillId="3" borderId="33" xfId="0" applyFont="1" applyFill="1" applyBorder="1" applyAlignment="1">
      <alignment horizontal="left"/>
    </xf>
    <xf numFmtId="0" fontId="32" fillId="10" borderId="24" xfId="0" applyFont="1" applyFill="1" applyBorder="1" applyAlignment="1">
      <alignment horizontal="left" vertical="center" wrapText="1"/>
    </xf>
    <xf numFmtId="0" fontId="32" fillId="10" borderId="0" xfId="0" applyFont="1" applyFill="1" applyAlignment="1">
      <alignment horizontal="left" vertical="center"/>
    </xf>
    <xf numFmtId="0" fontId="32" fillId="10" borderId="33" xfId="0" applyFont="1" applyFill="1" applyBorder="1" applyAlignment="1">
      <alignment horizontal="left" vertical="center"/>
    </xf>
    <xf numFmtId="0" fontId="32" fillId="8" borderId="24" xfId="0" applyFont="1" applyFill="1" applyBorder="1" applyAlignment="1">
      <alignment horizontal="left" vertical="center" wrapText="1"/>
    </xf>
    <xf numFmtId="0" fontId="32" fillId="8" borderId="0" xfId="0" applyFont="1" applyFill="1" applyAlignment="1">
      <alignment horizontal="left" vertical="center"/>
    </xf>
    <xf numFmtId="0" fontId="32" fillId="8" borderId="33" xfId="0" applyFont="1" applyFill="1" applyBorder="1" applyAlignment="1">
      <alignment horizontal="left" vertical="center"/>
    </xf>
    <xf numFmtId="0" fontId="41" fillId="8" borderId="24" xfId="0" applyFont="1" applyFill="1" applyBorder="1" applyAlignment="1">
      <alignment horizontal="left" vertical="center" wrapText="1"/>
    </xf>
    <xf numFmtId="0" fontId="41" fillId="8" borderId="0" xfId="0" applyFont="1" applyFill="1" applyAlignment="1">
      <alignment horizontal="left" vertical="center"/>
    </xf>
    <xf numFmtId="0" fontId="41" fillId="8" borderId="33" xfId="0" applyFont="1" applyFill="1" applyBorder="1" applyAlignment="1">
      <alignment horizontal="left" vertical="center"/>
    </xf>
    <xf numFmtId="14" fontId="32" fillId="5" borderId="24" xfId="0" applyNumberFormat="1" applyFont="1" applyFill="1" applyBorder="1" applyAlignment="1">
      <alignment horizontal="left"/>
    </xf>
    <xf numFmtId="0" fontId="40" fillId="0" borderId="25" xfId="1" applyFont="1" applyBorder="1"/>
    <xf numFmtId="14" fontId="23" fillId="3" borderId="57" xfId="0" applyNumberFormat="1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14" fontId="23" fillId="3" borderId="33" xfId="0" applyNumberFormat="1" applyFont="1" applyFill="1" applyBorder="1" applyAlignment="1">
      <alignment horizontal="center" vertical="center"/>
    </xf>
    <xf numFmtId="0" fontId="23" fillId="3" borderId="32" xfId="0" applyFont="1" applyFill="1" applyBorder="1" applyAlignment="1">
      <alignment horizontal="center" vertical="center"/>
    </xf>
    <xf numFmtId="14" fontId="23" fillId="3" borderId="57" xfId="0" applyNumberFormat="1" applyFont="1" applyFill="1" applyBorder="1" applyAlignment="1">
      <alignment horizontal="center"/>
    </xf>
    <xf numFmtId="14" fontId="23" fillId="14" borderId="52" xfId="0" applyNumberFormat="1" applyFont="1" applyFill="1" applyBorder="1" applyAlignment="1">
      <alignment horizontal="center"/>
    </xf>
    <xf numFmtId="14" fontId="23" fillId="14" borderId="6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41" fillId="0" borderId="33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33" xfId="0" applyFont="1" applyBorder="1" applyAlignment="1">
      <alignment horizontal="center"/>
    </xf>
    <xf numFmtId="0" fontId="32" fillId="2" borderId="46" xfId="0" applyFont="1" applyFill="1" applyBorder="1" applyAlignment="1">
      <alignment horizontal="left"/>
    </xf>
    <xf numFmtId="0" fontId="32" fillId="2" borderId="35" xfId="0" applyFont="1" applyFill="1" applyBorder="1" applyAlignment="1">
      <alignment horizontal="left"/>
    </xf>
    <xf numFmtId="0" fontId="32" fillId="2" borderId="40" xfId="0" applyFont="1" applyFill="1" applyBorder="1" applyAlignment="1">
      <alignment horizontal="left"/>
    </xf>
    <xf numFmtId="0" fontId="32" fillId="0" borderId="35" xfId="0" applyFont="1" applyBorder="1" applyAlignment="1">
      <alignment horizontal="left"/>
    </xf>
    <xf numFmtId="0" fontId="32" fillId="0" borderId="40" xfId="0" applyFont="1" applyBorder="1" applyAlignment="1">
      <alignment horizontal="left"/>
    </xf>
    <xf numFmtId="0" fontId="32" fillId="2" borderId="46" xfId="0" applyFont="1" applyFill="1" applyBorder="1" applyAlignment="1">
      <alignment horizontal="left" vertical="center"/>
    </xf>
    <xf numFmtId="0" fontId="32" fillId="2" borderId="35" xfId="0" applyFont="1" applyFill="1" applyBorder="1" applyAlignment="1">
      <alignment horizontal="left" vertical="center"/>
    </xf>
    <xf numFmtId="0" fontId="32" fillId="2" borderId="40" xfId="0" applyFont="1" applyFill="1" applyBorder="1" applyAlignment="1">
      <alignment horizontal="left" vertical="center"/>
    </xf>
    <xf numFmtId="0" fontId="32" fillId="8" borderId="46" xfId="0" applyFont="1" applyFill="1" applyBorder="1" applyAlignment="1">
      <alignment horizontal="left"/>
    </xf>
    <xf numFmtId="0" fontId="47" fillId="8" borderId="35" xfId="0" applyFont="1" applyFill="1" applyBorder="1" applyAlignment="1">
      <alignment horizontal="left"/>
    </xf>
    <xf numFmtId="0" fontId="47" fillId="8" borderId="40" xfId="0" applyFont="1" applyFill="1" applyBorder="1" applyAlignment="1">
      <alignment horizontal="left"/>
    </xf>
    <xf numFmtId="0" fontId="32" fillId="8" borderId="46" xfId="0" applyFont="1" applyFill="1" applyBorder="1" applyAlignment="1">
      <alignment horizontal="left" vertical="center"/>
    </xf>
    <xf numFmtId="0" fontId="32" fillId="8" borderId="35" xfId="0" applyFont="1" applyFill="1" applyBorder="1" applyAlignment="1">
      <alignment horizontal="left" vertical="center"/>
    </xf>
    <xf numFmtId="0" fontId="32" fillId="8" borderId="40" xfId="0" applyFont="1" applyFill="1" applyBorder="1" applyAlignment="1">
      <alignment horizontal="left" vertical="center"/>
    </xf>
    <xf numFmtId="0" fontId="32" fillId="2" borderId="37" xfId="0" applyFont="1" applyFill="1" applyBorder="1" applyAlignment="1">
      <alignment horizontal="left"/>
    </xf>
    <xf numFmtId="0" fontId="47" fillId="2" borderId="36" xfId="0" applyFont="1" applyFill="1" applyBorder="1" applyAlignment="1">
      <alignment horizontal="left"/>
    </xf>
    <xf numFmtId="0" fontId="47" fillId="2" borderId="32" xfId="0" applyFont="1" applyFill="1" applyBorder="1" applyAlignment="1">
      <alignment horizontal="left"/>
    </xf>
    <xf numFmtId="0" fontId="32" fillId="0" borderId="0" xfId="0" applyFont="1" applyAlignment="1">
      <alignment horizontal="left"/>
    </xf>
    <xf numFmtId="0" fontId="32" fillId="0" borderId="33" xfId="0" applyFont="1" applyBorder="1" applyAlignment="1">
      <alignment horizontal="left"/>
    </xf>
    <xf numFmtId="0" fontId="32" fillId="2" borderId="2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32" fillId="8" borderId="37" xfId="0" applyFont="1" applyFill="1" applyBorder="1" applyAlignment="1">
      <alignment horizontal="left"/>
    </xf>
    <xf numFmtId="0" fontId="32" fillId="8" borderId="36" xfId="0" applyFont="1" applyFill="1" applyBorder="1" applyAlignment="1">
      <alignment horizontal="left"/>
    </xf>
    <xf numFmtId="0" fontId="32" fillId="8" borderId="32" xfId="0" applyFont="1" applyFill="1" applyBorder="1" applyAlignment="1">
      <alignment horizontal="left"/>
    </xf>
    <xf numFmtId="0" fontId="32" fillId="0" borderId="36" xfId="0" applyFont="1" applyBorder="1" applyAlignment="1">
      <alignment horizontal="left"/>
    </xf>
    <xf numFmtId="0" fontId="32" fillId="8" borderId="37" xfId="0" applyFont="1" applyFill="1" applyBorder="1" applyAlignment="1">
      <alignment horizontal="left" vertical="center"/>
    </xf>
    <xf numFmtId="0" fontId="47" fillId="8" borderId="36" xfId="0" applyFont="1" applyFill="1" applyBorder="1" applyAlignment="1">
      <alignment horizontal="left" vertical="center"/>
    </xf>
    <xf numFmtId="0" fontId="47" fillId="8" borderId="32" xfId="0" applyFont="1" applyFill="1" applyBorder="1" applyAlignment="1">
      <alignment horizontal="left" vertical="center"/>
    </xf>
    <xf numFmtId="0" fontId="32" fillId="8" borderId="24" xfId="0" applyFont="1" applyFill="1" applyBorder="1" applyAlignment="1">
      <alignment horizontal="left"/>
    </xf>
    <xf numFmtId="0" fontId="32" fillId="8" borderId="0" xfId="0" applyFont="1" applyFill="1" applyAlignment="1">
      <alignment horizontal="left"/>
    </xf>
    <xf numFmtId="0" fontId="32" fillId="8" borderId="33" xfId="0" applyFont="1" applyFill="1" applyBorder="1" applyAlignment="1">
      <alignment horizontal="left"/>
    </xf>
    <xf numFmtId="0" fontId="32" fillId="8" borderId="24" xfId="0" applyFont="1" applyFill="1" applyBorder="1" applyAlignment="1">
      <alignment horizontal="left" vertical="center" wrapText="1"/>
    </xf>
    <xf numFmtId="0" fontId="32" fillId="8" borderId="0" xfId="0" applyFont="1" applyFill="1" applyAlignment="1">
      <alignment horizontal="left" vertical="center"/>
    </xf>
    <xf numFmtId="0" fontId="32" fillId="8" borderId="33" xfId="0" applyFont="1" applyFill="1" applyBorder="1" applyAlignment="1">
      <alignment horizontal="left" vertical="center"/>
    </xf>
    <xf numFmtId="0" fontId="32" fillId="8" borderId="37" xfId="0" applyFont="1" applyFill="1" applyBorder="1" applyAlignment="1">
      <alignment horizontal="center" vertical="center"/>
    </xf>
    <xf numFmtId="0" fontId="32" fillId="8" borderId="36" xfId="0" applyFont="1" applyFill="1" applyBorder="1" applyAlignment="1">
      <alignment horizontal="center" vertical="center"/>
    </xf>
    <xf numFmtId="0" fontId="32" fillId="8" borderId="32" xfId="0" applyFont="1" applyFill="1" applyBorder="1" applyAlignment="1">
      <alignment horizontal="center" vertical="center"/>
    </xf>
    <xf numFmtId="0" fontId="36" fillId="4" borderId="37" xfId="0" applyFont="1" applyFill="1" applyBorder="1" applyAlignment="1">
      <alignment horizontal="center" wrapText="1"/>
    </xf>
    <xf numFmtId="0" fontId="36" fillId="4" borderId="36" xfId="0" applyFont="1" applyFill="1" applyBorder="1" applyAlignment="1">
      <alignment horizontal="center" wrapText="1"/>
    </xf>
    <xf numFmtId="0" fontId="36" fillId="4" borderId="32" xfId="0" applyFont="1" applyFill="1" applyBorder="1" applyAlignment="1">
      <alignment horizontal="center" wrapText="1"/>
    </xf>
    <xf numFmtId="0" fontId="36" fillId="4" borderId="46" xfId="0" applyFont="1" applyFill="1" applyBorder="1" applyAlignment="1">
      <alignment horizontal="center" wrapText="1"/>
    </xf>
    <xf numFmtId="0" fontId="36" fillId="4" borderId="35" xfId="0" applyFont="1" applyFill="1" applyBorder="1" applyAlignment="1">
      <alignment horizontal="center" wrapText="1"/>
    </xf>
    <xf numFmtId="0" fontId="36" fillId="4" borderId="40" xfId="0" applyFont="1" applyFill="1" applyBorder="1" applyAlignment="1">
      <alignment horizontal="center" wrapText="1"/>
    </xf>
    <xf numFmtId="0" fontId="32" fillId="2" borderId="24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32" fillId="2" borderId="33" xfId="0" applyFont="1" applyFill="1" applyBorder="1" applyAlignment="1">
      <alignment horizontal="center"/>
    </xf>
    <xf numFmtId="0" fontId="29" fillId="4" borderId="37" xfId="0" applyFont="1" applyFill="1" applyBorder="1" applyAlignment="1">
      <alignment horizontal="center" vertical="center"/>
    </xf>
    <xf numFmtId="0" fontId="29" fillId="4" borderId="36" xfId="0" applyFont="1" applyFill="1" applyBorder="1" applyAlignment="1">
      <alignment horizontal="center" vertical="center"/>
    </xf>
    <xf numFmtId="0" fontId="29" fillId="4" borderId="32" xfId="0" applyFont="1" applyFill="1" applyBorder="1" applyAlignment="1">
      <alignment horizontal="center" vertical="center"/>
    </xf>
    <xf numFmtId="0" fontId="29" fillId="4" borderId="24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29" fillId="4" borderId="33" xfId="0" applyFont="1" applyFill="1" applyBorder="1" applyAlignment="1">
      <alignment horizontal="center" vertical="center"/>
    </xf>
    <xf numFmtId="0" fontId="37" fillId="2" borderId="37" xfId="0" applyFont="1" applyFill="1" applyBorder="1" applyAlignment="1">
      <alignment horizontal="left" vertical="center"/>
    </xf>
    <xf numFmtId="0" fontId="37" fillId="2" borderId="36" xfId="0" applyFont="1" applyFill="1" applyBorder="1" applyAlignment="1">
      <alignment horizontal="left" vertical="center"/>
    </xf>
    <xf numFmtId="0" fontId="37" fillId="2" borderId="32" xfId="0" applyFont="1" applyFill="1" applyBorder="1" applyAlignment="1">
      <alignment horizontal="left" vertical="center"/>
    </xf>
    <xf numFmtId="0" fontId="37" fillId="2" borderId="46" xfId="0" applyFont="1" applyFill="1" applyBorder="1" applyAlignment="1">
      <alignment horizontal="left" vertical="center"/>
    </xf>
    <xf numFmtId="0" fontId="37" fillId="2" borderId="35" xfId="0" applyFont="1" applyFill="1" applyBorder="1" applyAlignment="1">
      <alignment horizontal="left" vertical="center"/>
    </xf>
    <xf numFmtId="0" fontId="37" fillId="2" borderId="40" xfId="0" applyFont="1" applyFill="1" applyBorder="1" applyAlignment="1">
      <alignment horizontal="left" vertical="center"/>
    </xf>
    <xf numFmtId="0" fontId="37" fillId="2" borderId="10" xfId="0" applyFont="1" applyFill="1" applyBorder="1" applyAlignment="1">
      <alignment horizontal="center" vertical="center"/>
    </xf>
    <xf numFmtId="0" fontId="37" fillId="2" borderId="47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 wrapText="1"/>
    </xf>
    <xf numFmtId="0" fontId="31" fillId="4" borderId="37" xfId="0" applyFont="1" applyFill="1" applyBorder="1" applyAlignment="1">
      <alignment horizontal="left" vertical="center"/>
    </xf>
    <xf numFmtId="0" fontId="31" fillId="4" borderId="36" xfId="0" applyFont="1" applyFill="1" applyBorder="1" applyAlignment="1">
      <alignment horizontal="left" vertical="center"/>
    </xf>
    <xf numFmtId="0" fontId="31" fillId="4" borderId="32" xfId="0" applyFont="1" applyFill="1" applyBorder="1" applyAlignment="1">
      <alignment horizontal="left" vertical="center"/>
    </xf>
    <xf numFmtId="0" fontId="31" fillId="4" borderId="46" xfId="0" applyFont="1" applyFill="1" applyBorder="1" applyAlignment="1">
      <alignment horizontal="left" vertical="center"/>
    </xf>
    <xf numFmtId="0" fontId="31" fillId="4" borderId="35" xfId="0" applyFont="1" applyFill="1" applyBorder="1" applyAlignment="1">
      <alignment horizontal="left" vertical="center"/>
    </xf>
    <xf numFmtId="0" fontId="31" fillId="4" borderId="40" xfId="0" applyFont="1" applyFill="1" applyBorder="1" applyAlignment="1">
      <alignment horizontal="left" vertical="center"/>
    </xf>
    <xf numFmtId="14" fontId="31" fillId="4" borderId="37" xfId="0" applyNumberFormat="1" applyFont="1" applyFill="1" applyBorder="1" applyAlignment="1">
      <alignment horizontal="center" vertical="center"/>
    </xf>
    <xf numFmtId="14" fontId="31" fillId="4" borderId="36" xfId="0" applyNumberFormat="1" applyFont="1" applyFill="1" applyBorder="1" applyAlignment="1">
      <alignment horizontal="center" vertical="center"/>
    </xf>
    <xf numFmtId="14" fontId="31" fillId="4" borderId="32" xfId="0" applyNumberFormat="1" applyFont="1" applyFill="1" applyBorder="1" applyAlignment="1">
      <alignment horizontal="center" vertical="center"/>
    </xf>
    <xf numFmtId="14" fontId="31" fillId="4" borderId="46" xfId="0" applyNumberFormat="1" applyFont="1" applyFill="1" applyBorder="1" applyAlignment="1">
      <alignment horizontal="center" vertical="center"/>
    </xf>
    <xf numFmtId="14" fontId="31" fillId="4" borderId="35" xfId="0" applyNumberFormat="1" applyFont="1" applyFill="1" applyBorder="1" applyAlignment="1">
      <alignment horizontal="center" vertical="center"/>
    </xf>
    <xf numFmtId="14" fontId="31" fillId="4" borderId="40" xfId="0" applyNumberFormat="1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7" fillId="8" borderId="37" xfId="0" applyFont="1" applyFill="1" applyBorder="1" applyAlignment="1">
      <alignment horizontal="left" vertical="center"/>
    </xf>
    <xf numFmtId="0" fontId="37" fillId="8" borderId="36" xfId="0" applyFont="1" applyFill="1" applyBorder="1" applyAlignment="1">
      <alignment horizontal="left" vertical="center"/>
    </xf>
    <xf numFmtId="0" fontId="37" fillId="8" borderId="32" xfId="0" applyFont="1" applyFill="1" applyBorder="1" applyAlignment="1">
      <alignment horizontal="left" vertical="center"/>
    </xf>
    <xf numFmtId="0" fontId="37" fillId="8" borderId="46" xfId="0" applyFont="1" applyFill="1" applyBorder="1" applyAlignment="1">
      <alignment horizontal="left" vertical="center"/>
    </xf>
    <xf numFmtId="0" fontId="37" fillId="8" borderId="35" xfId="0" applyFont="1" applyFill="1" applyBorder="1" applyAlignment="1">
      <alignment horizontal="left" vertical="center"/>
    </xf>
    <xf numFmtId="0" fontId="37" fillId="8" borderId="40" xfId="0" applyFont="1" applyFill="1" applyBorder="1" applyAlignment="1">
      <alignment horizontal="left" vertical="center"/>
    </xf>
    <xf numFmtId="0" fontId="37" fillId="8" borderId="7" xfId="0" applyFont="1" applyFill="1" applyBorder="1" applyAlignment="1">
      <alignment horizontal="center" vertical="center"/>
    </xf>
    <xf numFmtId="0" fontId="12" fillId="4" borderId="3" xfId="0" applyFont="1" applyFill="1" applyBorder="1" applyAlignment="1" applyProtection="1">
      <alignment horizontal="right" vertical="center"/>
      <protection locked="0" hidden="1"/>
    </xf>
    <xf numFmtId="0" fontId="27" fillId="4" borderId="3" xfId="0" applyFont="1" applyFill="1" applyBorder="1" applyAlignment="1" applyProtection="1">
      <alignment horizontal="right" vertical="center"/>
      <protection locked="0" hidden="1"/>
    </xf>
    <xf numFmtId="0" fontId="0" fillId="0" borderId="2" xfId="0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5" fillId="4" borderId="3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left" vertical="center"/>
    </xf>
    <xf numFmtId="49" fontId="12" fillId="2" borderId="8" xfId="0" applyNumberFormat="1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4" borderId="50" xfId="0" applyFont="1" applyFill="1" applyBorder="1" applyAlignment="1">
      <alignment horizontal="center"/>
    </xf>
    <xf numFmtId="0" fontId="9" fillId="4" borderId="52" xfId="0" applyFont="1" applyFill="1" applyBorder="1" applyAlignment="1">
      <alignment horizontal="center"/>
    </xf>
    <xf numFmtId="0" fontId="9" fillId="4" borderId="51" xfId="0" applyFont="1" applyFill="1" applyBorder="1" applyAlignment="1">
      <alignment horizontal="center"/>
    </xf>
    <xf numFmtId="0" fontId="59" fillId="3" borderId="9" xfId="0" applyFont="1" applyFill="1" applyBorder="1" applyAlignment="1">
      <alignment vertical="center"/>
    </xf>
    <xf numFmtId="0" fontId="59" fillId="3" borderId="18" xfId="0" applyFont="1" applyFill="1" applyBorder="1" applyAlignment="1">
      <alignment vertical="center"/>
    </xf>
    <xf numFmtId="0" fontId="59" fillId="3" borderId="6" xfId="0" applyFont="1" applyFill="1" applyBorder="1" applyAlignment="1">
      <alignment vertical="center"/>
    </xf>
    <xf numFmtId="0" fontId="59" fillId="3" borderId="17" xfId="0" applyFont="1" applyFill="1" applyBorder="1" applyAlignment="1">
      <alignment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49" fontId="15" fillId="2" borderId="19" xfId="0" applyNumberFormat="1" applyFont="1" applyFill="1" applyBorder="1" applyAlignment="1">
      <alignment horizontal="center"/>
    </xf>
    <xf numFmtId="49" fontId="15" fillId="2" borderId="35" xfId="0" applyNumberFormat="1" applyFont="1" applyFill="1" applyBorder="1" applyAlignment="1">
      <alignment horizontal="center"/>
    </xf>
    <xf numFmtId="49" fontId="15" fillId="2" borderId="20" xfId="0" applyNumberFormat="1" applyFont="1" applyFill="1" applyBorder="1" applyAlignment="1">
      <alignment horizontal="center"/>
    </xf>
    <xf numFmtId="0" fontId="15" fillId="2" borderId="35" xfId="0" applyFont="1" applyFill="1" applyBorder="1" applyAlignment="1">
      <alignment horizontal="center"/>
    </xf>
    <xf numFmtId="0" fontId="16" fillId="2" borderId="20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11" fillId="2" borderId="3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/>
    </xf>
    <xf numFmtId="0" fontId="11" fillId="2" borderId="38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17" xfId="0" applyFont="1" applyFill="1" applyBorder="1" applyAlignment="1">
      <alignment horizontal="left" vertical="center"/>
    </xf>
    <xf numFmtId="0" fontId="20" fillId="2" borderId="26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27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25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32" xfId="0" applyFont="1" applyFill="1" applyBorder="1" applyAlignment="1">
      <alignment horizontal="center" vertical="center" wrapText="1"/>
    </xf>
    <xf numFmtId="0" fontId="20" fillId="2" borderId="40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59" fillId="3" borderId="9" xfId="0" applyFont="1" applyFill="1" applyBorder="1"/>
    <xf numFmtId="0" fontId="59" fillId="3" borderId="18" xfId="0" applyFont="1" applyFill="1" applyBorder="1"/>
    <xf numFmtId="0" fontId="59" fillId="3" borderId="6" xfId="0" applyFont="1" applyFill="1" applyBorder="1"/>
    <xf numFmtId="0" fontId="59" fillId="3" borderId="17" xfId="0" applyFont="1" applyFill="1" applyBorder="1"/>
    <xf numFmtId="0" fontId="5" fillId="3" borderId="0" xfId="0" applyFont="1" applyFill="1"/>
    <xf numFmtId="0" fontId="5" fillId="3" borderId="16" xfId="0" applyFont="1" applyFill="1" applyBorder="1"/>
    <xf numFmtId="0" fontId="20" fillId="2" borderId="16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3" borderId="17" xfId="0" applyFont="1" applyFill="1" applyBorder="1"/>
    <xf numFmtId="0" fontId="20" fillId="2" borderId="33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17" fillId="4" borderId="50" xfId="0" applyFont="1" applyFill="1" applyBorder="1" applyAlignment="1">
      <alignment horizontal="center"/>
    </xf>
    <xf numFmtId="0" fontId="17" fillId="4" borderId="52" xfId="0" applyFont="1" applyFill="1" applyBorder="1" applyAlignment="1">
      <alignment horizontal="center"/>
    </xf>
    <xf numFmtId="0" fontId="0" fillId="4" borderId="51" xfId="0" applyFill="1" applyBorder="1"/>
    <xf numFmtId="0" fontId="19" fillId="2" borderId="2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2" borderId="16" xfId="0" applyFill="1" applyBorder="1" applyAlignment="1">
      <alignment horizontal="center"/>
    </xf>
    <xf numFmtId="49" fontId="12" fillId="9" borderId="8" xfId="0" applyNumberFormat="1" applyFont="1" applyFill="1" applyBorder="1" applyAlignment="1">
      <alignment horizontal="left" vertical="center" wrapText="1"/>
    </xf>
    <xf numFmtId="0" fontId="0" fillId="9" borderId="9" xfId="0" applyFill="1" applyBorder="1" applyAlignment="1">
      <alignment horizontal="left" vertical="center"/>
    </xf>
    <xf numFmtId="0" fontId="0" fillId="9" borderId="18" xfId="0" applyFill="1" applyBorder="1" applyAlignment="1">
      <alignment horizontal="left" vertical="center"/>
    </xf>
    <xf numFmtId="0" fontId="0" fillId="9" borderId="19" xfId="0" applyFill="1" applyBorder="1" applyAlignment="1">
      <alignment horizontal="left" vertical="center"/>
    </xf>
    <xf numFmtId="0" fontId="0" fillId="9" borderId="35" xfId="0" applyFill="1" applyBorder="1" applyAlignment="1">
      <alignment horizontal="left" vertical="center"/>
    </xf>
    <xf numFmtId="0" fontId="0" fillId="9" borderId="20" xfId="0" applyFill="1" applyBorder="1" applyAlignment="1">
      <alignment horizontal="left" vertical="center"/>
    </xf>
    <xf numFmtId="0" fontId="9" fillId="9" borderId="8" xfId="0" applyFont="1" applyFill="1" applyBorder="1" applyAlignment="1">
      <alignment horizontal="center"/>
    </xf>
    <xf numFmtId="0" fontId="9" fillId="9" borderId="9" xfId="0" applyFont="1" applyFill="1" applyBorder="1" applyAlignment="1">
      <alignment horizontal="center"/>
    </xf>
    <xf numFmtId="0" fontId="9" fillId="9" borderId="18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8" fillId="9" borderId="35" xfId="0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center" vertical="center"/>
    </xf>
    <xf numFmtId="49" fontId="15" fillId="9" borderId="19" xfId="0" applyNumberFormat="1" applyFont="1" applyFill="1" applyBorder="1" applyAlignment="1">
      <alignment horizontal="center" vertical="center"/>
    </xf>
    <xf numFmtId="49" fontId="16" fillId="9" borderId="35" xfId="0" applyNumberFormat="1" applyFont="1" applyFill="1" applyBorder="1" applyAlignment="1">
      <alignment horizontal="center" vertical="center"/>
    </xf>
    <xf numFmtId="49" fontId="16" fillId="9" borderId="20" xfId="0" applyNumberFormat="1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3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8" xfId="0" applyFill="1" applyBorder="1"/>
    <xf numFmtId="0" fontId="5" fillId="2" borderId="36" xfId="0" applyFon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13" fillId="9" borderId="34" xfId="0" applyFont="1" applyFill="1" applyBorder="1" applyAlignment="1">
      <alignment horizontal="left" vertical="center" wrapText="1"/>
    </xf>
    <xf numFmtId="0" fontId="13" fillId="9" borderId="36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5" xfId="0" applyFont="1" applyFill="1" applyBorder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20" fillId="9" borderId="30" xfId="0" applyFont="1" applyFill="1" applyBorder="1" applyAlignment="1">
      <alignment horizontal="center" vertical="center" wrapText="1"/>
    </xf>
    <xf numFmtId="0" fontId="20" fillId="9" borderId="30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/>
    </xf>
    <xf numFmtId="0" fontId="20" fillId="9" borderId="34" xfId="0" applyFont="1" applyFill="1" applyBorder="1" applyAlignment="1">
      <alignment horizontal="center" vertical="center" wrapText="1"/>
    </xf>
    <xf numFmtId="0" fontId="21" fillId="9" borderId="38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21" fillId="9" borderId="16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17" xfId="0" applyFont="1" applyFill="1" applyBorder="1" applyAlignment="1">
      <alignment horizontal="center" vertical="center" wrapText="1"/>
    </xf>
    <xf numFmtId="0" fontId="20" fillId="9" borderId="26" xfId="0" applyFont="1" applyFill="1" applyBorder="1" applyAlignment="1">
      <alignment horizontal="center" vertical="center" wrapText="1"/>
    </xf>
    <xf numFmtId="0" fontId="20" fillId="9" borderId="22" xfId="0" applyFont="1" applyFill="1" applyBorder="1" applyAlignment="1">
      <alignment horizontal="center" vertical="center"/>
    </xf>
    <xf numFmtId="0" fontId="20" fillId="9" borderId="23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/>
    </xf>
    <xf numFmtId="0" fontId="5" fillId="9" borderId="38" xfId="0" applyFont="1" applyFill="1" applyBorder="1" applyAlignment="1">
      <alignment horizontal="center"/>
    </xf>
    <xf numFmtId="0" fontId="20" fillId="9" borderId="27" xfId="0" applyFont="1" applyFill="1" applyBorder="1" applyAlignment="1">
      <alignment horizontal="center" vertical="center"/>
    </xf>
    <xf numFmtId="0" fontId="20" fillId="9" borderId="37" xfId="0" applyFont="1" applyFill="1" applyBorder="1" applyAlignment="1">
      <alignment horizontal="center" vertical="center" wrapText="1"/>
    </xf>
    <xf numFmtId="0" fontId="21" fillId="9" borderId="24" xfId="0" applyFont="1" applyFill="1" applyBorder="1" applyAlignment="1">
      <alignment horizontal="center" vertical="center" wrapText="1"/>
    </xf>
    <xf numFmtId="0" fontId="21" fillId="9" borderId="29" xfId="0" applyFont="1" applyFill="1" applyBorder="1" applyAlignment="1">
      <alignment horizontal="center" vertical="center" wrapText="1"/>
    </xf>
    <xf numFmtId="0" fontId="20" fillId="9" borderId="42" xfId="0" applyFont="1" applyFill="1" applyBorder="1" applyAlignment="1">
      <alignment horizontal="center" vertical="center" wrapText="1"/>
    </xf>
    <xf numFmtId="0" fontId="21" fillId="9" borderId="42" xfId="0" applyFont="1" applyFill="1" applyBorder="1" applyAlignment="1">
      <alignment horizontal="center" vertical="center" wrapText="1"/>
    </xf>
    <xf numFmtId="0" fontId="21" fillId="9" borderId="43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5" fillId="9" borderId="16" xfId="0" applyFont="1" applyFill="1" applyBorder="1" applyAlignment="1">
      <alignment horizontal="center"/>
    </xf>
    <xf numFmtId="0" fontId="5" fillId="9" borderId="35" xfId="0" applyFont="1" applyFill="1" applyBorder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/>
    </xf>
    <xf numFmtId="0" fontId="23" fillId="9" borderId="53" xfId="0" applyFont="1" applyFill="1" applyBorder="1" applyAlignment="1">
      <alignment horizontal="center"/>
    </xf>
    <xf numFmtId="0" fontId="23" fillId="9" borderId="54" xfId="0" applyFont="1" applyFill="1" applyBorder="1" applyAlignment="1">
      <alignment horizontal="center"/>
    </xf>
    <xf numFmtId="0" fontId="19" fillId="9" borderId="20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0" fillId="9" borderId="36" xfId="0" applyFill="1" applyBorder="1" applyAlignment="1">
      <alignment horizontal="left" vertical="center"/>
    </xf>
    <xf numFmtId="0" fontId="0" fillId="9" borderId="38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16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17" xfId="0" applyFill="1" applyBorder="1" applyAlignment="1">
      <alignment horizontal="left" vertical="center"/>
    </xf>
    <xf numFmtId="0" fontId="20" fillId="9" borderId="24" xfId="0" applyFont="1" applyFill="1" applyBorder="1" applyAlignment="1">
      <alignment horizontal="center" vertical="center" wrapText="1"/>
    </xf>
    <xf numFmtId="0" fontId="21" fillId="9" borderId="30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2" fontId="20" fillId="9" borderId="13" xfId="0" applyNumberFormat="1" applyFont="1" applyFill="1" applyBorder="1" applyAlignment="1">
      <alignment horizontal="center" vertical="center" wrapText="1"/>
    </xf>
    <xf numFmtId="2" fontId="0" fillId="9" borderId="21" xfId="0" applyNumberFormat="1" applyFill="1" applyBorder="1" applyAlignment="1">
      <alignment horizontal="center" vertical="center"/>
    </xf>
    <xf numFmtId="2" fontId="0" fillId="9" borderId="28" xfId="0" applyNumberFormat="1" applyFill="1" applyBorder="1" applyAlignment="1">
      <alignment horizontal="center" vertical="center"/>
    </xf>
    <xf numFmtId="0" fontId="58" fillId="14" borderId="8" xfId="0" applyFont="1" applyFill="1" applyBorder="1" applyAlignment="1">
      <alignment horizontal="left" vertical="center"/>
    </xf>
    <xf numFmtId="0" fontId="58" fillId="14" borderId="9" xfId="0" applyFont="1" applyFill="1" applyBorder="1" applyAlignment="1">
      <alignment horizontal="left" vertical="center"/>
    </xf>
    <xf numFmtId="0" fontId="58" fillId="14" borderId="18" xfId="0" applyFont="1" applyFill="1" applyBorder="1" applyAlignment="1">
      <alignment horizontal="left" vertical="center"/>
    </xf>
    <xf numFmtId="0" fontId="58" fillId="14" borderId="5" xfId="0" applyFont="1" applyFill="1" applyBorder="1" applyAlignment="1">
      <alignment horizontal="left" vertical="center"/>
    </xf>
    <xf numFmtId="0" fontId="58" fillId="14" borderId="6" xfId="0" applyFont="1" applyFill="1" applyBorder="1" applyAlignment="1">
      <alignment horizontal="left" vertical="center"/>
    </xf>
    <xf numFmtId="0" fontId="58" fillId="14" borderId="17" xfId="0" applyFont="1" applyFill="1" applyBorder="1" applyAlignment="1">
      <alignment horizontal="left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 wrapText="1"/>
    </xf>
    <xf numFmtId="0" fontId="20" fillId="9" borderId="22" xfId="0" applyFont="1" applyFill="1" applyBorder="1" applyAlignment="1">
      <alignment horizontal="center" vertical="center" wrapText="1"/>
    </xf>
    <xf numFmtId="0" fontId="20" fillId="9" borderId="27" xfId="0" applyFont="1" applyFill="1" applyBorder="1" applyAlignment="1">
      <alignment horizontal="center" vertical="center" wrapText="1"/>
    </xf>
    <xf numFmtId="0" fontId="20" fillId="9" borderId="38" xfId="0" applyFont="1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32" fillId="5" borderId="37" xfId="0" applyFont="1" applyFill="1" applyBorder="1" applyAlignment="1">
      <alignment horizontal="center"/>
    </xf>
    <xf numFmtId="0" fontId="32" fillId="5" borderId="36" xfId="0" applyFont="1" applyFill="1" applyBorder="1" applyAlignment="1">
      <alignment horizontal="center"/>
    </xf>
    <xf numFmtId="0" fontId="32" fillId="5" borderId="32" xfId="0" applyFont="1" applyFill="1" applyBorder="1" applyAlignment="1">
      <alignment horizontal="center"/>
    </xf>
    <xf numFmtId="0" fontId="32" fillId="5" borderId="24" xfId="0" applyFont="1" applyFill="1" applyBorder="1" applyAlignment="1">
      <alignment horizontal="center"/>
    </xf>
    <xf numFmtId="0" fontId="32" fillId="5" borderId="0" xfId="0" applyFont="1" applyFill="1" applyAlignment="1">
      <alignment horizontal="center"/>
    </xf>
    <xf numFmtId="0" fontId="32" fillId="5" borderId="33" xfId="0" applyFont="1" applyFill="1" applyBorder="1" applyAlignment="1">
      <alignment horizontal="center"/>
    </xf>
    <xf numFmtId="0" fontId="33" fillId="5" borderId="37" xfId="0" applyFont="1" applyFill="1" applyBorder="1" applyAlignment="1">
      <alignment horizontal="left" vertical="center"/>
    </xf>
    <xf numFmtId="0" fontId="33" fillId="5" borderId="36" xfId="0" applyFont="1" applyFill="1" applyBorder="1" applyAlignment="1">
      <alignment horizontal="left" vertical="center"/>
    </xf>
    <xf numFmtId="0" fontId="33" fillId="5" borderId="32" xfId="0" applyFont="1" applyFill="1" applyBorder="1" applyAlignment="1">
      <alignment horizontal="left" vertical="center"/>
    </xf>
    <xf numFmtId="0" fontId="33" fillId="5" borderId="46" xfId="0" applyFont="1" applyFill="1" applyBorder="1" applyAlignment="1">
      <alignment horizontal="left" vertical="center"/>
    </xf>
    <xf numFmtId="0" fontId="33" fillId="5" borderId="35" xfId="0" applyFont="1" applyFill="1" applyBorder="1" applyAlignment="1">
      <alignment horizontal="left" vertical="center"/>
    </xf>
    <xf numFmtId="0" fontId="33" fillId="5" borderId="40" xfId="0" applyFont="1" applyFill="1" applyBorder="1" applyAlignment="1">
      <alignment horizontal="left" vertical="center"/>
    </xf>
    <xf numFmtId="0" fontId="32" fillId="5" borderId="46" xfId="0" applyFont="1" applyFill="1" applyBorder="1" applyAlignment="1">
      <alignment horizontal="center"/>
    </xf>
    <xf numFmtId="0" fontId="32" fillId="5" borderId="35" xfId="0" applyFont="1" applyFill="1" applyBorder="1" applyAlignment="1">
      <alignment horizontal="center"/>
    </xf>
    <xf numFmtId="0" fontId="32" fillId="5" borderId="40" xfId="0" applyFont="1" applyFill="1" applyBorder="1" applyAlignment="1">
      <alignment horizontal="center"/>
    </xf>
    <xf numFmtId="0" fontId="32" fillId="0" borderId="24" xfId="0" applyFont="1" applyBorder="1" applyAlignment="1">
      <alignment horizontal="left"/>
    </xf>
    <xf numFmtId="0" fontId="32" fillId="0" borderId="46" xfId="0" applyFont="1" applyBorder="1" applyAlignment="1">
      <alignment horizontal="left"/>
    </xf>
    <xf numFmtId="0" fontId="32" fillId="3" borderId="24" xfId="0" applyFont="1" applyFill="1" applyBorder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32" fillId="3" borderId="33" xfId="0" applyFont="1" applyFill="1" applyBorder="1" applyAlignment="1">
      <alignment horizontal="left" vertical="center"/>
    </xf>
    <xf numFmtId="0" fontId="32" fillId="3" borderId="46" xfId="0" applyFont="1" applyFill="1" applyBorder="1" applyAlignment="1">
      <alignment horizontal="left" vertical="center"/>
    </xf>
    <xf numFmtId="0" fontId="32" fillId="3" borderId="35" xfId="0" applyFont="1" applyFill="1" applyBorder="1" applyAlignment="1">
      <alignment horizontal="left" vertical="center"/>
    </xf>
    <xf numFmtId="0" fontId="32" fillId="3" borderId="40" xfId="0" applyFont="1" applyFill="1" applyBorder="1" applyAlignment="1">
      <alignment horizontal="left" vertical="center"/>
    </xf>
    <xf numFmtId="0" fontId="32" fillId="2" borderId="37" xfId="0" applyFont="1" applyFill="1" applyBorder="1" applyAlignment="1">
      <alignment horizontal="left" vertical="center"/>
    </xf>
    <xf numFmtId="0" fontId="32" fillId="2" borderId="36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0" borderId="24" xfId="0" applyFont="1" applyBorder="1" applyAlignment="1">
      <alignment horizontal="center"/>
    </xf>
    <xf numFmtId="0" fontId="29" fillId="4" borderId="46" xfId="0" applyFont="1" applyFill="1" applyBorder="1" applyAlignment="1">
      <alignment horizontal="center" vertical="center"/>
    </xf>
    <xf numFmtId="0" fontId="29" fillId="4" borderId="35" xfId="0" applyFont="1" applyFill="1" applyBorder="1" applyAlignment="1">
      <alignment horizontal="center" vertical="center"/>
    </xf>
    <xf numFmtId="0" fontId="29" fillId="4" borderId="40" xfId="0" applyFont="1" applyFill="1" applyBorder="1" applyAlignment="1">
      <alignment horizontal="center" vertical="center"/>
    </xf>
    <xf numFmtId="0" fontId="43" fillId="5" borderId="37" xfId="1" applyFont="1" applyFill="1" applyBorder="1" applyAlignment="1">
      <alignment horizontal="left"/>
    </xf>
    <xf numFmtId="0" fontId="43" fillId="5" borderId="36" xfId="1" applyFont="1" applyFill="1" applyBorder="1" applyAlignment="1">
      <alignment horizontal="left"/>
    </xf>
    <xf numFmtId="0" fontId="43" fillId="5" borderId="32" xfId="1" applyFont="1" applyFill="1" applyBorder="1" applyAlignment="1">
      <alignment horizontal="left"/>
    </xf>
    <xf numFmtId="0" fontId="29" fillId="0" borderId="37" xfId="0" applyFont="1" applyBorder="1" applyAlignment="1">
      <alignment horizontal="left"/>
    </xf>
    <xf numFmtId="0" fontId="29" fillId="0" borderId="32" xfId="0" applyFont="1" applyBorder="1" applyAlignment="1">
      <alignment horizontal="left"/>
    </xf>
    <xf numFmtId="0" fontId="32" fillId="3" borderId="37" xfId="0" applyFont="1" applyFill="1" applyBorder="1" applyAlignment="1">
      <alignment horizontal="left" vertical="center"/>
    </xf>
    <xf numFmtId="0" fontId="32" fillId="3" borderId="36" xfId="0" applyFont="1" applyFill="1" applyBorder="1" applyAlignment="1">
      <alignment horizontal="left" vertical="center"/>
    </xf>
    <xf numFmtId="0" fontId="32" fillId="3" borderId="32" xfId="0" applyFont="1" applyFill="1" applyBorder="1" applyAlignment="1">
      <alignment horizontal="left" vertical="center"/>
    </xf>
    <xf numFmtId="0" fontId="37" fillId="5" borderId="7" xfId="0" applyFont="1" applyFill="1" applyBorder="1" applyAlignment="1">
      <alignment horizontal="center" vertical="center"/>
    </xf>
    <xf numFmtId="0" fontId="38" fillId="2" borderId="46" xfId="0" applyFont="1" applyFill="1" applyBorder="1" applyAlignment="1">
      <alignment horizontal="center"/>
    </xf>
    <xf numFmtId="0" fontId="38" fillId="2" borderId="35" xfId="0" applyFont="1" applyFill="1" applyBorder="1" applyAlignment="1">
      <alignment horizontal="center"/>
    </xf>
    <xf numFmtId="0" fontId="38" fillId="2" borderId="40" xfId="0" applyFont="1" applyFill="1" applyBorder="1" applyAlignment="1">
      <alignment horizontal="center"/>
    </xf>
    <xf numFmtId="0" fontId="38" fillId="0" borderId="46" xfId="0" applyFont="1" applyBorder="1" applyAlignment="1">
      <alignment horizontal="left"/>
    </xf>
    <xf numFmtId="0" fontId="38" fillId="0" borderId="40" xfId="0" applyFont="1" applyBorder="1" applyAlignment="1">
      <alignment horizontal="left"/>
    </xf>
    <xf numFmtId="0" fontId="38" fillId="2" borderId="46" xfId="0" applyFont="1" applyFill="1" applyBorder="1" applyAlignment="1">
      <alignment horizontal="left" vertical="center"/>
    </xf>
    <xf numFmtId="0" fontId="38" fillId="2" borderId="35" xfId="0" applyFont="1" applyFill="1" applyBorder="1" applyAlignment="1">
      <alignment horizontal="left" vertical="center"/>
    </xf>
    <xf numFmtId="0" fontId="38" fillId="2" borderId="40" xfId="0" applyFont="1" applyFill="1" applyBorder="1" applyAlignment="1">
      <alignment horizontal="left" vertical="center"/>
    </xf>
    <xf numFmtId="0" fontId="32" fillId="2" borderId="37" xfId="0" applyFont="1" applyFill="1" applyBorder="1" applyAlignment="1">
      <alignment horizontal="center"/>
    </xf>
    <xf numFmtId="0" fontId="32" fillId="2" borderId="36" xfId="0" applyFont="1" applyFill="1" applyBorder="1" applyAlignment="1">
      <alignment horizontal="center"/>
    </xf>
    <xf numFmtId="0" fontId="32" fillId="2" borderId="32" xfId="0" applyFont="1" applyFill="1" applyBorder="1" applyAlignment="1">
      <alignment horizontal="center"/>
    </xf>
    <xf numFmtId="0" fontId="32" fillId="3" borderId="24" xfId="0" applyFont="1" applyFill="1" applyBorder="1" applyAlignment="1">
      <alignment horizontal="center"/>
    </xf>
    <xf numFmtId="0" fontId="32" fillId="3" borderId="0" xfId="0" applyFont="1" applyFill="1" applyAlignment="1">
      <alignment horizontal="center"/>
    </xf>
    <xf numFmtId="0" fontId="32" fillId="3" borderId="33" xfId="0" applyFont="1" applyFill="1" applyBorder="1" applyAlignment="1">
      <alignment horizontal="center"/>
    </xf>
    <xf numFmtId="0" fontId="32" fillId="3" borderId="37" xfId="0" applyFont="1" applyFill="1" applyBorder="1" applyAlignment="1">
      <alignment horizontal="left"/>
    </xf>
    <xf numFmtId="0" fontId="32" fillId="3" borderId="36" xfId="0" applyFont="1" applyFill="1" applyBorder="1" applyAlignment="1">
      <alignment horizontal="left"/>
    </xf>
    <xf numFmtId="0" fontId="32" fillId="3" borderId="32" xfId="0" applyFont="1" applyFill="1" applyBorder="1" applyAlignment="1">
      <alignment horizontal="left"/>
    </xf>
    <xf numFmtId="0" fontId="32" fillId="0" borderId="37" xfId="0" applyFont="1" applyBorder="1" applyAlignment="1">
      <alignment horizontal="left"/>
    </xf>
    <xf numFmtId="0" fontId="32" fillId="0" borderId="32" xfId="0" applyFont="1" applyBorder="1" applyAlignment="1">
      <alignment horizontal="left"/>
    </xf>
    <xf numFmtId="0" fontId="32" fillId="3" borderId="37" xfId="0" applyFont="1" applyFill="1" applyBorder="1" applyAlignment="1">
      <alignment horizontal="center"/>
    </xf>
    <xf numFmtId="0" fontId="32" fillId="3" borderId="36" xfId="0" applyFont="1" applyFill="1" applyBorder="1" applyAlignment="1">
      <alignment horizontal="center"/>
    </xf>
    <xf numFmtId="0" fontId="32" fillId="3" borderId="32" xfId="0" applyFont="1" applyFill="1" applyBorder="1" applyAlignment="1">
      <alignment horizontal="center"/>
    </xf>
    <xf numFmtId="0" fontId="37" fillId="3" borderId="37" xfId="0" applyFont="1" applyFill="1" applyBorder="1" applyAlignment="1">
      <alignment horizontal="left" vertical="center"/>
    </xf>
    <xf numFmtId="0" fontId="37" fillId="3" borderId="36" xfId="0" applyFont="1" applyFill="1" applyBorder="1" applyAlignment="1">
      <alignment horizontal="left" vertical="center"/>
    </xf>
    <xf numFmtId="0" fontId="37" fillId="3" borderId="32" xfId="0" applyFont="1" applyFill="1" applyBorder="1" applyAlignment="1">
      <alignment horizontal="left" vertical="center"/>
    </xf>
    <xf numFmtId="0" fontId="37" fillId="3" borderId="46" xfId="0" applyFont="1" applyFill="1" applyBorder="1" applyAlignment="1">
      <alignment horizontal="left" vertical="center"/>
    </xf>
    <xf numFmtId="0" fontId="37" fillId="3" borderId="35" xfId="0" applyFont="1" applyFill="1" applyBorder="1" applyAlignment="1">
      <alignment horizontal="left" vertical="center"/>
    </xf>
    <xf numFmtId="0" fontId="37" fillId="3" borderId="40" xfId="0" applyFont="1" applyFill="1" applyBorder="1" applyAlignment="1">
      <alignment horizontal="left" vertical="center"/>
    </xf>
    <xf numFmtId="0" fontId="37" fillId="3" borderId="7" xfId="0" applyFont="1" applyFill="1" applyBorder="1" applyAlignment="1">
      <alignment horizontal="center" vertical="center"/>
    </xf>
    <xf numFmtId="0" fontId="32" fillId="2" borderId="36" xfId="0" applyFont="1" applyFill="1" applyBorder="1" applyAlignment="1">
      <alignment horizontal="left"/>
    </xf>
    <xf numFmtId="0" fontId="32" fillId="2" borderId="32" xfId="0" applyFont="1" applyFill="1" applyBorder="1" applyAlignment="1">
      <alignment horizontal="left"/>
    </xf>
    <xf numFmtId="0" fontId="32" fillId="3" borderId="24" xfId="0" applyFont="1" applyFill="1" applyBorder="1" applyAlignment="1">
      <alignment horizontal="left"/>
    </xf>
    <xf numFmtId="0" fontId="32" fillId="3" borderId="0" xfId="0" applyFont="1" applyFill="1" applyAlignment="1">
      <alignment horizontal="left"/>
    </xf>
    <xf numFmtId="0" fontId="32" fillId="3" borderId="33" xfId="0" applyFont="1" applyFill="1" applyBorder="1" applyAlignment="1">
      <alignment horizontal="left"/>
    </xf>
    <xf numFmtId="0" fontId="32" fillId="2" borderId="24" xfId="0" applyFont="1" applyFill="1" applyBorder="1" applyAlignment="1">
      <alignment horizontal="left"/>
    </xf>
    <xf numFmtId="0" fontId="32" fillId="2" borderId="0" xfId="0" applyFont="1" applyFill="1" applyAlignment="1">
      <alignment horizontal="left"/>
    </xf>
    <xf numFmtId="0" fontId="32" fillId="2" borderId="33" xfId="0" applyFont="1" applyFill="1" applyBorder="1" applyAlignment="1">
      <alignment horizontal="left"/>
    </xf>
    <xf numFmtId="0" fontId="32" fillId="2" borderId="37" xfId="0" applyFont="1" applyFill="1" applyBorder="1" applyAlignment="1">
      <alignment horizontal="left" vertical="top"/>
    </xf>
    <xf numFmtId="0" fontId="32" fillId="2" borderId="36" xfId="0" applyFont="1" applyFill="1" applyBorder="1" applyAlignment="1">
      <alignment horizontal="left" vertical="top"/>
    </xf>
    <xf numFmtId="0" fontId="32" fillId="2" borderId="32" xfId="0" applyFont="1" applyFill="1" applyBorder="1" applyAlignment="1">
      <alignment horizontal="left" vertical="top"/>
    </xf>
    <xf numFmtId="0" fontId="32" fillId="2" borderId="46" xfId="0" applyFont="1" applyFill="1" applyBorder="1" applyAlignment="1">
      <alignment horizontal="left" vertical="top"/>
    </xf>
    <xf numFmtId="0" fontId="32" fillId="2" borderId="35" xfId="0" applyFont="1" applyFill="1" applyBorder="1" applyAlignment="1">
      <alignment horizontal="left" vertical="top"/>
    </xf>
    <xf numFmtId="0" fontId="32" fillId="2" borderId="40" xfId="0" applyFont="1" applyFill="1" applyBorder="1" applyAlignment="1">
      <alignment horizontal="left" vertical="top"/>
    </xf>
    <xf numFmtId="0" fontId="32" fillId="2" borderId="24" xfId="0" applyFont="1" applyFill="1" applyBorder="1" applyAlignment="1">
      <alignment horizontal="left" vertical="top"/>
    </xf>
    <xf numFmtId="0" fontId="32" fillId="2" borderId="0" xfId="0" applyFont="1" applyFill="1" applyAlignment="1">
      <alignment horizontal="left" vertical="top"/>
    </xf>
    <xf numFmtId="0" fontId="32" fillId="2" borderId="33" xfId="0" applyFont="1" applyFill="1" applyBorder="1" applyAlignment="1">
      <alignment horizontal="left" vertical="top"/>
    </xf>
    <xf numFmtId="0" fontId="41" fillId="3" borderId="37" xfId="0" applyFont="1" applyFill="1" applyBorder="1" applyAlignment="1">
      <alignment horizontal="left" vertical="center"/>
    </xf>
    <xf numFmtId="0" fontId="41" fillId="3" borderId="36" xfId="0" applyFont="1" applyFill="1" applyBorder="1" applyAlignment="1">
      <alignment horizontal="left" vertical="center"/>
    </xf>
    <xf numFmtId="0" fontId="41" fillId="3" borderId="32" xfId="0" applyFont="1" applyFill="1" applyBorder="1" applyAlignment="1">
      <alignment horizontal="left" vertical="center"/>
    </xf>
    <xf numFmtId="0" fontId="29" fillId="2" borderId="46" xfId="0" applyFont="1" applyFill="1" applyBorder="1" applyAlignment="1">
      <alignment horizontal="left"/>
    </xf>
    <xf numFmtId="0" fontId="29" fillId="2" borderId="35" xfId="0" applyFont="1" applyFill="1" applyBorder="1" applyAlignment="1">
      <alignment horizontal="left"/>
    </xf>
    <xf numFmtId="0" fontId="29" fillId="2" borderId="40" xfId="0" applyFont="1" applyFill="1" applyBorder="1" applyAlignment="1">
      <alignment horizontal="left"/>
    </xf>
    <xf numFmtId="0" fontId="54" fillId="0" borderId="24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0" fontId="32" fillId="7" borderId="0" xfId="0" applyFont="1" applyFill="1" applyAlignment="1">
      <alignment horizontal="left" vertical="center"/>
    </xf>
    <xf numFmtId="0" fontId="32" fillId="7" borderId="33" xfId="0" applyFont="1" applyFill="1" applyBorder="1" applyAlignment="1">
      <alignment horizontal="left" vertical="center"/>
    </xf>
    <xf numFmtId="14" fontId="29" fillId="2" borderId="37" xfId="0" applyNumberFormat="1" applyFont="1" applyFill="1" applyBorder="1" applyAlignment="1">
      <alignment horizontal="left"/>
    </xf>
    <xf numFmtId="0" fontId="29" fillId="2" borderId="36" xfId="0" applyFont="1" applyFill="1" applyBorder="1" applyAlignment="1">
      <alignment horizontal="left"/>
    </xf>
    <xf numFmtId="164" fontId="54" fillId="0" borderId="46" xfId="0" applyNumberFormat="1" applyFont="1" applyBorder="1" applyAlignment="1">
      <alignment horizontal="left"/>
    </xf>
    <xf numFmtId="164" fontId="54" fillId="0" borderId="40" xfId="0" applyNumberFormat="1" applyFont="1" applyBorder="1" applyAlignment="1">
      <alignment horizontal="left"/>
    </xf>
    <xf numFmtId="0" fontId="32" fillId="0" borderId="37" xfId="0" applyFont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32" fillId="7" borderId="36" xfId="0" applyFont="1" applyFill="1" applyBorder="1" applyAlignment="1">
      <alignment horizontal="left" vertical="center"/>
    </xf>
    <xf numFmtId="0" fontId="32" fillId="7" borderId="32" xfId="0" applyFont="1" applyFill="1" applyBorder="1" applyAlignment="1">
      <alignment horizontal="left" vertical="center"/>
    </xf>
    <xf numFmtId="0" fontId="41" fillId="3" borderId="37" xfId="0" applyFont="1" applyFill="1" applyBorder="1" applyAlignment="1">
      <alignment horizontal="left"/>
    </xf>
    <xf numFmtId="0" fontId="41" fillId="3" borderId="36" xfId="0" applyFont="1" applyFill="1" applyBorder="1" applyAlignment="1">
      <alignment horizontal="left"/>
    </xf>
    <xf numFmtId="0" fontId="41" fillId="3" borderId="32" xfId="0" applyFont="1" applyFill="1" applyBorder="1" applyAlignment="1">
      <alignment horizontal="left"/>
    </xf>
    <xf numFmtId="0" fontId="32" fillId="10" borderId="37" xfId="0" applyFont="1" applyFill="1" applyBorder="1" applyAlignment="1">
      <alignment horizontal="left" vertical="center"/>
    </xf>
    <xf numFmtId="0" fontId="47" fillId="10" borderId="36" xfId="0" applyFont="1" applyFill="1" applyBorder="1" applyAlignment="1">
      <alignment horizontal="left" vertical="center"/>
    </xf>
    <xf numFmtId="0" fontId="47" fillId="10" borderId="32" xfId="0" applyFont="1" applyFill="1" applyBorder="1" applyAlignment="1">
      <alignment horizontal="left" vertical="center"/>
    </xf>
    <xf numFmtId="14" fontId="41" fillId="3" borderId="24" xfId="0" applyNumberFormat="1" applyFont="1" applyFill="1" applyBorder="1" applyAlignment="1">
      <alignment horizontal="left"/>
    </xf>
    <xf numFmtId="0" fontId="41" fillId="3" borderId="0" xfId="0" applyFont="1" applyFill="1" applyAlignment="1">
      <alignment horizontal="left"/>
    </xf>
    <xf numFmtId="0" fontId="41" fillId="3" borderId="33" xfId="0" applyFont="1" applyFill="1" applyBorder="1" applyAlignment="1">
      <alignment horizontal="left"/>
    </xf>
    <xf numFmtId="0" fontId="32" fillId="10" borderId="24" xfId="0" applyFont="1" applyFill="1" applyBorder="1" applyAlignment="1">
      <alignment horizontal="left" vertical="center" wrapText="1"/>
    </xf>
    <xf numFmtId="0" fontId="32" fillId="10" borderId="0" xfId="0" applyFont="1" applyFill="1" applyAlignment="1">
      <alignment horizontal="left" vertical="center"/>
    </xf>
    <xf numFmtId="0" fontId="32" fillId="10" borderId="33" xfId="0" applyFont="1" applyFill="1" applyBorder="1" applyAlignment="1">
      <alignment horizontal="left" vertical="center"/>
    </xf>
    <xf numFmtId="0" fontId="41" fillId="3" borderId="46" xfId="0" applyFont="1" applyFill="1" applyBorder="1" applyAlignment="1">
      <alignment horizontal="left"/>
    </xf>
    <xf numFmtId="0" fontId="41" fillId="3" borderId="35" xfId="0" applyFont="1" applyFill="1" applyBorder="1" applyAlignment="1">
      <alignment horizontal="left"/>
    </xf>
    <xf numFmtId="0" fontId="41" fillId="3" borderId="40" xfId="0" applyFont="1" applyFill="1" applyBorder="1" applyAlignment="1">
      <alignment horizontal="left"/>
    </xf>
    <xf numFmtId="0" fontId="32" fillId="10" borderId="46" xfId="0" applyFont="1" applyFill="1" applyBorder="1" applyAlignment="1">
      <alignment horizontal="left" vertical="center"/>
    </xf>
    <xf numFmtId="0" fontId="32" fillId="10" borderId="35" xfId="0" applyFont="1" applyFill="1" applyBorder="1" applyAlignment="1">
      <alignment horizontal="left" vertical="center"/>
    </xf>
    <xf numFmtId="0" fontId="32" fillId="10" borderId="40" xfId="0" applyFont="1" applyFill="1" applyBorder="1" applyAlignment="1">
      <alignment horizontal="left" vertical="center"/>
    </xf>
    <xf numFmtId="0" fontId="47" fillId="2" borderId="24" xfId="0" applyFont="1" applyFill="1" applyBorder="1" applyAlignment="1">
      <alignment horizontal="left"/>
    </xf>
    <xf numFmtId="0" fontId="47" fillId="2" borderId="0" xfId="0" applyFont="1" applyFill="1" applyAlignment="1">
      <alignment horizontal="left"/>
    </xf>
    <xf numFmtId="0" fontId="47" fillId="2" borderId="33" xfId="0" applyFont="1" applyFill="1" applyBorder="1" applyAlignment="1">
      <alignment horizontal="left"/>
    </xf>
    <xf numFmtId="0" fontId="32" fillId="2" borderId="48" xfId="0" applyFont="1" applyFill="1" applyBorder="1" applyAlignment="1">
      <alignment horizontal="center" vertical="center"/>
    </xf>
    <xf numFmtId="0" fontId="32" fillId="2" borderId="45" xfId="0" applyFont="1" applyFill="1" applyBorder="1" applyAlignment="1">
      <alignment horizontal="center" vertical="center"/>
    </xf>
    <xf numFmtId="0" fontId="32" fillId="2" borderId="36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14" fontId="32" fillId="2" borderId="46" xfId="0" applyNumberFormat="1" applyFont="1" applyFill="1" applyBorder="1" applyAlignment="1">
      <alignment horizontal="left" vertical="center"/>
    </xf>
    <xf numFmtId="14" fontId="32" fillId="2" borderId="35" xfId="0" applyNumberFormat="1" applyFont="1" applyFill="1" applyBorder="1" applyAlignment="1">
      <alignment horizontal="left" vertical="center"/>
    </xf>
    <xf numFmtId="14" fontId="32" fillId="2" borderId="40" xfId="0" applyNumberFormat="1" applyFont="1" applyFill="1" applyBorder="1" applyAlignment="1">
      <alignment horizontal="left" vertical="center"/>
    </xf>
    <xf numFmtId="0" fontId="41" fillId="8" borderId="46" xfId="0" applyFont="1" applyFill="1" applyBorder="1" applyAlignment="1">
      <alignment horizontal="left"/>
    </xf>
    <xf numFmtId="0" fontId="8" fillId="2" borderId="37" xfId="1" applyFill="1" applyBorder="1" applyAlignment="1">
      <alignment horizontal="left"/>
    </xf>
    <xf numFmtId="0" fontId="8" fillId="2" borderId="36" xfId="1" applyFill="1" applyBorder="1" applyAlignment="1">
      <alignment horizontal="left"/>
    </xf>
    <xf numFmtId="0" fontId="8" fillId="2" borderId="32" xfId="1" applyFill="1" applyBorder="1" applyAlignment="1">
      <alignment horizontal="left"/>
    </xf>
    <xf numFmtId="0" fontId="41" fillId="8" borderId="24" xfId="0" applyFont="1" applyFill="1" applyBorder="1" applyAlignment="1">
      <alignment horizontal="left" vertical="center" wrapText="1"/>
    </xf>
    <xf numFmtId="0" fontId="41" fillId="8" borderId="0" xfId="0" applyFont="1" applyFill="1" applyAlignment="1">
      <alignment horizontal="left" vertical="center"/>
    </xf>
    <xf numFmtId="0" fontId="41" fillId="8" borderId="33" xfId="0" applyFont="1" applyFill="1" applyBorder="1" applyAlignment="1">
      <alignment horizontal="left" vertical="center"/>
    </xf>
    <xf numFmtId="0" fontId="41" fillId="8" borderId="37" xfId="0" applyFont="1" applyFill="1" applyBorder="1" applyAlignment="1">
      <alignment horizontal="left" vertical="center"/>
    </xf>
    <xf numFmtId="0" fontId="41" fillId="8" borderId="36" xfId="0" applyFont="1" applyFill="1" applyBorder="1" applyAlignment="1">
      <alignment horizontal="left" vertical="center"/>
    </xf>
    <xf numFmtId="0" fontId="41" fillId="8" borderId="32" xfId="0" applyFont="1" applyFill="1" applyBorder="1" applyAlignment="1">
      <alignment horizontal="left" vertical="center"/>
    </xf>
    <xf numFmtId="0" fontId="47" fillId="2" borderId="35" xfId="0" applyFont="1" applyFill="1" applyBorder="1" applyAlignment="1">
      <alignment horizontal="left"/>
    </xf>
    <xf numFmtId="0" fontId="47" fillId="2" borderId="40" xfId="0" applyFont="1" applyFill="1" applyBorder="1" applyAlignment="1">
      <alignment horizontal="left"/>
    </xf>
    <xf numFmtId="0" fontId="32" fillId="8" borderId="0" xfId="0" applyFont="1" applyFill="1" applyAlignment="1">
      <alignment horizontal="left" vertical="center" wrapText="1"/>
    </xf>
    <xf numFmtId="0" fontId="32" fillId="8" borderId="33" xfId="0" applyFont="1" applyFill="1" applyBorder="1" applyAlignment="1">
      <alignment horizontal="left" vertical="center" wrapText="1"/>
    </xf>
    <xf numFmtId="0" fontId="29" fillId="4" borderId="10" xfId="0" applyFont="1" applyFill="1" applyBorder="1" applyAlignment="1">
      <alignment horizontal="center" vertical="center" textRotation="180"/>
    </xf>
    <xf numFmtId="0" fontId="29" fillId="4" borderId="47" xfId="0" applyFont="1" applyFill="1" applyBorder="1" applyAlignment="1">
      <alignment horizontal="center" vertical="center" textRotation="180"/>
    </xf>
    <xf numFmtId="0" fontId="32" fillId="8" borderId="36" xfId="0" applyFont="1" applyFill="1" applyBorder="1" applyAlignment="1">
      <alignment horizontal="left" vertical="center"/>
    </xf>
    <xf numFmtId="0" fontId="32" fillId="8" borderId="32" xfId="0" applyFont="1" applyFill="1" applyBorder="1" applyAlignment="1">
      <alignment horizontal="left" vertical="center"/>
    </xf>
    <xf numFmtId="0" fontId="41" fillId="2" borderId="37" xfId="0" applyFont="1" applyFill="1" applyBorder="1" applyAlignment="1">
      <alignment horizontal="left" vertical="center"/>
    </xf>
    <xf numFmtId="0" fontId="41" fillId="2" borderId="36" xfId="0" applyFont="1" applyFill="1" applyBorder="1" applyAlignment="1">
      <alignment horizontal="left" vertical="center"/>
    </xf>
    <xf numFmtId="0" fontId="41" fillId="2" borderId="32" xfId="0" applyFont="1" applyFill="1" applyBorder="1" applyAlignment="1">
      <alignment horizontal="left" vertical="center"/>
    </xf>
    <xf numFmtId="0" fontId="47" fillId="8" borderId="0" xfId="0" applyFont="1" applyFill="1" applyAlignment="1">
      <alignment horizontal="left"/>
    </xf>
    <xf numFmtId="0" fontId="47" fillId="8" borderId="33" xfId="0" applyFont="1" applyFill="1" applyBorder="1" applyAlignment="1">
      <alignment horizontal="left"/>
    </xf>
    <xf numFmtId="0" fontId="32" fillId="8" borderId="24" xfId="0" applyFont="1" applyFill="1" applyBorder="1" applyAlignment="1">
      <alignment horizontal="left" vertical="center"/>
    </xf>
    <xf numFmtId="0" fontId="0" fillId="0" borderId="46" xfId="0" applyBorder="1" applyAlignment="1">
      <alignment horizontal="center"/>
    </xf>
    <xf numFmtId="0" fontId="0" fillId="0" borderId="40" xfId="0" applyBorder="1" applyAlignment="1">
      <alignment horizontal="center"/>
    </xf>
    <xf numFmtId="14" fontId="54" fillId="0" borderId="24" xfId="0" applyNumberFormat="1" applyFont="1" applyBorder="1" applyAlignment="1">
      <alignment horizontal="center"/>
    </xf>
    <xf numFmtId="0" fontId="32" fillId="5" borderId="46" xfId="0" applyFont="1" applyFill="1" applyBorder="1" applyAlignment="1">
      <alignment horizontal="left" vertical="center"/>
    </xf>
    <xf numFmtId="0" fontId="32" fillId="5" borderId="35" xfId="0" applyFont="1" applyFill="1" applyBorder="1" applyAlignment="1">
      <alignment horizontal="left" vertical="center"/>
    </xf>
    <xf numFmtId="0" fontId="32" fillId="5" borderId="40" xfId="0" applyFont="1" applyFill="1" applyBorder="1" applyAlignment="1">
      <alignment horizontal="left" vertical="center"/>
    </xf>
    <xf numFmtId="0" fontId="29" fillId="0" borderId="37" xfId="0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29" fillId="5" borderId="37" xfId="0" applyFont="1" applyFill="1" applyBorder="1" applyAlignment="1">
      <alignment horizontal="left" vertical="center"/>
    </xf>
    <xf numFmtId="0" fontId="29" fillId="5" borderId="36" xfId="0" applyFont="1" applyFill="1" applyBorder="1" applyAlignment="1">
      <alignment horizontal="left" vertical="center"/>
    </xf>
    <xf numFmtId="0" fontId="29" fillId="5" borderId="32" xfId="0" applyFont="1" applyFill="1" applyBorder="1" applyAlignment="1">
      <alignment horizontal="left" vertical="center"/>
    </xf>
    <xf numFmtId="0" fontId="32" fillId="5" borderId="24" xfId="0" applyFont="1" applyFill="1" applyBorder="1" applyAlignment="1">
      <alignment horizontal="left" vertical="center" wrapText="1"/>
    </xf>
    <xf numFmtId="0" fontId="32" fillId="5" borderId="0" xfId="0" applyFont="1" applyFill="1" applyAlignment="1">
      <alignment horizontal="left" vertical="center"/>
    </xf>
    <xf numFmtId="0" fontId="32" fillId="5" borderId="33" xfId="0" applyFont="1" applyFill="1" applyBorder="1" applyAlignment="1">
      <alignment horizontal="left" vertical="center"/>
    </xf>
    <xf numFmtId="0" fontId="32" fillId="5" borderId="46" xfId="0" applyFont="1" applyFill="1" applyBorder="1" applyAlignment="1">
      <alignment horizontal="left"/>
    </xf>
    <xf numFmtId="0" fontId="47" fillId="5" borderId="35" xfId="0" applyFont="1" applyFill="1" applyBorder="1" applyAlignment="1">
      <alignment horizontal="left"/>
    </xf>
    <xf numFmtId="0" fontId="47" fillId="5" borderId="40" xfId="0" applyFont="1" applyFill="1" applyBorder="1" applyAlignment="1">
      <alignment horizontal="left"/>
    </xf>
    <xf numFmtId="0" fontId="29" fillId="5" borderId="37" xfId="0" applyFont="1" applyFill="1" applyBorder="1" applyAlignment="1">
      <alignment horizontal="left"/>
    </xf>
    <xf numFmtId="0" fontId="29" fillId="5" borderId="36" xfId="0" applyFont="1" applyFill="1" applyBorder="1" applyAlignment="1">
      <alignment horizontal="left"/>
    </xf>
    <xf numFmtId="0" fontId="29" fillId="5" borderId="32" xfId="0" applyFont="1" applyFill="1" applyBorder="1" applyAlignment="1">
      <alignment horizontal="left"/>
    </xf>
    <xf numFmtId="0" fontId="32" fillId="5" borderId="37" xfId="0" applyFont="1" applyFill="1" applyBorder="1" applyAlignment="1">
      <alignment horizontal="left" vertical="center"/>
    </xf>
    <xf numFmtId="0" fontId="32" fillId="5" borderId="36" xfId="0" applyFont="1" applyFill="1" applyBorder="1" applyAlignment="1">
      <alignment horizontal="left" vertical="center"/>
    </xf>
    <xf numFmtId="0" fontId="32" fillId="5" borderId="32" xfId="0" applyFont="1" applyFill="1" applyBorder="1" applyAlignment="1">
      <alignment horizontal="left" vertical="center"/>
    </xf>
    <xf numFmtId="14" fontId="32" fillId="5" borderId="24" xfId="0" applyNumberFormat="1" applyFont="1" applyFill="1" applyBorder="1" applyAlignment="1">
      <alignment horizontal="left"/>
    </xf>
    <xf numFmtId="0" fontId="32" fillId="5" borderId="0" xfId="0" applyFont="1" applyFill="1" applyAlignment="1">
      <alignment horizontal="left"/>
    </xf>
    <xf numFmtId="0" fontId="32" fillId="5" borderId="33" xfId="0" applyFont="1" applyFill="1" applyBorder="1" applyAlignment="1">
      <alignment horizontal="left"/>
    </xf>
    <xf numFmtId="0" fontId="32" fillId="5" borderId="37" xfId="0" applyFont="1" applyFill="1" applyBorder="1" applyAlignment="1">
      <alignment horizontal="center" vertical="center"/>
    </xf>
    <xf numFmtId="0" fontId="32" fillId="5" borderId="36" xfId="0" applyFont="1" applyFill="1" applyBorder="1" applyAlignment="1">
      <alignment horizontal="center" vertical="center"/>
    </xf>
    <xf numFmtId="0" fontId="32" fillId="5" borderId="32" xfId="0" applyFont="1" applyFill="1" applyBorder="1" applyAlignment="1">
      <alignment horizontal="center" vertical="center"/>
    </xf>
    <xf numFmtId="0" fontId="37" fillId="5" borderId="37" xfId="0" applyFont="1" applyFill="1" applyBorder="1" applyAlignment="1">
      <alignment horizontal="left" vertical="center"/>
    </xf>
    <xf numFmtId="0" fontId="37" fillId="5" borderId="36" xfId="0" applyFont="1" applyFill="1" applyBorder="1" applyAlignment="1">
      <alignment horizontal="left" vertical="center"/>
    </xf>
    <xf numFmtId="0" fontId="37" fillId="5" borderId="32" xfId="0" applyFont="1" applyFill="1" applyBorder="1" applyAlignment="1">
      <alignment horizontal="left" vertical="center"/>
    </xf>
    <xf numFmtId="0" fontId="37" fillId="5" borderId="46" xfId="0" applyFont="1" applyFill="1" applyBorder="1" applyAlignment="1">
      <alignment horizontal="left" vertical="center"/>
    </xf>
    <xf numFmtId="0" fontId="37" fillId="5" borderId="35" xfId="0" applyFont="1" applyFill="1" applyBorder="1" applyAlignment="1">
      <alignment horizontal="left" vertical="center"/>
    </xf>
    <xf numFmtId="0" fontId="37" fillId="5" borderId="40" xfId="0" applyFont="1" applyFill="1" applyBorder="1" applyAlignment="1">
      <alignment horizontal="left" vertical="center"/>
    </xf>
    <xf numFmtId="0" fontId="29" fillId="0" borderId="37" xfId="0" applyFont="1" applyBorder="1" applyAlignment="1">
      <alignment horizontal="left" vertical="center"/>
    </xf>
    <xf numFmtId="0" fontId="29" fillId="0" borderId="36" xfId="0" applyFont="1" applyBorder="1" applyAlignment="1">
      <alignment horizontal="left" vertical="center"/>
    </xf>
    <xf numFmtId="0" fontId="29" fillId="0" borderId="32" xfId="0" applyFont="1" applyBorder="1" applyAlignment="1">
      <alignment horizontal="left" vertical="center"/>
    </xf>
    <xf numFmtId="0" fontId="32" fillId="5" borderId="24" xfId="0" applyFont="1" applyFill="1" applyBorder="1" applyAlignment="1">
      <alignment horizontal="left"/>
    </xf>
    <xf numFmtId="14" fontId="37" fillId="0" borderId="24" xfId="0" applyNumberFormat="1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2" fillId="0" borderId="33" xfId="0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EAEAEA"/>
      <color rgb="FF0099FF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1.Semester/1.5_Auftrag.pdf" TargetMode="External"/><Relationship Id="rId13" Type="http://schemas.openxmlformats.org/officeDocument/2006/relationships/hyperlink" Target="https://bldsg.sharepoint.com/:b:/r/teams/SAIb_25-29/Freigegebene%20Dokumente/BKU/Allgemeine%20Unterlagen/Unterrichtsplanung/1.Semester/02_Unterrichtsplanung_SE01_21.08.2025.pdf?csf=1&amp;web=1&amp;e=5ShQze" TargetMode="External"/><Relationship Id="rId18" Type="http://schemas.openxmlformats.org/officeDocument/2006/relationships/hyperlink" Target="https://bldsg.sharepoint.com/:b:/r/teams/SAIb_25-29/Freigegebene%20Dokumente/BKU/Allgemeine%20Unterlagen/Unterrichtsplanung/1.Semester/07_Unterrichtsplanung_SE01_25.09.2025.pdf?csf=1&amp;web=1&amp;e=cxsb2O" TargetMode="External"/><Relationship Id="rId26" Type="http://schemas.openxmlformats.org/officeDocument/2006/relationships/hyperlink" Target="https://bldsg.sharepoint.com/:b:/r/teams/SAIb_25-29/Freigegebene%20Dokumente/BKU/Allgemeine%20Unterlagen/Unterrichtsplanung/1.Semester/15_Unterrichtsplanung_SE01_11.12.2025.pdf?csf=1&amp;web=1&amp;e=FLNpNQ" TargetMode="External"/><Relationship Id="rId3" Type="http://schemas.openxmlformats.org/officeDocument/2006/relationships/hyperlink" Target="https://sanitaerlernen.ch/0_Datenbank/1_Auftraege/1.Semester/1.1_Auftrag.pdf" TargetMode="External"/><Relationship Id="rId21" Type="http://schemas.openxmlformats.org/officeDocument/2006/relationships/hyperlink" Target="https://bldsg.sharepoint.com/:b:/r/teams/SAIb_25-29/Freigegebene%20Dokumente/BKU/Allgemeine%20Unterlagen/Unterrichtsplanung/1.Semester/10_Unterrichtsplanung_SE01_06.11.2025.pdf?csf=1&amp;web=1&amp;e=3zUno0" TargetMode="External"/><Relationship Id="rId7" Type="http://schemas.openxmlformats.org/officeDocument/2006/relationships/hyperlink" Target="https://sanitaerlernen.ch/0_Datenbank/1_Auftraege/1.Semester/1.4_Auftrag.pdf" TargetMode="External"/><Relationship Id="rId12" Type="http://schemas.openxmlformats.org/officeDocument/2006/relationships/hyperlink" Target="https://sanitaerlernen.ch/0_Datenbank/1_Auftraege/1.Semester/1.12_Auftrag.pdf" TargetMode="External"/><Relationship Id="rId17" Type="http://schemas.openxmlformats.org/officeDocument/2006/relationships/hyperlink" Target="https://bldsg.sharepoint.com/:b:/r/teams/SAIb_25-29/Freigegebene%20Dokumente/BKU/Allgemeine%20Unterlagen/Unterrichtsplanung/1.Semester/06_Unterrichtsplanung_SE01_18.09.2025.pdf?csf=1&amp;web=1&amp;e=6CdtJ3" TargetMode="External"/><Relationship Id="rId25" Type="http://schemas.openxmlformats.org/officeDocument/2006/relationships/hyperlink" Target="https://bldsg.sharepoint.com/:b:/r/teams/SAIb_25-29/Freigegebene%20Dokumente/BKU/Allgemeine%20Unterlagen/Unterrichtsplanung/1.Semester/14_Unterrichtsplanung_SE01_04.12.2025.pdf?csf=1&amp;web=1&amp;e=kUjHxu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s://bldsg.sharepoint.com/:b:/r/teams/SAIb_25-29/Freigegebene%20Dokumente/BKU/Allgemeine%20Unterlagen/Unterrichtsplanung/1.Semester/05_Unterrichtsplanung_SE01_11.09.2025.pdf?csf=1&amp;web=1&amp;e=wdLQTk" TargetMode="External"/><Relationship Id="rId20" Type="http://schemas.openxmlformats.org/officeDocument/2006/relationships/hyperlink" Target="https://bldsg.sharepoint.com/:b:/r/teams/SAIb_25-29/Freigegebene%20Dokumente/BKU/Allgemeine%20Unterlagen/Unterrichtsplanung/1.Semester/09_Unterrichtsplanung_SE01_30.10.2025.pdf?csf=1&amp;web=1&amp;e=oHbex9" TargetMode="External"/><Relationship Id="rId29" Type="http://schemas.openxmlformats.org/officeDocument/2006/relationships/hyperlink" Target="https://bldsg.sharepoint.com/:b:/r/teams/SAIb_25-29/Freigegebene%20Dokumente/BKU/Allgemeine%20Unterlagen/Unterrichtsplanung/1.Semester/18_Unterrichtsplanung_SE01_15.01.2026.pdf?csf=1&amp;web=1&amp;e=69BKsG" TargetMode="External"/><Relationship Id="rId1" Type="http://schemas.openxmlformats.org/officeDocument/2006/relationships/hyperlink" Target="https://bldsg.sharepoint.com/:b:/r/teams/SAIb_25-29/Freigegebene%20Dokumente/BKU/Allgemeine%20Unterlagen/Unterrichtsplanung/1.Semester/01_Unterrichtsplanung_SE01_14.08.2025.pdf?csf=1&amp;web=1&amp;e=6A2YJq" TargetMode="External"/><Relationship Id="rId6" Type="http://schemas.openxmlformats.org/officeDocument/2006/relationships/hyperlink" Target="https://sanitaerlernen.ch/0_Datenbank/1_Auftraege/1.Semester/1.3_Auftrag.pdf" TargetMode="External"/><Relationship Id="rId11" Type="http://schemas.openxmlformats.org/officeDocument/2006/relationships/hyperlink" Target="https://sanitaerlernen.ch/0_Datenbank/1_Auftraege/1.Semester/1.9_Auftrag.pdf" TargetMode="External"/><Relationship Id="rId24" Type="http://schemas.openxmlformats.org/officeDocument/2006/relationships/hyperlink" Target="https://bldsg.sharepoint.com/:b:/r/teams/SAIb_25-29/Freigegebene%20Dokumente/BKU/Allgemeine%20Unterlagen/Unterrichtsplanung/1.Semester/13_Unterrichtsplanung_SE01_27.11.2025.pdf?csf=1&amp;web=1&amp;e=lgdj1N" TargetMode="External"/><Relationship Id="rId5" Type="http://schemas.openxmlformats.org/officeDocument/2006/relationships/hyperlink" Target="https://sanitaerlernen.ch/0_Datenbank/1_Auftraege/1.Semester/1.2_Auftrag.pdf" TargetMode="External"/><Relationship Id="rId15" Type="http://schemas.openxmlformats.org/officeDocument/2006/relationships/hyperlink" Target="https://bldsg.sharepoint.com/:b:/r/teams/SAIb_25-29/Freigegebene%20Dokumente/BKU/Allgemeine%20Unterlagen/Unterrichtsplanung/1.Semester/04_Unterrichtsplanung_SE01_04.09.2025.pdf?csf=1&amp;web=1&amp;e=Sb6tuv" TargetMode="External"/><Relationship Id="rId23" Type="http://schemas.openxmlformats.org/officeDocument/2006/relationships/hyperlink" Target="https://bldsg.sharepoint.com/:b:/r/teams/SAIb_25-29/Freigegebene%20Dokumente/BKU/Allgemeine%20Unterlagen/Unterrichtsplanung/1.Semester/12_Unterrichtsplanung_SE01_20.11.2025.pdf?csf=1&amp;web=1&amp;e=WEzOiH" TargetMode="External"/><Relationship Id="rId28" Type="http://schemas.openxmlformats.org/officeDocument/2006/relationships/hyperlink" Target="https://bldsg.sharepoint.com/:b:/r/teams/SAIb_25-29/Freigegebene%20Dokumente/BKU/Allgemeine%20Unterlagen/Unterrichtsplanung/1.Semester/17_Unterrichtsplanung_SE01_08.01.2026.pdf?csf=1&amp;web=1&amp;e=Aw8vV6" TargetMode="External"/><Relationship Id="rId10" Type="http://schemas.openxmlformats.org/officeDocument/2006/relationships/hyperlink" Target="https://sanitaerlernen.ch/0_Datenbank/1_Auftraege/1.Semester/1.8_Auftrag.pdf" TargetMode="External"/><Relationship Id="rId19" Type="http://schemas.openxmlformats.org/officeDocument/2006/relationships/hyperlink" Target="https://bldsg.sharepoint.com/:b:/r/teams/SAIb_25-29/Freigegebene%20Dokumente/BKU/Allgemeine%20Unterlagen/Unterrichtsplanung/1.Semester/08_Unterrichtsplanung_SE01_23.10.2025.pdf?csf=1&amp;web=1&amp;e=NHCiFH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sanitaerlernen.ch/0_Datenbank/1_Auftraege/1.Semester/1.6_Auftrag.pdf" TargetMode="External"/><Relationship Id="rId14" Type="http://schemas.openxmlformats.org/officeDocument/2006/relationships/hyperlink" Target="https://bldsg.sharepoint.com/:b:/r/teams/SAIb_25-29/Freigegebene%20Dokumente/BKU/Allgemeine%20Unterlagen/Unterrichtsplanung/1.Semester/03_Unterrichtsplanung_SE01_28.08.2025.pdf?csf=1&amp;web=1&amp;e=RnRr0g" TargetMode="External"/><Relationship Id="rId22" Type="http://schemas.openxmlformats.org/officeDocument/2006/relationships/hyperlink" Target="https://bldsg.sharepoint.com/:b:/r/teams/SAIb_25-29/Freigegebene%20Dokumente/BKU/Allgemeine%20Unterlagen/Unterrichtsplanung/1.Semester/11_Unterrichtsplanung_SE01_13.11.2025.pdf?csf=1&amp;web=1&amp;e=53tVsc" TargetMode="External"/><Relationship Id="rId27" Type="http://schemas.openxmlformats.org/officeDocument/2006/relationships/hyperlink" Target="https://bldsg.sharepoint.com/:b:/r/teams/SAIb_25-29/Freigegebene%20Dokumente/BKU/Allgemeine%20Unterlagen/Unterrichtsplanung/1.Semester/16_Unterrichtsplanung_SE01_18.12.2025.pdf?csf=1&amp;web=1&amp;e=c6m0sH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5addf9a4-ab48-4e67-8758-798380060ad6%5C%22%5D%7D%5D%7D%2C%5C%22action%5C%22%3A%5C%22navigate%5C%22%2C%5C%22view%5C%22%3A%5C%22assignment-viewer%5C%22%2C%5C%22appId%5C%22%3A%5C%221fec8e78-bce4-4aaf-ab1b-5451cc387264%5C%22%2C%5C%22deeplinkType%5C%22%3A4%7D%22%2C%22channelId%22%3Anull%7D" TargetMode="External"/><Relationship Id="rId3" Type="http://schemas.openxmlformats.org/officeDocument/2006/relationships/image" Target="../media/image5.png"/><Relationship Id="rId7" Type="http://schemas.openxmlformats.org/officeDocument/2006/relationships/hyperlink" Target="https://sanitaerlernen.ch/0_Datenbank/1_Auftraege/1.Semester/1.12_Auftrag.pdf" TargetMode="External"/><Relationship Id="rId12" Type="http://schemas.openxmlformats.org/officeDocument/2006/relationships/image" Target="../media/image1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hyperlink" Target="https://sway.cloud.microsoft/xmeARjkLPKrRPezf?ref=Link" TargetMode="External"/><Relationship Id="rId5" Type="http://schemas.openxmlformats.org/officeDocument/2006/relationships/image" Target="../media/image7.png"/><Relationship Id="rId10" Type="http://schemas.openxmlformats.org/officeDocument/2006/relationships/image" Target="../media/image10.png"/><Relationship Id="rId4" Type="http://schemas.openxmlformats.org/officeDocument/2006/relationships/image" Target="../media/image6.svg"/><Relationship Id="rId9" Type="http://schemas.openxmlformats.org/officeDocument/2006/relationships/hyperlink" Target="https://bldsg.sharepoint.com/:p:/r/teams/SAIb_25-29/Freigegebene%20Dokumente/BKU/Allgemeine%20Unterlagen/Diverses/2304%20Schulstart%20neue%20Lernende.pptx?d=w16cd2534c1e84784971f374cd0d32ec7&amp;csf=1&amp;web=1&amp;e=h9SyuV" TargetMode="External"/><Relationship Id="rId1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hyperlink" Target="https://sanitaerlernen.ch/0_Datenbank/1_Auftraege/1.Semester/1.4_Auftrag.pdf" TargetMode="External"/><Relationship Id="rId2" Type="http://schemas.openxmlformats.org/officeDocument/2006/relationships/image" Target="../media/image13.png"/><Relationship Id="rId1" Type="http://schemas.openxmlformats.org/officeDocument/2006/relationships/hyperlink" Target="https://www.youtube.com/watch?v=2MS4GJRaLas" TargetMode="External"/><Relationship Id="rId6" Type="http://schemas.openxmlformats.org/officeDocument/2006/relationships/image" Target="../media/image6.svg"/><Relationship Id="rId11" Type="http://schemas.openxmlformats.org/officeDocument/2006/relationships/hyperlink" Target="https://www.youtube.com/watch?v=3Pv0aVvzIoM" TargetMode="External"/><Relationship Id="rId5" Type="http://schemas.openxmlformats.org/officeDocument/2006/relationships/image" Target="../media/image5.png"/><Relationship Id="rId10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4%5FWASSERKREISLAUF%2Emp4&amp;ga=1" TargetMode="External"/><Relationship Id="rId4" Type="http://schemas.openxmlformats.org/officeDocument/2006/relationships/image" Target="../media/image4.svg"/><Relationship Id="rId9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4%5FWasservorkommen%5FErde%2Emp4&amp;ga=1" TargetMode="External"/><Relationship Id="rId14" Type="http://schemas.openxmlformats.org/officeDocument/2006/relationships/hyperlink" Target="https://sanitaerlernen.ch/0_Datenbank/1_Auftraege/1.Semester/1.1_Auftrag.pdf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9.png"/><Relationship Id="rId3" Type="http://schemas.openxmlformats.org/officeDocument/2006/relationships/hyperlink" Target="https://www.youtube.com/watch?v=2MS4GJRaLas" TargetMode="External"/><Relationship Id="rId7" Type="http://schemas.openxmlformats.org/officeDocument/2006/relationships/image" Target="../media/image6.svg"/><Relationship Id="rId12" Type="http://schemas.openxmlformats.org/officeDocument/2006/relationships/hyperlink" Target="https://sanitaerlernen.ch/0_Datenbank/1_Auftraege/1.Semester/1.4_Auftrag.pdf" TargetMode="External"/><Relationship Id="rId2" Type="http://schemas.openxmlformats.org/officeDocument/2006/relationships/image" Target="../media/image13.png"/><Relationship Id="rId1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4%5FWASSER%5FUND%5FEIGENSCHAFTEN%2Emp4&amp;ga=1" TargetMode="External"/><Relationship Id="rId6" Type="http://schemas.openxmlformats.org/officeDocument/2006/relationships/image" Target="../media/image5.png"/><Relationship Id="rId11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4%5FWasservorkommen%5FErde%2Emp4&amp;ga=1" TargetMode="External"/><Relationship Id="rId5" Type="http://schemas.openxmlformats.org/officeDocument/2006/relationships/image" Target="../media/image4.svg"/><Relationship Id="rId10" Type="http://schemas.openxmlformats.org/officeDocument/2006/relationships/hyperlink" Target="https://www.youtube.com/watch?v=tjUqglshyp4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8.svg"/><Relationship Id="rId14" Type="http://schemas.openxmlformats.org/officeDocument/2006/relationships/hyperlink" Target="https://sanitaerlernen.ch/0_Datenbank/1_Auftraege/1.Semester/1.1_Auftrag.pdf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hyperlink" Target="https://sanitaerlernen.ch/0_Datenbank/1_Auftraege/1.Semester/1.4_Auftrag.pdf" TargetMode="External"/><Relationship Id="rId18" Type="http://schemas.openxmlformats.org/officeDocument/2006/relationships/image" Target="../media/image16.svg"/><Relationship Id="rId3" Type="http://schemas.openxmlformats.org/officeDocument/2006/relationships/image" Target="../media/image5.png"/><Relationship Id="rId7" Type="http://schemas.openxmlformats.org/officeDocument/2006/relationships/hyperlink" Target="https://www.youtube.com/watch?v=0tMr5SKLkCc" TargetMode="External"/><Relationship Id="rId12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1%5FFORMELBUCH%2Emp4&amp;ga=1&amp;referrer=StreamWebApp%2EWeb&amp;referrerScenario=AddressBarCopied%2Eview%2E2a28bece%2D70a1%2D40ea%2D8da9%2D8f5061374255" TargetMode="External"/><Relationship Id="rId17" Type="http://schemas.openxmlformats.org/officeDocument/2006/relationships/image" Target="../media/image15.png"/><Relationship Id="rId2" Type="http://schemas.openxmlformats.org/officeDocument/2006/relationships/image" Target="../media/image4.svg"/><Relationship Id="rId16" Type="http://schemas.openxmlformats.org/officeDocument/2006/relationships/hyperlink" Target="https://forms.office.com/Pages/ResponsePage.aspx?id=DQSIkWdsW0yxEjajBLZtrQAAAAAAAAAAAAMAAC0eN2RUM0JLNEw3MThMQTQ0NjZXUVpKVTFTSDNHMS4u" TargetMode="External"/><Relationship Id="rId20" Type="http://schemas.openxmlformats.org/officeDocument/2006/relationships/image" Target="../media/image12.pn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image" Target="../media/image14.png"/><Relationship Id="rId5" Type="http://schemas.openxmlformats.org/officeDocument/2006/relationships/image" Target="../media/image7.png"/><Relationship Id="rId15" Type="http://schemas.openxmlformats.org/officeDocument/2006/relationships/hyperlink" Target="https://sanitaerlernen.ch/0_Datenbank/1_Auftraege/1.Semester/1.1_Auftrag.pdf" TargetMode="External"/><Relationship Id="rId10" Type="http://schemas.openxmlformats.org/officeDocument/2006/relationships/hyperlink" Target="https://bldsg.sharepoint.com/:b:/r/teams/SAIb_25-29/Freigegebene%20Dokumente/BKU/Berufskenntnisse/1.Semester/05_Diverses/Grafiz_Vorlage.pdf?csf=1&amp;web=1&amp;e=CTFkR1" TargetMode="External"/><Relationship Id="rId19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41477621-e409-48d3-8616-14389719a59c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4" Type="http://schemas.openxmlformats.org/officeDocument/2006/relationships/image" Target="../media/image6.svg"/><Relationship Id="rId9" Type="http://schemas.openxmlformats.org/officeDocument/2006/relationships/hyperlink" Target="https://www.youtube.com/watch?v=-NLJQrG4WYw" TargetMode="External"/><Relationship Id="rId1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hyperlink" Target="https://bldsg.sharepoint.com/:b:/r/teams/SAIb_25-29/Freigegebene%20Dokumente/BKU/Berufskenntnisse/1.Semester/04_Lernziele_1.Sem/1.4_Lernziele.pdf?csf=1&amp;web=1&amp;e=B79y81" TargetMode="External"/><Relationship Id="rId3" Type="http://schemas.openxmlformats.org/officeDocument/2006/relationships/image" Target="../media/image5.png"/><Relationship Id="rId7" Type="http://schemas.openxmlformats.org/officeDocument/2006/relationships/hyperlink" Target="https://www.youtube.com/watch?v=4nXGyMcudjQ" TargetMode="External"/><Relationship Id="rId12" Type="http://schemas.openxmlformats.org/officeDocument/2006/relationships/hyperlink" Target="https://www.youtube.com/watch?v=2POLQGea2q4" TargetMode="External"/><Relationship Id="rId17" Type="http://schemas.openxmlformats.org/officeDocument/2006/relationships/hyperlink" Target="https://sanitaerlernen.ch/0_Datenbank/1_Auftraege/1.Semester/1.1_Auftrag.pdf" TargetMode="External"/><Relationship Id="rId2" Type="http://schemas.openxmlformats.org/officeDocument/2006/relationships/image" Target="../media/image4.svg"/><Relationship Id="rId16" Type="http://schemas.openxmlformats.org/officeDocument/2006/relationships/image" Target="../media/image9.pn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4%5FRESERVOIR%5FLEITUNGSNETZ%2Emp4&amp;ga=1" TargetMode="External"/><Relationship Id="rId5" Type="http://schemas.openxmlformats.org/officeDocument/2006/relationships/image" Target="../media/image7.png"/><Relationship Id="rId15" Type="http://schemas.openxmlformats.org/officeDocument/2006/relationships/hyperlink" Target="https://sanitaerlernen.ch/0_Datenbank/1_Auftraege/1.Semester/1.4_Auftrag.pdf" TargetMode="External"/><Relationship Id="rId10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1%5FFORMELBUCH%2Emp4&amp;ga=1" TargetMode="External"/><Relationship Id="rId4" Type="http://schemas.openxmlformats.org/officeDocument/2006/relationships/image" Target="../media/image6.svg"/><Relationship Id="rId9" Type="http://schemas.openxmlformats.org/officeDocument/2006/relationships/hyperlink" Target="https://www.youtube.com/watch?v=-NLJQrG4WYw" TargetMode="External"/><Relationship Id="rId14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hyperlink" Target="https://de.serlo.org/nachhaltigkeit/108660/plastik-und-seine-entstehung" TargetMode="External"/><Relationship Id="rId18" Type="http://schemas.openxmlformats.org/officeDocument/2006/relationships/image" Target="../media/image21.svg"/><Relationship Id="rId26" Type="http://schemas.openxmlformats.org/officeDocument/2006/relationships/image" Target="../media/image17.png"/><Relationship Id="rId3" Type="http://schemas.openxmlformats.org/officeDocument/2006/relationships/image" Target="../media/image5.png"/><Relationship Id="rId21" Type="http://schemas.openxmlformats.org/officeDocument/2006/relationships/image" Target="../media/image23.svg"/><Relationship Id="rId7" Type="http://schemas.openxmlformats.org/officeDocument/2006/relationships/hyperlink" Target="https://www.youtube.com/watch?v=WvY5Inl3FFI" TargetMode="External"/><Relationship Id="rId12" Type="http://schemas.openxmlformats.org/officeDocument/2006/relationships/hyperlink" Target="https://www.youtube.com/watch?v=xyyAbGpoakM" TargetMode="External"/><Relationship Id="rId17" Type="http://schemas.openxmlformats.org/officeDocument/2006/relationships/image" Target="../media/image20.png"/><Relationship Id="rId25" Type="http://schemas.openxmlformats.org/officeDocument/2006/relationships/hyperlink" Target="https://bldsg.sharepoint.com/:b:/r/teams/SAIb_25-29/Freigegebene%20Dokumente/BKU/Berufskenntnisse/1.Semester/04_Lernziele_1.Sem/1.1_Lernziele.pdf?csf=1&amp;web=1&amp;e=WAox9l" TargetMode="External"/><Relationship Id="rId2" Type="http://schemas.openxmlformats.org/officeDocument/2006/relationships/image" Target="../media/image4.svg"/><Relationship Id="rId16" Type="http://schemas.openxmlformats.org/officeDocument/2006/relationships/hyperlink" Target="https://bldsg.sharepoint.com/:b:/r/teams/SAIb_25-29/Freigegebene%20Dokumente/BKU/Berufskenntnisse/1.Semester/05_Diverses/1.5%20Gruppenarbeit_Kunsstoffrohre%20.pdf?csf=1&amp;web=1&amp;e=PnAevu" TargetMode="External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hyperlink" Target="https://www.youtube.com/watch?v=pwg3xiSdTBI" TargetMode="External"/><Relationship Id="rId24" Type="http://schemas.openxmlformats.org/officeDocument/2006/relationships/hyperlink" Target="https://sanitaerlernen.ch/0_Datenbank/1_Auftraege/1.Semester/1.1_Auftrag.pdf" TargetMode="External"/><Relationship Id="rId5" Type="http://schemas.openxmlformats.org/officeDocument/2006/relationships/image" Target="../media/image7.png"/><Relationship Id="rId15" Type="http://schemas.openxmlformats.org/officeDocument/2006/relationships/image" Target="../media/image19.svg"/><Relationship Id="rId23" Type="http://schemas.openxmlformats.org/officeDocument/2006/relationships/hyperlink" Target="https://sanitaerlernen.ch/0_Datenbank/1_Auftraege/1.Semester/1.5_Auftrag.pdf" TargetMode="External"/><Relationship Id="rId10" Type="http://schemas.openxmlformats.org/officeDocument/2006/relationships/hyperlink" Target="https://www.youtube.com/watch?v=nbWAGgq1YHM" TargetMode="External"/><Relationship Id="rId19" Type="http://schemas.openxmlformats.org/officeDocument/2006/relationships/hyperlink" Target="https://bldsg.sharepoint.com/:p:/r/teams/SAIb_25-29/Freigegebene%20Dokumente/BKU/Berufskenntnisse/1.Semester/05_Diverses/1.5_Einstiegsdiskussion_Plastik.pptx?d=w03a1cd5db3864d8dad3a7992556302a5&amp;csf=1&amp;web=1&amp;e=uUU3Yy" TargetMode="External"/><Relationship Id="rId4" Type="http://schemas.openxmlformats.org/officeDocument/2006/relationships/image" Target="../media/image6.svg"/><Relationship Id="rId9" Type="http://schemas.openxmlformats.org/officeDocument/2006/relationships/hyperlink" Target="https://www.youtube.com/watch?v=-NLJQrG4WYw" TargetMode="External"/><Relationship Id="rId14" Type="http://schemas.openxmlformats.org/officeDocument/2006/relationships/image" Target="../media/image18.png"/><Relationship Id="rId22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https://www.youtube.com/watch?v=O-23yARhxw8" TargetMode="External"/><Relationship Id="rId18" Type="http://schemas.openxmlformats.org/officeDocument/2006/relationships/hyperlink" Target="https://bldsg.sharepoint.com/:v:/r/teams/SAIb_23-27/Freigegebene%20Dokumente/BKU/Allgemeine%20Unterlagen/1.3_Arbeitssicherheit/1.3_SUVA_PSA%20(1).mp4?csf=1&amp;web=1&amp;e=Xdhzwf" TargetMode="External"/><Relationship Id="rId3" Type="http://schemas.openxmlformats.org/officeDocument/2006/relationships/image" Target="../media/image3.png"/><Relationship Id="rId21" Type="http://schemas.openxmlformats.org/officeDocument/2006/relationships/hyperlink" Target="https://sanitaerlernen.ch/0_Datenbank/1_Auftraege/1.Semester/1.3_Auftrag.pdf" TargetMode="External"/><Relationship Id="rId7" Type="http://schemas.openxmlformats.org/officeDocument/2006/relationships/hyperlink" Target="https://bldsg.sharepoint.com/:b:/r/teams/SAIb_24-282/Freigegebene%20Dokumente/BKU/Allgemeine%20Unterlagen/Unterrichtsplanung/1.Semester/08_Unterrichtsplanung_SE01_23.10.2024.pdf?csf=1&amp;web=1&amp;e=4HtftX" TargetMode="External"/><Relationship Id="rId12" Type="http://schemas.openxmlformats.org/officeDocument/2006/relationships/hyperlink" Target="https://www.youtube.com/watch?v=VOp_nHS0cNQ" TargetMode="External"/><Relationship Id="rId17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5%5FStahlherstellung%2Emp4&amp;ga=1" TargetMode="External"/><Relationship Id="rId2" Type="http://schemas.openxmlformats.org/officeDocument/2006/relationships/image" Target="../media/image24.png"/><Relationship Id="rId16" Type="http://schemas.openxmlformats.org/officeDocument/2006/relationships/image" Target="../media/image26.svg"/><Relationship Id="rId20" Type="http://schemas.openxmlformats.org/officeDocument/2006/relationships/image" Target="../media/image9.png"/><Relationship Id="rId1" Type="http://schemas.openxmlformats.org/officeDocument/2006/relationships/hyperlink" Target="https://api.gbssg.ch/fileadmin/user_upload/dokumente/pdf/GBS_allgemein/Ferienplan_bis_SJ_2025_26.pdf" TargetMode="External"/><Relationship Id="rId6" Type="http://schemas.openxmlformats.org/officeDocument/2006/relationships/image" Target="../media/image6.svg"/><Relationship Id="rId11" Type="http://schemas.openxmlformats.org/officeDocument/2006/relationships/image" Target="../media/image13.png"/><Relationship Id="rId5" Type="http://schemas.openxmlformats.org/officeDocument/2006/relationships/image" Target="../media/image5.png"/><Relationship Id="rId15" Type="http://schemas.openxmlformats.org/officeDocument/2006/relationships/image" Target="../media/image25.png"/><Relationship Id="rId23" Type="http://schemas.openxmlformats.org/officeDocument/2006/relationships/image" Target="../media/image12.png"/><Relationship Id="rId10" Type="http://schemas.openxmlformats.org/officeDocument/2006/relationships/hyperlink" Target="https://www.youtube.com/watch?v=VBL2XMrteFg" TargetMode="External"/><Relationship Id="rId19" Type="http://schemas.openxmlformats.org/officeDocument/2006/relationships/hyperlink" Target="https://sanitaerlernen.ch/0_Datenbank/1_Auftraege/1.Semester/1.5_Auftrag.pdf" TargetMode="External"/><Relationship Id="rId4" Type="http://schemas.openxmlformats.org/officeDocument/2006/relationships/image" Target="../media/image4.svg"/><Relationship Id="rId9" Type="http://schemas.openxmlformats.org/officeDocument/2006/relationships/image" Target="../media/image8.svg"/><Relationship Id="rId14" Type="http://schemas.openxmlformats.org/officeDocument/2006/relationships/hyperlink" Target="https://bldsg.sharepoint.com/:p:/r/teams/SAIb_25-29/Freigegebene%20Dokumente/BKU/Berufskenntnisse/1.Semester/05_Diverses/1.3_Pr%C3%A4sentation_Arbeitssicherheit.pptx?d=w7d0cd74a919d4d1b95982ef3d7be62a6&amp;csf=1&amp;web=1&amp;e=hxEEVV" TargetMode="External"/><Relationship Id="rId22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7345199e-1f3c-4f59-bc21-d7e6163d1710%5C%22%5D%7D%5D%7D%2C%5C%22action%5C%22%3A%5C%22navigate%5C%22%2C%5C%22view%5C%22%3A%5C%22assignment-viewer%5C%22%2C%5C%22appId%5C%22%3A%5C%22ccb65bcd-04ba-421a-8791-a299a70904b6%5C%22%2C%5C%22deeplinkType%5C%22%3A4%7D%22%2C%22channelId%22%3Anull%7D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RzyMRbfao2o" TargetMode="External"/><Relationship Id="rId13" Type="http://schemas.openxmlformats.org/officeDocument/2006/relationships/image" Target="../media/image17.png"/><Relationship Id="rId18" Type="http://schemas.openxmlformats.org/officeDocument/2006/relationships/image" Target="../media/image28.svg"/><Relationship Id="rId3" Type="http://schemas.openxmlformats.org/officeDocument/2006/relationships/image" Target="../media/image5.png"/><Relationship Id="rId21" Type="http://schemas.openxmlformats.org/officeDocument/2006/relationships/hyperlink" Target="https://sanitaerlernen.ch/0_Datenbank/1_Auftraege/1.Semester/1.5_Auftrag.pdf" TargetMode="External"/><Relationship Id="rId7" Type="http://schemas.openxmlformats.org/officeDocument/2006/relationships/image" Target="../media/image8.svg"/><Relationship Id="rId12" Type="http://schemas.openxmlformats.org/officeDocument/2006/relationships/hyperlink" Target="https://bldsg.sharepoint.com/:b:/r/teams/SAIb_25-29/Freigegebene%20Dokumente/BKU/Berufskenntnisse/1.Semester/04_Lernziele_1.Sem/1.5_Lernziele.pdf?csf=1&amp;web=1&amp;e=UJnYN4" TargetMode="External"/><Relationship Id="rId17" Type="http://schemas.openxmlformats.org/officeDocument/2006/relationships/image" Target="../media/image27.png"/><Relationship Id="rId2" Type="http://schemas.openxmlformats.org/officeDocument/2006/relationships/image" Target="../media/image4.svg"/><Relationship Id="rId16" Type="http://schemas.openxmlformats.org/officeDocument/2006/relationships/hyperlink" Target="https://learningapps.org/watch?v=pa2y4dtrj23" TargetMode="External"/><Relationship Id="rId20" Type="http://schemas.openxmlformats.org/officeDocument/2006/relationships/hyperlink" Target="https://bldsg.sharepoint.com/teams/SAIb_25-29/Freigegebene%20Dokumente/Forms/AllItems.aspx?id=%2Fteams%2FSAIb%5F25%2D29%2FFreigegebene%20Dokumente%2FBKU%2FBerufskenntnisse%2F1%2ESemester%2F04%5FLernziele%5F1%2ESem%2F1%2E5%5FLernziele%2Epdf&amp;parent=%2Fteams%2FSAIb%5F25%2D29%2FFreigegebene%20Dokumente%2FBKU%2FBerufskenntnisse%2F1%2ESemester%2F04%5FLernziele%5F1%2ESem" TargetMode="External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11" Type="http://schemas.openxmlformats.org/officeDocument/2006/relationships/hyperlink" Target="https://www.youtube.com/watch?v=ZTk1krpdORM" TargetMode="External"/><Relationship Id="rId5" Type="http://schemas.openxmlformats.org/officeDocument/2006/relationships/hyperlink" Target="https://bldsg.sharepoint.com/:b:/r/teams/SAIb_24-282/Freigegebene%20Dokumente/BKU/Allgemeine%20Unterlagen/Unterrichtsplanung/1.Semester/09_Unterrichtsplanung_SE01_30.10.2024.pdf?csf=1&amp;web=1&amp;e=ki1iuq" TargetMode="External"/><Relationship Id="rId15" Type="http://schemas.openxmlformats.org/officeDocument/2006/relationships/image" Target="../media/image12.png"/><Relationship Id="rId23" Type="http://schemas.openxmlformats.org/officeDocument/2006/relationships/hyperlink" Target="https://sanitaerlernen.ch/0_Datenbank/1_Auftraege/1.Semester/1.3_Auftrag.pdf" TargetMode="External"/><Relationship Id="rId10" Type="http://schemas.openxmlformats.org/officeDocument/2006/relationships/hyperlink" Target="https://www.youtube.com/watch?v=6B6hKcF-m40" TargetMode="External"/><Relationship Id="rId19" Type="http://schemas.openxmlformats.org/officeDocument/2006/relationships/hyperlink" Target="https://learningapps.org/watch?v=pfxu8govt23" TargetMode="External"/><Relationship Id="rId4" Type="http://schemas.openxmlformats.org/officeDocument/2006/relationships/image" Target="../media/image6.svg"/><Relationship Id="rId9" Type="http://schemas.openxmlformats.org/officeDocument/2006/relationships/image" Target="../media/image13.png"/><Relationship Id="rId14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1873642d-4d83-4e72-8cfb-3b42407d3254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22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Ts6PFfd0Cf0" TargetMode="External"/><Relationship Id="rId13" Type="http://schemas.openxmlformats.org/officeDocument/2006/relationships/image" Target="../media/image9.png"/><Relationship Id="rId18" Type="http://schemas.openxmlformats.org/officeDocument/2006/relationships/image" Target="../media/image12.png"/><Relationship Id="rId3" Type="http://schemas.openxmlformats.org/officeDocument/2006/relationships/image" Target="../media/image5.png"/><Relationship Id="rId21" Type="http://schemas.openxmlformats.org/officeDocument/2006/relationships/hyperlink" Target="https://sanitaerlernen.ch/0_Datenbank/1_Auftraege/1.Semester/1.3_Auftrag.pdf" TargetMode="External"/><Relationship Id="rId7" Type="http://schemas.openxmlformats.org/officeDocument/2006/relationships/image" Target="../media/image8.svg"/><Relationship Id="rId12" Type="http://schemas.openxmlformats.org/officeDocument/2006/relationships/hyperlink" Target="https://sanitaerlernen.ch/0_Datenbank/1_Auftraege/1.Semester/1.5_Auftrag.pdf" TargetMode="External"/><Relationship Id="rId17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1873642d-4d83-4e72-8cfb-3b42407d3254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2" Type="http://schemas.openxmlformats.org/officeDocument/2006/relationships/image" Target="../media/image4.svg"/><Relationship Id="rId16" Type="http://schemas.openxmlformats.org/officeDocument/2006/relationships/image" Target="../media/image17.png"/><Relationship Id="rId20" Type="http://schemas.openxmlformats.org/officeDocument/2006/relationships/image" Target="../media/image29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11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VERMASSUNG%2Emp4&amp;ga=1&amp;referrer=StreamWebApp%2EWeb&amp;referrerScenario=AddressBarCopied%2Eview" TargetMode="External"/><Relationship Id="rId5" Type="http://schemas.openxmlformats.org/officeDocument/2006/relationships/hyperlink" Target="https://bldsg.sharepoint.com/:b:/r/teams/SAIb_24-282/Freigegebene%20Dokumente/BKU/Allgemeine%20Unterlagen/Unterrichtsplanung/1.Semester/10_Unterrichtsplanung_SE01_06.11.2024.pdf?csf=1&amp;web=1&amp;e=u8F2n7" TargetMode="External"/><Relationship Id="rId15" Type="http://schemas.openxmlformats.org/officeDocument/2006/relationships/hyperlink" Target="https://bldsg.sharepoint.com/:b:/r/teams/SAIb_25-29/Freigegebene%20Dokumente/BKU/Berufskenntnisse/1.Semester/04_Lernziele_1.Sem/1.5_Lernziele.pdf?csf=1&amp;web=1&amp;e=QPTsMy" TargetMode="External"/><Relationship Id="rId10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BLATT%5FEINSPANNEN%2Emp4&amp;ga=1&amp;referrer=StreamWebApp%2EWeb&amp;referrerScenario=AddressBarCopied%2Eview" TargetMode="External"/><Relationship Id="rId19" Type="http://schemas.openxmlformats.org/officeDocument/2006/relationships/hyperlink" Target="https://forms.office.com/Pages/ResponsePage.aspx?id=vUGvXYwzEUOxsOEpmInDS6N_diUFHRpGlPi0byl-MtNUOEZPUEgzVVYwT1IwNDhCSjNFRFVOQllDVy4u" TargetMode="External"/><Relationship Id="rId4" Type="http://schemas.openxmlformats.org/officeDocument/2006/relationships/image" Target="../media/image6.svg"/><Relationship Id="rId9" Type="http://schemas.openxmlformats.org/officeDocument/2006/relationships/image" Target="../media/image13.png"/><Relationship Id="rId14" Type="http://schemas.openxmlformats.org/officeDocument/2006/relationships/hyperlink" Target="https://sanitaerlernen.ch/0_Datenbank/1_Auftraege/1.Semester/1.2_Auftrag.pdf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28.svg"/><Relationship Id="rId18" Type="http://schemas.openxmlformats.org/officeDocument/2006/relationships/image" Target="../media/image30.png"/><Relationship Id="rId3" Type="http://schemas.openxmlformats.org/officeDocument/2006/relationships/image" Target="../media/image5.png"/><Relationship Id="rId21" Type="http://schemas.openxmlformats.org/officeDocument/2006/relationships/image" Target="../media/image31.png"/><Relationship Id="rId7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2" Type="http://schemas.openxmlformats.org/officeDocument/2006/relationships/image" Target="../media/image27.png"/><Relationship Id="rId17" Type="http://schemas.openxmlformats.org/officeDocument/2006/relationships/hyperlink" Target="https://bldsg.sharepoint.com/:p:/r/teams/SAIb_25-29/Freigegebene%20Dokumente/BKU/Berufskenntnisse/1.Semester/05_Diverses/1.6_Abwasserentsorgung.pptx?d=wd7ff255b28f147d3bc3faeaffffcf101&amp;csf=1&amp;web=1&amp;e=Zry70F" TargetMode="External"/><Relationship Id="rId2" Type="http://schemas.openxmlformats.org/officeDocument/2006/relationships/image" Target="../media/image4.svg"/><Relationship Id="rId16" Type="http://schemas.openxmlformats.org/officeDocument/2006/relationships/image" Target="../media/image21.svg"/><Relationship Id="rId20" Type="http://schemas.openxmlformats.org/officeDocument/2006/relationships/hyperlink" Target="https://edu.suissetec.ch/#doc/11885/20" TargetMode="External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hyperlink" Target="https://learningapps.org/watch?v=p155cmxsa22" TargetMode="External"/><Relationship Id="rId24" Type="http://schemas.openxmlformats.org/officeDocument/2006/relationships/hyperlink" Target="https://sanitaerlernen.ch/0_Datenbank/1_Auftraege/1.Semester/1.2_Auftrag.pdf" TargetMode="External"/><Relationship Id="rId5" Type="http://schemas.openxmlformats.org/officeDocument/2006/relationships/image" Target="../media/image7.png"/><Relationship Id="rId15" Type="http://schemas.openxmlformats.org/officeDocument/2006/relationships/image" Target="../media/image20.png"/><Relationship Id="rId23" Type="http://schemas.openxmlformats.org/officeDocument/2006/relationships/hyperlink" Target="https://www.youtube.com/watch?v=EPuiQvRkowA" TargetMode="External"/><Relationship Id="rId10" Type="http://schemas.openxmlformats.org/officeDocument/2006/relationships/image" Target="../media/image9.png"/><Relationship Id="rId19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SINN%5FISOMETRIE%2Emp4&amp;ga=1&amp;referrer=StreamWebApp%2EWeb&amp;referrerScenario=AddressBarCopied%2Eview" TargetMode="External"/><Relationship Id="rId4" Type="http://schemas.openxmlformats.org/officeDocument/2006/relationships/image" Target="../media/image6.svg"/><Relationship Id="rId9" Type="http://schemas.openxmlformats.org/officeDocument/2006/relationships/hyperlink" Target="https://sanitaerlernen.ch/0_Datenbank/1_Auftraege/1.Semester/1.6_Auftrag.pdf" TargetMode="External"/><Relationship Id="rId14" Type="http://schemas.openxmlformats.org/officeDocument/2006/relationships/hyperlink" Target="https://bldsg.sharepoint.com/:b:/r/teams/SAIb_25-29/Freigegebene%20Dokumente/BKU/Berufskenntnisse/1.Semester/05_Diverses/Partnerinterview%20Abwasser%201.6.pdf?csf=1&amp;web=1&amp;e=1hDbhZ" TargetMode="External"/><Relationship Id="rId22" Type="http://schemas.openxmlformats.org/officeDocument/2006/relationships/hyperlink" Target="https://www.youtube.com/watch?v=94-kmRrmldY" TargetMode="Externa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hyperlink" Target="https://www.youtube.com/watch?v=nKGCtVcCTqE" TargetMode="External"/><Relationship Id="rId18" Type="http://schemas.openxmlformats.org/officeDocument/2006/relationships/hyperlink" Target="https://sanitaerlernen.ch/0_Datenbank/1_Auftraege/1.Semester/1.2_Auftrag.pdf" TargetMode="External"/><Relationship Id="rId3" Type="http://schemas.openxmlformats.org/officeDocument/2006/relationships/image" Target="../media/image5.png"/><Relationship Id="rId7" Type="http://schemas.openxmlformats.org/officeDocument/2006/relationships/hyperlink" Target="https://bldsg.sharepoint.com/:x:/r/teams/SAIb_25-29/Freigegebene%20Dokumente/BKU/Berufskenntnisse/1.Semester/05_Diverses/1.6_Gruppenarbeit_Entw%C3%A4sserungssysteme.xlsm?d=w7fd13ab3b801449b8ae1b5c343084c36&amp;csf=1&amp;web=1&amp;e=V8dWc5" TargetMode="External"/><Relationship Id="rId12" Type="http://schemas.openxmlformats.org/officeDocument/2006/relationships/hyperlink" Target="https://www.youtube.com/watch?v=75zpPNhX_F0" TargetMode="External"/><Relationship Id="rId17" Type="http://schemas.openxmlformats.org/officeDocument/2006/relationships/hyperlink" Target="https://www.youtube.com/watch?v=fkBKl9foMbY" TargetMode="External"/><Relationship Id="rId2" Type="http://schemas.openxmlformats.org/officeDocument/2006/relationships/image" Target="../media/image4.svg"/><Relationship Id="rId16" Type="http://schemas.openxmlformats.org/officeDocument/2006/relationships/image" Target="../media/image9.png"/><Relationship Id="rId20" Type="http://schemas.openxmlformats.org/officeDocument/2006/relationships/image" Target="../media/image12.pn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hyperlink" Target="https://sanitaerlernen.ch/0_Datenbank/1_Auftraege/1.Semester/1.6_Auftrag.pdf" TargetMode="External"/><Relationship Id="rId10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9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fca1a4f2-486d-41d1-ac0f-a88363a0548b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4" Type="http://schemas.openxmlformats.org/officeDocument/2006/relationships/image" Target="../media/image6.svg"/><Relationship Id="rId9" Type="http://schemas.openxmlformats.org/officeDocument/2006/relationships/image" Target="../media/image21.svg"/><Relationship Id="rId14" Type="http://schemas.openxmlformats.org/officeDocument/2006/relationships/hyperlink" Target="https://studyflix.de/chemie/polyethylen-2999" TargetMode="Externa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hyperlink" Target="https://www.youtube.com/watch?v=nKGCtVcCTqE" TargetMode="External"/><Relationship Id="rId18" Type="http://schemas.openxmlformats.org/officeDocument/2006/relationships/hyperlink" Target="https://sanitaerlernen.ch/0_Datenbank/1_Auftraege/1.Semester/1.2_Auftrag.pdf" TargetMode="External"/><Relationship Id="rId3" Type="http://schemas.openxmlformats.org/officeDocument/2006/relationships/image" Target="../media/image5.png"/><Relationship Id="rId7" Type="http://schemas.openxmlformats.org/officeDocument/2006/relationships/hyperlink" Target="https://bldsg.sharepoint.com/:x:/r/teams/SAIb_25-29/Freigegebene%20Dokumente/BKU/Berufskenntnisse/1.Semester/05_Diverses/1.6_Gruppenarbeit_Entw%C3%A4sserungssysteme.xlsm?d=w7fd13ab3b801449b8ae1b5c343084c36&amp;csf=1&amp;web=1&amp;e=V8dWc5" TargetMode="External"/><Relationship Id="rId12" Type="http://schemas.openxmlformats.org/officeDocument/2006/relationships/hyperlink" Target="https://www.youtube.com/watch?v=75zpPNhX_F0" TargetMode="External"/><Relationship Id="rId17" Type="http://schemas.openxmlformats.org/officeDocument/2006/relationships/hyperlink" Target="https://www.youtube.com/watch?v=fkBKl9foMbY" TargetMode="External"/><Relationship Id="rId2" Type="http://schemas.openxmlformats.org/officeDocument/2006/relationships/image" Target="../media/image4.svg"/><Relationship Id="rId16" Type="http://schemas.openxmlformats.org/officeDocument/2006/relationships/image" Target="../media/image9.png"/><Relationship Id="rId20" Type="http://schemas.openxmlformats.org/officeDocument/2006/relationships/image" Target="../media/image12.pn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hyperlink" Target="https://sanitaerlernen.ch/0_Datenbank/1_Auftraege/1.Semester/1.6_Auftrag.pdf" TargetMode="External"/><Relationship Id="rId10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9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fca1a4f2-486d-41d1-ac0f-a88363a0548b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4" Type="http://schemas.openxmlformats.org/officeDocument/2006/relationships/image" Target="../media/image6.svg"/><Relationship Id="rId9" Type="http://schemas.openxmlformats.org/officeDocument/2006/relationships/image" Target="../media/image21.svg"/><Relationship Id="rId14" Type="http://schemas.openxmlformats.org/officeDocument/2006/relationships/hyperlink" Target="https://studyflix.de/chemie/polyethylen-2999" TargetMode="Externa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hyperlink" Target="https://sanitaerlernen.ch/0_Datenbank/1_Auftraege/1.Semester/1.2_Auftrag.pdf" TargetMode="External"/><Relationship Id="rId3" Type="http://schemas.openxmlformats.org/officeDocument/2006/relationships/image" Target="../media/image5.png"/><Relationship Id="rId7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2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6%5FSYSTEME%5FWAS%2Emp4&amp;ga=1&amp;referrer=StreamWebApp%2EWeb&amp;referrerScenario=AddressBarCopied%2Eview%2Edc1c38a7%2Dbf0a%2D4851%2D8130%2D35126196e528" TargetMode="External"/><Relationship Id="rId17" Type="http://schemas.openxmlformats.org/officeDocument/2006/relationships/hyperlink" Target="https://sanitaerlernen.ch/0_Datenbank/1_Auftraege/1.Semester/1.6_Auftrag.pdf" TargetMode="External"/><Relationship Id="rId2" Type="http://schemas.openxmlformats.org/officeDocument/2006/relationships/image" Target="../media/image4.svg"/><Relationship Id="rId16" Type="http://schemas.openxmlformats.org/officeDocument/2006/relationships/image" Target="../media/image12.pn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hyperlink" Target="https://www.youtube.com/watch?v=W0q4dpyTh1U" TargetMode="External"/><Relationship Id="rId5" Type="http://schemas.openxmlformats.org/officeDocument/2006/relationships/image" Target="../media/image7.png"/><Relationship Id="rId15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fca1a4f2-486d-41d1-ac0f-a88363a0548b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10" Type="http://schemas.openxmlformats.org/officeDocument/2006/relationships/hyperlink" Target="https://www.youtube.com/watch?v=LlpriqghMHo" TargetMode="External"/><Relationship Id="rId4" Type="http://schemas.openxmlformats.org/officeDocument/2006/relationships/image" Target="../media/image6.svg"/><Relationship Id="rId9" Type="http://schemas.openxmlformats.org/officeDocument/2006/relationships/hyperlink" Target="https://www.youtube.com/watch?v=6TVy8EjoRD4&amp;list=PLLlESpyU2WvWmTPAjxISeQFvJb_enbaf3" TargetMode="External"/><Relationship Id="rId14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hyperlink" Target="https://www.youtube.com/watch?v=LlpriqghMHo" TargetMode="External"/><Relationship Id="rId18" Type="http://schemas.openxmlformats.org/officeDocument/2006/relationships/image" Target="../media/image17.png"/><Relationship Id="rId3" Type="http://schemas.openxmlformats.org/officeDocument/2006/relationships/image" Target="../media/image5.png"/><Relationship Id="rId21" Type="http://schemas.openxmlformats.org/officeDocument/2006/relationships/hyperlink" Target="https://sanitaerlernen.ch/0_Datenbank/1_Auftraege/1.Semester/1.6_Auftrag.pdf" TargetMode="External"/><Relationship Id="rId7" Type="http://schemas.openxmlformats.org/officeDocument/2006/relationships/hyperlink" Target="https://learningapps.org/watch?v=p387zwbkn22" TargetMode="External"/><Relationship Id="rId12" Type="http://schemas.openxmlformats.org/officeDocument/2006/relationships/hyperlink" Target="https://www.youtube.com/watch?v=6TVy8EjoRD4&amp;list=PLLlESpyU2WvWmTPAjxISeQFvJb_enbaf3" TargetMode="External"/><Relationship Id="rId17" Type="http://schemas.openxmlformats.org/officeDocument/2006/relationships/hyperlink" Target="https://bldsg.sharepoint.com/:b:/r/teams/SAIb_25-29/Freigegebene%20Dokumente/BKU/Berufskenntnisse/1.Semester/04_Lernziele_1.Sem/1.6_Lernziele.pdf?csf=1&amp;web=1&amp;e=X9ENC9" TargetMode="External"/><Relationship Id="rId25" Type="http://schemas.openxmlformats.org/officeDocument/2006/relationships/image" Target="../media/image12.png"/><Relationship Id="rId2" Type="http://schemas.openxmlformats.org/officeDocument/2006/relationships/image" Target="../media/image4.svg"/><Relationship Id="rId16" Type="http://schemas.openxmlformats.org/officeDocument/2006/relationships/hyperlink" Target="https://bldsg.sharepoint.com/:v:/r/teams/SAIb_24-282/Freigegebene%20Dokumente/BKU/Berufskenntnisse/1.Semester/05_Diverses/1.6_GEWICHTSKRAFT.mp4?csf=1&amp;web=1&amp;e=LjgHG0" TargetMode="External"/><Relationship Id="rId20" Type="http://schemas.openxmlformats.org/officeDocument/2006/relationships/image" Target="../media/image29.pn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image" Target="../media/image13.png"/><Relationship Id="rId24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fca1a4f2-486d-41d1-ac0f-a88363a0548b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5" Type="http://schemas.openxmlformats.org/officeDocument/2006/relationships/image" Target="../media/image7.png"/><Relationship Id="rId15" Type="http://schemas.openxmlformats.org/officeDocument/2006/relationships/hyperlink" Target="https://bldsg-my.sharepoint.com/personal/marcel_item_gbssg_ch/_layouts/15/stream.aspx?id=%2Fpersonal%2Fmarcel_item_gbssg_ch%2FDocuments%2F1_Sanit%C3%A4rinstallateure%2F2_Unterrichtsmaterial_EFZ%2F2_Dateien_Medien%2F1%2E6_FORMELBUCH%2Emp4&amp;ga=1&amp;" TargetMode="External"/><Relationship Id="rId23" Type="http://schemas.openxmlformats.org/officeDocument/2006/relationships/hyperlink" Target="https://sanitaerlernen.ch/0_Datenbank/1_Auftraege/1.Semester/1.2_Auftrag.pdf" TargetMode="External"/><Relationship Id="rId10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9" Type="http://schemas.openxmlformats.org/officeDocument/2006/relationships/hyperlink" Target="https://forms.office.com/Pages/ResponsePage.aspx?id=vUGvXYwzEUOxsOEpmInDSwfXQNWBtRdJper4P5g8BsRUMlJRWlRNSk42MDhINzM3V0IwSzlSV1Q2ViQlQCN0PWcu" TargetMode="External"/><Relationship Id="rId4" Type="http://schemas.openxmlformats.org/officeDocument/2006/relationships/image" Target="../media/image6.svg"/><Relationship Id="rId9" Type="http://schemas.openxmlformats.org/officeDocument/2006/relationships/image" Target="../media/image28.svg"/><Relationship Id="rId14" Type="http://schemas.openxmlformats.org/officeDocument/2006/relationships/hyperlink" Target="https://www.youtube.com/watch?v=W0q4dpyTh1U" TargetMode="External"/><Relationship Id="rId22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hyperlink" Target="https://www.youtube.com/watch?v=W0q4dpyTh1U" TargetMode="External"/><Relationship Id="rId18" Type="http://schemas.openxmlformats.org/officeDocument/2006/relationships/hyperlink" Target="https://sanitaerlernen.ch/0_Datenbank/1_Auftraege/1.Semester/1.2_Auftrag.pdf" TargetMode="External"/><Relationship Id="rId3" Type="http://schemas.openxmlformats.org/officeDocument/2006/relationships/image" Target="../media/image5.png"/><Relationship Id="rId21" Type="http://schemas.openxmlformats.org/officeDocument/2006/relationships/image" Target="../media/image17.png"/><Relationship Id="rId7" Type="http://schemas.openxmlformats.org/officeDocument/2006/relationships/hyperlink" Target="https://bldsg.sharepoint.com/:b:/r/teams/SAIb_25-29/Freigegebene%20Dokumente/BKU/Berufskenntnisse/1.Semester/05_Diverses/1.8_Entw%C3%A4sserungsgegenst%C3%A4nde_leer.pdf?csf=1&amp;web=1&amp;e=zSwcHT" TargetMode="External"/><Relationship Id="rId12" Type="http://schemas.openxmlformats.org/officeDocument/2006/relationships/hyperlink" Target="https://www.youtube.com/watch?v=kofd4y2Q_cA" TargetMode="External"/><Relationship Id="rId17" Type="http://schemas.openxmlformats.org/officeDocument/2006/relationships/image" Target="../media/image12.png"/><Relationship Id="rId2" Type="http://schemas.openxmlformats.org/officeDocument/2006/relationships/image" Target="../media/image4.svg"/><Relationship Id="rId16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575dd50c-f2b1-4dd6-9181-76387f64358d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20" Type="http://schemas.openxmlformats.org/officeDocument/2006/relationships/hyperlink" Target="https://bldsg.sharepoint.com/:b:/r/teams/SAIb_25-29/Freigegebene%20Dokumente/BKU/Berufskenntnisse/1.Semester/04_Lernziele_1.Sem/1.6_Lernziele.pdf?csf=1&amp;web=1&amp;e=X9ENC9" TargetMode="External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hyperlink" Target="https://www.youtube.com/watch?v=M8AubiTJozk" TargetMode="External"/><Relationship Id="rId5" Type="http://schemas.openxmlformats.org/officeDocument/2006/relationships/image" Target="../media/image7.png"/><Relationship Id="rId15" Type="http://schemas.openxmlformats.org/officeDocument/2006/relationships/image" Target="../media/image9.png"/><Relationship Id="rId10" Type="http://schemas.openxmlformats.org/officeDocument/2006/relationships/image" Target="../media/image13.png"/><Relationship Id="rId19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fca1a4f2-486d-41d1-ac0f-a88363a0548b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4" Type="http://schemas.openxmlformats.org/officeDocument/2006/relationships/image" Target="../media/image6.svg"/><Relationship Id="rId9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4" Type="http://schemas.openxmlformats.org/officeDocument/2006/relationships/hyperlink" Target="https://sanitaerlernen.ch/0_Datenbank/1_Auftraege/1.Semester/1.8_Auftrag.pdf" TargetMode="Externa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hyperlink" Target="https://bldsg.sharepoint.com/:b:/r/teams/SAIb_25-29/Freigegebene%20Dokumente/BKU/Berufskenntnisse/1.Semester/04_Lernziele_1.Sem/1.2_Lernziele.pdf?csf=1&amp;web=1&amp;e=0XJrBZ" TargetMode="External"/><Relationship Id="rId18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fca1a4f2-486d-41d1-ac0f-a88363a0548b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3" Type="http://schemas.openxmlformats.org/officeDocument/2006/relationships/image" Target="../media/image5.png"/><Relationship Id="rId7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2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8%5FSP%C3%9CLMENGE%2Emp4&amp;ga=1&amp;referrer=StreamWebApp%2EWeb&amp;referrerScenario=AddressBarCopied%2Eview%2Ec8c39527%2D534c%2D45dd%2D924c%2D68902e7decf4" TargetMode="External"/><Relationship Id="rId17" Type="http://schemas.openxmlformats.org/officeDocument/2006/relationships/image" Target="../media/image9.png"/><Relationship Id="rId2" Type="http://schemas.openxmlformats.org/officeDocument/2006/relationships/image" Target="../media/image4.svg"/><Relationship Id="rId16" Type="http://schemas.openxmlformats.org/officeDocument/2006/relationships/hyperlink" Target="https://sanitaerlernen.ch/0_Datenbank/1_Auftraege/1.Semester/1.2_Auftrag.pdf" TargetMode="External"/><Relationship Id="rId20" Type="http://schemas.openxmlformats.org/officeDocument/2006/relationships/hyperlink" Target="https://sanitaerlernen.ch/0_Datenbank/1_Auftraege/1.Semester/1.8_Auftrag.pdf" TargetMode="External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hyperlink" Target="https://www.youtube.com/watch?v=W0q4dpyTh1U" TargetMode="External"/><Relationship Id="rId5" Type="http://schemas.openxmlformats.org/officeDocument/2006/relationships/image" Target="../media/image7.png"/><Relationship Id="rId15" Type="http://schemas.openxmlformats.org/officeDocument/2006/relationships/hyperlink" Target="https://bldsg.sharepoint.com/:b:/r/teams/SAIb_24-282/Freigegebene%20Dokumente/BKU/Berufskenntnisse/1.Semester/04_Lernziele_1.Sem/1.2_Lernziele.pdf?csf=1&amp;web=1&amp;e=Vwix4e" TargetMode="External"/><Relationship Id="rId10" Type="http://schemas.openxmlformats.org/officeDocument/2006/relationships/hyperlink" Target="https://www.youtube.com/watch?v=kofd4y2Q_cA" TargetMode="External"/><Relationship Id="rId19" Type="http://schemas.openxmlformats.org/officeDocument/2006/relationships/image" Target="../media/image12.png"/><Relationship Id="rId4" Type="http://schemas.openxmlformats.org/officeDocument/2006/relationships/image" Target="../media/image6.svg"/><Relationship Id="rId9" Type="http://schemas.openxmlformats.org/officeDocument/2006/relationships/hyperlink" Target="https://www.youtube.com/watch?v=M8AubiTJozk" TargetMode="External"/><Relationship Id="rId14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34.png"/><Relationship Id="rId18" Type="http://schemas.openxmlformats.org/officeDocument/2006/relationships/hyperlink" Target="https://forms.office.com/Pages/ResponsePage.aspx?id=vUGvXYwzEUOxsOEpmInDS6N_diUFHRpGlPi0byl-MtNUN1VDOVJNWlFIMjNHR004SDAwRlpNVkJQNy4u" TargetMode="External"/><Relationship Id="rId26" Type="http://schemas.openxmlformats.org/officeDocument/2006/relationships/image" Target="../media/image17.png"/><Relationship Id="rId3" Type="http://schemas.openxmlformats.org/officeDocument/2006/relationships/image" Target="../media/image5.png"/><Relationship Id="rId21" Type="http://schemas.openxmlformats.org/officeDocument/2006/relationships/image" Target="../media/image9.png"/><Relationship Id="rId7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2" Type="http://schemas.openxmlformats.org/officeDocument/2006/relationships/image" Target="../media/image33.svg"/><Relationship Id="rId17" Type="http://schemas.openxmlformats.org/officeDocument/2006/relationships/image" Target="../media/image37.svg"/><Relationship Id="rId25" Type="http://schemas.openxmlformats.org/officeDocument/2006/relationships/hyperlink" Target="https://bldsg.sharepoint.com/:b:/r/teams/SAIb_25-29/Freigegebene%20Dokumente/BKU/Berufskenntnisse/1.Semester/04_Lernziele_1.Sem/1.2_Lernziele.pdf?csf=1&amp;web=1&amp;e=0XJrBZ" TargetMode="External"/><Relationship Id="rId2" Type="http://schemas.openxmlformats.org/officeDocument/2006/relationships/image" Target="../media/image4.svg"/><Relationship Id="rId16" Type="http://schemas.openxmlformats.org/officeDocument/2006/relationships/image" Target="../media/image36.png"/><Relationship Id="rId20" Type="http://schemas.openxmlformats.org/officeDocument/2006/relationships/hyperlink" Target="https://sanitaerlernen.ch/0_Datenbank/1_Auftraege/1.Semester/1.8_Auftrag.pdf" TargetMode="External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image" Target="../media/image32.png"/><Relationship Id="rId24" Type="http://schemas.openxmlformats.org/officeDocument/2006/relationships/image" Target="../media/image12.png"/><Relationship Id="rId5" Type="http://schemas.openxmlformats.org/officeDocument/2006/relationships/image" Target="../media/image7.png"/><Relationship Id="rId15" Type="http://schemas.openxmlformats.org/officeDocument/2006/relationships/hyperlink" Target="https://bldsg.sharepoint.com/:b:/r/teams/SAIb_25-29/Freigegebene%20Dokumente/BKU/Berufskenntnisse/1.Semester/05_Diverses/1.8_Marktplatz%20Sp%C3%BClsysteme.pdf?csf=1&amp;web=1&amp;e=CaHm2B" TargetMode="External"/><Relationship Id="rId23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fca1a4f2-486d-41d1-ac0f-a88363a0548b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10" Type="http://schemas.openxmlformats.org/officeDocument/2006/relationships/hyperlink" Target="https://www.youtube.com/watch?v=W0q4dpyTh1U" TargetMode="External"/><Relationship Id="rId19" Type="http://schemas.openxmlformats.org/officeDocument/2006/relationships/image" Target="../media/image38.png"/><Relationship Id="rId4" Type="http://schemas.openxmlformats.org/officeDocument/2006/relationships/image" Target="../media/image6.svg"/><Relationship Id="rId9" Type="http://schemas.openxmlformats.org/officeDocument/2006/relationships/hyperlink" Target="https://www.youtube.com/watch?v=bgffXeThm0w" TargetMode="External"/><Relationship Id="rId14" Type="http://schemas.openxmlformats.org/officeDocument/2006/relationships/image" Target="../media/image35.svg"/><Relationship Id="rId22" Type="http://schemas.openxmlformats.org/officeDocument/2006/relationships/hyperlink" Target="https://sanitaerlernen.ch/0_Datenbank/1_Auftraege/1.Semester/1.2_Auftrag.pdf" TargetMode="External"/><Relationship Id="rId27" Type="http://schemas.openxmlformats.org/officeDocument/2006/relationships/hyperlink" Target="https://bldsg.sharepoint.com/:b:/r/teams/SAIb_24-282/Freigegebene%20Dokumente/BKU/Berufskenntnisse/1.Semester/04_Lernziele_1.Sem/1.2_Lernziele.pdf?csf=1&amp;web=1&amp;e=Vwix4e" TargetMode="Externa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1.Semester/1.9_Auftrag.pdf" TargetMode="External"/><Relationship Id="rId13" Type="http://schemas.openxmlformats.org/officeDocument/2006/relationships/hyperlink" Target="https://bldsg.sharepoint.com/:v:/r/teams/SAIb_23-27/Freigegebene%20Dokumente/BKU/Berufskenntnisse/1.Semester/05_Diverses/1.9_KUNSTSTOFF_UMWELT_PET.mp4?csf=1&amp;web=1&amp;e=bOKieY" TargetMode="External"/><Relationship Id="rId18" Type="http://schemas.openxmlformats.org/officeDocument/2006/relationships/image" Target="../media/image12.png"/><Relationship Id="rId3" Type="http://schemas.openxmlformats.org/officeDocument/2006/relationships/image" Target="../media/image5.png"/><Relationship Id="rId7" Type="http://schemas.openxmlformats.org/officeDocument/2006/relationships/image" Target="../media/image8.svg"/><Relationship Id="rId12" Type="http://schemas.openxmlformats.org/officeDocument/2006/relationships/hyperlink" Target="https://www.youtube.com/watch?v=W0q4dpyTh1U" TargetMode="External"/><Relationship Id="rId17" Type="http://schemas.openxmlformats.org/officeDocument/2006/relationships/hyperlink" Target="https://teams.microsoft.com/l/entity/66aeee93-507d-479a-a3ef-8f494af43945/classroom?context=%7B%22subEntityId%22%3A%22%7B%5C%22version%5C%22%3A%5C%221.0%5C%22%2C%5C%22config%5C%22%3A%7B%5C%22classes%5C%22%3A%5B%7B%5C%22id%5C%22%3A%5C%221f809689-a588-458b-936b-cf4443fd10dd%5C%22%2C%5C%22assignmentIds%5C%22%3A%5B%5C%2200a73cfc-37f2-4494-8d14-8842d5c31983%5C%22%5D%7D%5D%7D%2C%5C%22action%5C%22%3A%5C%22navigate%5C%22%2C%5C%22view%5C%22%3A%5C%22assignment-viewer%5C%22%2C%5C%22appId%5C%22%3A%5C%22ccb65bcd-04ba-421a-8791-a299a70904b6%5C%22%2C%5C%22deeplinkType%5C%22%3A4%7D%22%2C%22channelId%22%3Anull%7D" TargetMode="External"/><Relationship Id="rId2" Type="http://schemas.openxmlformats.org/officeDocument/2006/relationships/image" Target="../media/image4.svg"/><Relationship Id="rId16" Type="http://schemas.openxmlformats.org/officeDocument/2006/relationships/hyperlink" Target="https://bldsg.sharepoint.com/:b:/r/teams/SAIb_25-29/Freigegebene%20Dokumente/BKU/Berufskenntnisse/1.Semester/01_Lernauftr%C3%A4ge%20%26%20%C3%9Cbungen%201.Sem/1.11_Auftrag.pdf?csf=1&amp;web=1&amp;e=fIAP5Q" TargetMode="External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11" Type="http://schemas.openxmlformats.org/officeDocument/2006/relationships/image" Target="../media/image13.png"/><Relationship Id="rId5" Type="http://schemas.openxmlformats.org/officeDocument/2006/relationships/hyperlink" Target="https://bldsg.sharepoint.com/:b:/r/teams/SAIb_24-282/Freigegebene%20Dokumente/BKU/Allgemeine%20Unterlagen/Unterrichtsplanung/1.Semester/18_Unterrichtsplanung_SE01_15.01.2025.pdf?csf=1&amp;web=1&amp;e=XFJI3M" TargetMode="External"/><Relationship Id="rId15" Type="http://schemas.openxmlformats.org/officeDocument/2006/relationships/image" Target="../media/image39.png"/><Relationship Id="rId10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9" Type="http://schemas.openxmlformats.org/officeDocument/2006/relationships/hyperlink" Target="https://sanitaerlernen.ch/0_Datenbank/1_Auftraege/1.Semester/1.2_Auftrag.pdf" TargetMode="External"/><Relationship Id="rId4" Type="http://schemas.openxmlformats.org/officeDocument/2006/relationships/image" Target="../media/image6.svg"/><Relationship Id="rId9" Type="http://schemas.openxmlformats.org/officeDocument/2006/relationships/image" Target="../media/image9.png"/><Relationship Id="rId14" Type="http://schemas.openxmlformats.org/officeDocument/2006/relationships/hyperlink" Target="https://petrecycling.ch/" TargetMode="Externa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40.png"/><Relationship Id="rId18" Type="http://schemas.openxmlformats.org/officeDocument/2006/relationships/image" Target="../media/image44.svg"/><Relationship Id="rId3" Type="http://schemas.openxmlformats.org/officeDocument/2006/relationships/image" Target="../media/image5.png"/><Relationship Id="rId21" Type="http://schemas.openxmlformats.org/officeDocument/2006/relationships/hyperlink" Target="https://sanitaerlernen.ch/0_Datenbank/1_Auftraege/1.Semester/1.9_Auftrag.pdf" TargetMode="External"/><Relationship Id="rId7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2%5FNORMALPROJEKTION%2Emp4&amp;ga=1&amp;referrer=StreamWebApp%2EWeb&amp;referrerScenario=AddressBarCopied%2Eview" TargetMode="External"/><Relationship Id="rId12" Type="http://schemas.openxmlformats.org/officeDocument/2006/relationships/hyperlink" Target="https://www.suva.ch/de-ch/praevention/nach-gefahren/gefaehrliche-materialien-strahlungen-und-situationen/asbest/asbesthaus?sc_lang=de-ch#/house" TargetMode="External"/><Relationship Id="rId17" Type="http://schemas.openxmlformats.org/officeDocument/2006/relationships/image" Target="../media/image43.png"/><Relationship Id="rId2" Type="http://schemas.openxmlformats.org/officeDocument/2006/relationships/image" Target="../media/image4.svg"/><Relationship Id="rId16" Type="http://schemas.openxmlformats.org/officeDocument/2006/relationships/image" Target="../media/image42.svg"/><Relationship Id="rId20" Type="http://schemas.openxmlformats.org/officeDocument/2006/relationships/image" Target="../media/image9.pn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hyperlink" Target="https://bldsg.sharepoint.com/:v:/r/teams/SAIb_23-27/Freigegebene%20Dokumente/BKU/Berufskenntnisse/1.Semester/05_Diverses/suva-lebenswichtige_regeln-asbest-alle_regeln-de.mp4%20(720p).mp4?csf=1&amp;web=1&amp;e=iSybBI" TargetMode="External"/><Relationship Id="rId5" Type="http://schemas.openxmlformats.org/officeDocument/2006/relationships/image" Target="../media/image7.png"/><Relationship Id="rId15" Type="http://schemas.openxmlformats.org/officeDocument/2006/relationships/image" Target="../media/image41.png"/><Relationship Id="rId10" Type="http://schemas.openxmlformats.org/officeDocument/2006/relationships/hyperlink" Target="https://bldsg-my.sharepoint.com/personal/marcel_item_gbssg_ch/_layouts/15/stream.aspx?id=%2Fpersonal%2Fmarcel%5Fitem%5Fgbssg%5Fch%2FDocuments%2F1%5FSanit%C3%A4rinstallateure%2F2%5FUnterrichtsmaterial%5FEFZ%2F2%5FDateien%5FMedien%2F1%2E9%5FAsbest%2Emp4&amp;ga=1&amp;referrer=StreamWebApp%2EWeb&amp;referrerScenario=AddressBarCopied%2Eview" TargetMode="External"/><Relationship Id="rId19" Type="http://schemas.openxmlformats.org/officeDocument/2006/relationships/hyperlink" Target="https://bldsg.sharepoint.com/:b:/r/teams/SAIb_25-29/Freigegebene%20Dokumente/BKU/Berufskenntnisse/1.Semester/01_Lernauftr%C3%A4ge%20%26%20%C3%9Cbungen%201.Sem/1.11_Auftrag.pdf?csf=1&amp;web=1&amp;e=fIAP5Q" TargetMode="External"/><Relationship Id="rId4" Type="http://schemas.openxmlformats.org/officeDocument/2006/relationships/image" Target="../media/image6.svg"/><Relationship Id="rId9" Type="http://schemas.openxmlformats.org/officeDocument/2006/relationships/hyperlink" Target="https://www.youtube.com/watch?v=W0q4dpyTh1U" TargetMode="External"/><Relationship Id="rId14" Type="http://schemas.openxmlformats.org/officeDocument/2006/relationships/hyperlink" Target="https://lernprogramme-lwr.suva.ch/ASB/de/01_aus-dem-leben-gerissen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689415</xdr:colOff>
      <xdr:row>4</xdr:row>
      <xdr:rowOff>85725</xdr:rowOff>
    </xdr:from>
    <xdr:ext cx="319087" cy="330200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043CA1-6530-427D-A499-AB0D91B8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2415" y="822325"/>
          <a:ext cx="319087" cy="330200"/>
        </a:xfrm>
        <a:prstGeom prst="rect">
          <a:avLst/>
        </a:prstGeom>
      </xdr:spPr>
    </xdr:pic>
    <xdr:clientData/>
  </xdr:oneCellAnchor>
  <xdr:oneCellAnchor>
    <xdr:from>
      <xdr:col>4</xdr:col>
      <xdr:colOff>41714</xdr:colOff>
      <xdr:row>4</xdr:row>
      <xdr:rowOff>66676</xdr:rowOff>
    </xdr:from>
    <xdr:ext cx="327660" cy="322580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711862-5ABE-48AD-B39D-834352E09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8314" y="803276"/>
          <a:ext cx="327660" cy="322580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4</xdr:row>
      <xdr:rowOff>66676</xdr:rowOff>
    </xdr:from>
    <xdr:ext cx="323850" cy="322580"/>
    <xdr:pic>
      <xdr:nvPicPr>
        <xdr:cNvPr id="4" name="Grafik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15AEEC-39E8-4551-B990-2895D8DC0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803276"/>
          <a:ext cx="323850" cy="322580"/>
        </a:xfrm>
        <a:prstGeom prst="rect">
          <a:avLst/>
        </a:prstGeom>
      </xdr:spPr>
    </xdr:pic>
    <xdr:clientData/>
  </xdr:oneCellAnchor>
  <xdr:oneCellAnchor>
    <xdr:from>
      <xdr:col>9</xdr:col>
      <xdr:colOff>28576</xdr:colOff>
      <xdr:row>4</xdr:row>
      <xdr:rowOff>47626</xdr:rowOff>
    </xdr:from>
    <xdr:ext cx="333375" cy="339725"/>
    <xdr:pic>
      <xdr:nvPicPr>
        <xdr:cNvPr id="5" name="Grafik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F6E272-2A3B-4188-B548-86BC5FCF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6" y="784226"/>
          <a:ext cx="333375" cy="339725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22</xdr:row>
      <xdr:rowOff>57151</xdr:rowOff>
    </xdr:from>
    <xdr:ext cx="323850" cy="326390"/>
    <xdr:pic>
      <xdr:nvPicPr>
        <xdr:cNvPr id="6" name="Grafik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9D933D4-E25B-40CD-BC02-6A10BCDB9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1" y="4108451"/>
          <a:ext cx="323850" cy="326390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22</xdr:row>
      <xdr:rowOff>57151</xdr:rowOff>
    </xdr:from>
    <xdr:ext cx="323850" cy="326390"/>
    <xdr:pic>
      <xdr:nvPicPr>
        <xdr:cNvPr id="7" name="Grafik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7670EBB-7169-462C-929B-3839A4A91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108451"/>
          <a:ext cx="323850" cy="32639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</xdr:row>
      <xdr:rowOff>47625</xdr:rowOff>
    </xdr:from>
    <xdr:ext cx="323850" cy="339725"/>
    <xdr:pic>
      <xdr:nvPicPr>
        <xdr:cNvPr id="8" name="Grafik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2EEBAE0-35AA-41AF-B8A0-F8BDB4845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5756275"/>
          <a:ext cx="323850" cy="339725"/>
        </a:xfrm>
        <a:prstGeom prst="rect">
          <a:avLst/>
        </a:prstGeom>
      </xdr:spPr>
    </xdr:pic>
    <xdr:clientData/>
  </xdr:oneCellAnchor>
  <xdr:oneCellAnchor>
    <xdr:from>
      <xdr:col>7</xdr:col>
      <xdr:colOff>9525</xdr:colOff>
      <xdr:row>31</xdr:row>
      <xdr:rowOff>47625</xdr:rowOff>
    </xdr:from>
    <xdr:ext cx="316230" cy="339725"/>
    <xdr:pic>
      <xdr:nvPicPr>
        <xdr:cNvPr id="9" name="Grafik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4A59024-0986-4993-B72D-1987DD90A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3575" y="5756275"/>
          <a:ext cx="316230" cy="339725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31</xdr:row>
      <xdr:rowOff>47625</xdr:rowOff>
    </xdr:from>
    <xdr:ext cx="316230" cy="339725"/>
    <xdr:pic>
      <xdr:nvPicPr>
        <xdr:cNvPr id="10" name="Grafik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49483AE-B10E-4C48-A689-C19DD8191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5756275"/>
          <a:ext cx="316230" cy="339725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13</xdr:row>
      <xdr:rowOff>47625</xdr:rowOff>
    </xdr:from>
    <xdr:ext cx="316230" cy="339725"/>
    <xdr:pic>
      <xdr:nvPicPr>
        <xdr:cNvPr id="11" name="Grafik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2C0207D-EEC3-4ABA-806D-BC022289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2441575"/>
          <a:ext cx="316230" cy="339725"/>
        </a:xfrm>
        <a:prstGeom prst="rect">
          <a:avLst/>
        </a:prstGeom>
      </xdr:spPr>
    </xdr:pic>
    <xdr:clientData/>
  </xdr:oneCellAnchor>
  <xdr:oneCellAnchor>
    <xdr:from>
      <xdr:col>21</xdr:col>
      <xdr:colOff>694765</xdr:colOff>
      <xdr:row>6</xdr:row>
      <xdr:rowOff>56030</xdr:rowOff>
    </xdr:from>
    <xdr:ext cx="319087" cy="330200"/>
    <xdr:pic>
      <xdr:nvPicPr>
        <xdr:cNvPr id="12" name="Grafik 1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4E9A14E-ED03-47F6-B676-F6F6B4BAC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9059" y="1255059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696311</xdr:colOff>
      <xdr:row>8</xdr:row>
      <xdr:rowOff>59121</xdr:rowOff>
    </xdr:from>
    <xdr:ext cx="319087" cy="330200"/>
    <xdr:pic>
      <xdr:nvPicPr>
        <xdr:cNvPr id="13" name="Grafik 1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AF02E71-95A7-4E84-BD80-EC023EDF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4363" y="1727638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687457</xdr:colOff>
      <xdr:row>10</xdr:row>
      <xdr:rowOff>66260</xdr:rowOff>
    </xdr:from>
    <xdr:ext cx="319087" cy="330200"/>
    <xdr:pic>
      <xdr:nvPicPr>
        <xdr:cNvPr id="14" name="Grafik 1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A0E711A-76FC-4F5E-8933-B315D7E3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4674" y="2244586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687295</xdr:colOff>
      <xdr:row>12</xdr:row>
      <xdr:rowOff>67235</xdr:rowOff>
    </xdr:from>
    <xdr:ext cx="319087" cy="330200"/>
    <xdr:pic>
      <xdr:nvPicPr>
        <xdr:cNvPr id="15" name="Grafik 1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7C53117-B6C8-4799-BCA8-64F0178F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1471" y="2719294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694765</xdr:colOff>
      <xdr:row>14</xdr:row>
      <xdr:rowOff>44823</xdr:rowOff>
    </xdr:from>
    <xdr:ext cx="319087" cy="330200"/>
    <xdr:pic>
      <xdr:nvPicPr>
        <xdr:cNvPr id="16" name="Grafik 1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7177F31-0D62-4E8E-BE95-6C2E5520D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9059" y="3126441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694765</xdr:colOff>
      <xdr:row>16</xdr:row>
      <xdr:rowOff>67235</xdr:rowOff>
    </xdr:from>
    <xdr:ext cx="319087" cy="330200"/>
    <xdr:pic>
      <xdr:nvPicPr>
        <xdr:cNvPr id="17" name="Grafik 1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C930CB7-40A7-4470-892B-7DFA000FA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0" y="3597088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687456</xdr:colOff>
      <xdr:row>18</xdr:row>
      <xdr:rowOff>57978</xdr:rowOff>
    </xdr:from>
    <xdr:ext cx="319087" cy="330200"/>
    <xdr:pic>
      <xdr:nvPicPr>
        <xdr:cNvPr id="18" name="Grafik 1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D789C5B-1084-4EDB-B6AD-CA7148D61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2652" y="4141304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687457</xdr:colOff>
      <xdr:row>20</xdr:row>
      <xdr:rowOff>82826</xdr:rowOff>
    </xdr:from>
    <xdr:ext cx="319087" cy="330200"/>
    <xdr:pic>
      <xdr:nvPicPr>
        <xdr:cNvPr id="19" name="Grafik 1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7B4DB34-2F89-443F-A3A5-B3E6BAE90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2653" y="4646543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687456</xdr:colOff>
      <xdr:row>22</xdr:row>
      <xdr:rowOff>74543</xdr:rowOff>
    </xdr:from>
    <xdr:ext cx="319087" cy="330200"/>
    <xdr:pic>
      <xdr:nvPicPr>
        <xdr:cNvPr id="20" name="Grafik 19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D1293F3-1171-4970-BB25-A8C992F09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2652" y="5118652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687456</xdr:colOff>
      <xdr:row>24</xdr:row>
      <xdr:rowOff>49696</xdr:rowOff>
    </xdr:from>
    <xdr:ext cx="319087" cy="330200"/>
    <xdr:pic>
      <xdr:nvPicPr>
        <xdr:cNvPr id="21" name="Grafik 20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DC4EA65-9ACD-4857-931B-C77A81524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2652" y="5574196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704850</xdr:colOff>
      <xdr:row>26</xdr:row>
      <xdr:rowOff>66675</xdr:rowOff>
    </xdr:from>
    <xdr:ext cx="319087" cy="330200"/>
    <xdr:pic>
      <xdr:nvPicPr>
        <xdr:cNvPr id="22" name="Grafik 2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4821415-2E1F-4D0E-9B4E-7A19E891A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0" y="6019800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695325</xdr:colOff>
      <xdr:row>28</xdr:row>
      <xdr:rowOff>57150</xdr:rowOff>
    </xdr:from>
    <xdr:ext cx="319087" cy="330200"/>
    <xdr:pic>
      <xdr:nvPicPr>
        <xdr:cNvPr id="23" name="Grafik 22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7F3CAD3-65DE-4742-BFB2-E2FC44F2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7975" y="6486525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704850</xdr:colOff>
      <xdr:row>30</xdr:row>
      <xdr:rowOff>66675</xdr:rowOff>
    </xdr:from>
    <xdr:ext cx="319087" cy="330200"/>
    <xdr:pic>
      <xdr:nvPicPr>
        <xdr:cNvPr id="24" name="Grafik 2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F5A4ACF4-4DD3-4669-A1AD-01A1596A4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0" y="6972300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685800</xdr:colOff>
      <xdr:row>32</xdr:row>
      <xdr:rowOff>57150</xdr:rowOff>
    </xdr:from>
    <xdr:ext cx="319087" cy="330200"/>
    <xdr:pic>
      <xdr:nvPicPr>
        <xdr:cNvPr id="25" name="Grafik 2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78969725-6BD2-4E94-9FDC-3D1565B2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8450" y="7439025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685800</xdr:colOff>
      <xdr:row>34</xdr:row>
      <xdr:rowOff>76200</xdr:rowOff>
    </xdr:from>
    <xdr:ext cx="319087" cy="330200"/>
    <xdr:pic>
      <xdr:nvPicPr>
        <xdr:cNvPr id="26" name="Grafik 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C76867F9-2AED-4C14-B696-D96AE79A4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8450" y="7934325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695325</xdr:colOff>
      <xdr:row>36</xdr:row>
      <xdr:rowOff>57150</xdr:rowOff>
    </xdr:from>
    <xdr:ext cx="319087" cy="330200"/>
    <xdr:pic>
      <xdr:nvPicPr>
        <xdr:cNvPr id="27" name="Grafik 26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114502BB-0A5E-4ED0-8BCD-9FFBCCA12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7975" y="8391525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704850</xdr:colOff>
      <xdr:row>38</xdr:row>
      <xdr:rowOff>57150</xdr:rowOff>
    </xdr:from>
    <xdr:ext cx="319087" cy="330200"/>
    <xdr:pic>
      <xdr:nvPicPr>
        <xdr:cNvPr id="28" name="Grafik 27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17BD15DD-E5D0-47E4-9521-D6E95AB0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0" y="8867775"/>
          <a:ext cx="319087" cy="330200"/>
        </a:xfrm>
        <a:prstGeom prst="rect">
          <a:avLst/>
        </a:prstGeom>
      </xdr:spPr>
    </xdr:pic>
    <xdr:clientData/>
  </xdr:oneCellAnchor>
  <xdr:oneCellAnchor>
    <xdr:from>
      <xdr:col>21</xdr:col>
      <xdr:colOff>704850</xdr:colOff>
      <xdr:row>40</xdr:row>
      <xdr:rowOff>57150</xdr:rowOff>
    </xdr:from>
    <xdr:ext cx="319087" cy="330200"/>
    <xdr:pic>
      <xdr:nvPicPr>
        <xdr:cNvPr id="29" name="Grafik 28">
          <a:extLst>
            <a:ext uri="{FF2B5EF4-FFF2-40B4-BE49-F238E27FC236}">
              <a16:creationId xmlns:a16="http://schemas.microsoft.com/office/drawing/2014/main" id="{DB03CFDB-A986-4BBC-883B-53FA7092C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0" y="9344025"/>
          <a:ext cx="319087" cy="330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40</xdr:row>
      <xdr:rowOff>32844</xdr:rowOff>
    </xdr:from>
    <xdr:to>
      <xdr:col>3</xdr:col>
      <xdr:colOff>1116506</xdr:colOff>
      <xdr:row>41</xdr:row>
      <xdr:rowOff>164225</xdr:rowOff>
    </xdr:to>
    <xdr:pic>
      <xdr:nvPicPr>
        <xdr:cNvPr id="5" name="Grafik 4" descr="Klemmbrett abgehakt Silhouette">
          <a:extLst>
            <a:ext uri="{FF2B5EF4-FFF2-40B4-BE49-F238E27FC236}">
              <a16:creationId xmlns:a16="http://schemas.microsoft.com/office/drawing/2014/main" id="{D440054F-74F6-B044-A699-B79A77D4B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03939" y="7790792"/>
          <a:ext cx="333148" cy="328449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40</xdr:row>
      <xdr:rowOff>39414</xdr:rowOff>
    </xdr:from>
    <xdr:to>
      <xdr:col>6</xdr:col>
      <xdr:colOff>7124</xdr:colOff>
      <xdr:row>42</xdr:row>
      <xdr:rowOff>6569</xdr:rowOff>
    </xdr:to>
    <xdr:pic>
      <xdr:nvPicPr>
        <xdr:cNvPr id="7" name="Grafik 6" descr="Kommentar (wichtig) Silhouette">
          <a:extLst>
            <a:ext uri="{FF2B5EF4-FFF2-40B4-BE49-F238E27FC236}">
              <a16:creationId xmlns:a16="http://schemas.microsoft.com/office/drawing/2014/main" id="{80CB9DF4-A3D6-88AB-BE86-30D254AF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00501" y="7797362"/>
          <a:ext cx="361293" cy="361293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40</xdr:row>
      <xdr:rowOff>6570</xdr:rowOff>
    </xdr:from>
    <xdr:to>
      <xdr:col>8</xdr:col>
      <xdr:colOff>1116724</xdr:colOff>
      <xdr:row>41</xdr:row>
      <xdr:rowOff>170796</xdr:rowOff>
    </xdr:to>
    <xdr:pic>
      <xdr:nvPicPr>
        <xdr:cNvPr id="9" name="Grafik 8" descr="Fernglas Silhouette">
          <a:extLst>
            <a:ext uri="{FF2B5EF4-FFF2-40B4-BE49-F238E27FC236}">
              <a16:creationId xmlns:a16="http://schemas.microsoft.com/office/drawing/2014/main" id="{49A502BB-6EE7-19BE-0FDD-BC8021784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95240" y="7764518"/>
          <a:ext cx="361294" cy="361294"/>
        </a:xfrm>
        <a:prstGeom prst="rect">
          <a:avLst/>
        </a:prstGeom>
      </xdr:spPr>
    </xdr:pic>
    <xdr:clientData/>
  </xdr:twoCellAnchor>
  <xdr:twoCellAnchor>
    <xdr:from>
      <xdr:col>8</xdr:col>
      <xdr:colOff>44089</xdr:colOff>
      <xdr:row>24</xdr:row>
      <xdr:rowOff>59876</xdr:rowOff>
    </xdr:from>
    <xdr:to>
      <xdr:col>8</xdr:col>
      <xdr:colOff>1066800</xdr:colOff>
      <xdr:row>25</xdr:row>
      <xdr:rowOff>105361</xdr:rowOff>
    </xdr:to>
    <xdr:grpSp>
      <xdr:nvGrpSpPr>
        <xdr:cNvPr id="10" name="Gruppieren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7A99DA-1243-497F-BE65-700AC8954E83}"/>
            </a:ext>
          </a:extLst>
        </xdr:cNvPr>
        <xdr:cNvGrpSpPr/>
      </xdr:nvGrpSpPr>
      <xdr:grpSpPr>
        <a:xfrm>
          <a:off x="5765439" y="4415976"/>
          <a:ext cx="1022711" cy="229635"/>
          <a:chOff x="4130444" y="3557713"/>
          <a:chExt cx="768976" cy="216568"/>
        </a:xfrm>
      </xdr:grpSpPr>
      <xdr:pic>
        <xdr:nvPicPr>
          <xdr:cNvPr id="11" name="Grafik 10">
            <a:extLst>
              <a:ext uri="{FF2B5EF4-FFF2-40B4-BE49-F238E27FC236}">
                <a16:creationId xmlns:a16="http://schemas.microsoft.com/office/drawing/2014/main" id="{3DB86569-769D-1A16-9893-7BE042BA20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2" name="Textfeld 11">
            <a:extLst>
              <a:ext uri="{FF2B5EF4-FFF2-40B4-BE49-F238E27FC236}">
                <a16:creationId xmlns:a16="http://schemas.microsoft.com/office/drawing/2014/main" id="{8BAF99CB-1645-D1E7-33E2-278237A33589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1.12Auftrag</a:t>
            </a:r>
          </a:p>
        </xdr:txBody>
      </xdr:sp>
    </xdr:grpSp>
    <xdr:clientData/>
  </xdr:twoCellAnchor>
  <xdr:twoCellAnchor editAs="oneCell">
    <xdr:from>
      <xdr:col>5</xdr:col>
      <xdr:colOff>274269</xdr:colOff>
      <xdr:row>19</xdr:row>
      <xdr:rowOff>103259</xdr:rowOff>
    </xdr:from>
    <xdr:to>
      <xdr:col>6</xdr:col>
      <xdr:colOff>893885</xdr:colOff>
      <xdr:row>20</xdr:row>
      <xdr:rowOff>145560</xdr:rowOff>
    </xdr:to>
    <xdr:pic>
      <xdr:nvPicPr>
        <xdr:cNvPr id="4" name="Grafik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0AFE36-339F-9A2E-3A15-F7731674E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3173" y="3664144"/>
          <a:ext cx="1542808" cy="225474"/>
        </a:xfrm>
        <a:prstGeom prst="rect">
          <a:avLst/>
        </a:prstGeom>
      </xdr:spPr>
    </xdr:pic>
    <xdr:clientData/>
  </xdr:twoCellAnchor>
  <xdr:oneCellAnchor>
    <xdr:from>
      <xdr:col>5</xdr:col>
      <xdr:colOff>271096</xdr:colOff>
      <xdr:row>20</xdr:row>
      <xdr:rowOff>173887</xdr:rowOff>
    </xdr:from>
    <xdr:ext cx="1547243" cy="188019"/>
    <xdr:pic>
      <xdr:nvPicPr>
        <xdr:cNvPr id="8" name="Grafik 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036E243-FE25-46CD-8BD7-524A1C488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45406" y="3734772"/>
          <a:ext cx="1547243" cy="188019"/>
        </a:xfrm>
        <a:prstGeom prst="rect">
          <a:avLst/>
        </a:prstGeom>
      </xdr:spPr>
    </xdr:pic>
    <xdr:clientData/>
  </xdr:oneCellAnchor>
  <xdr:twoCellAnchor>
    <xdr:from>
      <xdr:col>8</xdr:col>
      <xdr:colOff>57149</xdr:colOff>
      <xdr:row>35</xdr:row>
      <xdr:rowOff>38100</xdr:rowOff>
    </xdr:from>
    <xdr:to>
      <xdr:col>8</xdr:col>
      <xdr:colOff>1037576</xdr:colOff>
      <xdr:row>36</xdr:row>
      <xdr:rowOff>112160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C713DF36-FFFE-4071-BD6B-F1FCBDBA6368}"/>
            </a:ext>
          </a:extLst>
        </xdr:cNvPr>
        <xdr:cNvGrpSpPr/>
      </xdr:nvGrpSpPr>
      <xdr:grpSpPr>
        <a:xfrm>
          <a:off x="5778499" y="6407150"/>
          <a:ext cx="980427" cy="258210"/>
          <a:chOff x="6090843" y="7494984"/>
          <a:chExt cx="958652" cy="260085"/>
        </a:xfrm>
      </xdr:grpSpPr>
      <xdr:pic>
        <xdr:nvPicPr>
          <xdr:cNvPr id="6" name="Grafik 5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F98E534E-65B3-594A-C993-D117F70401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13" name="Textfeld 12">
            <a:extLst>
              <a:ext uri="{FF2B5EF4-FFF2-40B4-BE49-F238E27FC236}">
                <a16:creationId xmlns:a16="http://schemas.microsoft.com/office/drawing/2014/main" id="{F0973D1C-136A-391A-6626-C949D0860AA1}"/>
              </a:ext>
            </a:extLst>
          </xdr:cNvPr>
          <xdr:cNvSpPr txBox="1"/>
        </xdr:nvSpPr>
        <xdr:spPr>
          <a:xfrm>
            <a:off x="6268640" y="7494984"/>
            <a:ext cx="780855" cy="2600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1.12_LNW</a:t>
            </a:r>
          </a:p>
        </xdr:txBody>
      </xdr:sp>
    </xdr:grpSp>
    <xdr:clientData/>
  </xdr:twoCellAnchor>
  <xdr:twoCellAnchor>
    <xdr:from>
      <xdr:col>3</xdr:col>
      <xdr:colOff>104775</xdr:colOff>
      <xdr:row>42</xdr:row>
      <xdr:rowOff>76200</xdr:rowOff>
    </xdr:from>
    <xdr:to>
      <xdr:col>3</xdr:col>
      <xdr:colOff>1063427</xdr:colOff>
      <xdr:row>43</xdr:row>
      <xdr:rowOff>140735</xdr:rowOff>
    </xdr:to>
    <xdr:grpSp>
      <xdr:nvGrpSpPr>
        <xdr:cNvPr id="14" name="Gruppieren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62780D3-7846-42E3-92F0-7EA94CC578B5}"/>
            </a:ext>
          </a:extLst>
        </xdr:cNvPr>
        <xdr:cNvGrpSpPr/>
      </xdr:nvGrpSpPr>
      <xdr:grpSpPr>
        <a:xfrm>
          <a:off x="1539875" y="7804150"/>
          <a:ext cx="958652" cy="261385"/>
          <a:chOff x="6090843" y="7494984"/>
          <a:chExt cx="958652" cy="260085"/>
        </a:xfrm>
      </xdr:grpSpPr>
      <xdr:pic>
        <xdr:nvPicPr>
          <xdr:cNvPr id="15" name="Grafik 14">
            <a:extLst>
              <a:ext uri="{FF2B5EF4-FFF2-40B4-BE49-F238E27FC236}">
                <a16:creationId xmlns:a16="http://schemas.microsoft.com/office/drawing/2014/main" id="{B6C94F4E-CE19-F033-6262-2E584EF514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3C72843E-8F00-E602-0C1C-3408E6828E32}"/>
              </a:ext>
            </a:extLst>
          </xdr:cNvPr>
          <xdr:cNvSpPr txBox="1"/>
        </xdr:nvSpPr>
        <xdr:spPr>
          <a:xfrm>
            <a:off x="6268640" y="7494984"/>
            <a:ext cx="780855" cy="2600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1.12_LNW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361693</xdr:colOff>
      <xdr:row>33</xdr:row>
      <xdr:rowOff>42057</xdr:rowOff>
    </xdr:from>
    <xdr:ext cx="353287" cy="343762"/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11C27-0B43-47B5-954F-84FC8BF8F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8106" y="6254014"/>
          <a:ext cx="353287" cy="343762"/>
        </a:xfrm>
        <a:prstGeom prst="rect">
          <a:avLst/>
        </a:prstGeom>
      </xdr:spPr>
    </xdr:pic>
    <xdr:clientData/>
  </xdr:oneCellAnchor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161050</xdr:rowOff>
    </xdr:to>
    <xdr:pic>
      <xdr:nvPicPr>
        <xdr:cNvPr id="5" name="Grafik 4" descr="Klemmbrett abgehakt Silhouette">
          <a:extLst>
            <a:ext uri="{FF2B5EF4-FFF2-40B4-BE49-F238E27FC236}">
              <a16:creationId xmlns:a16="http://schemas.microsoft.com/office/drawing/2014/main" id="{9C35DF4A-BD2A-4423-8044-A66349BCD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15283" y="8043369"/>
          <a:ext cx="333148" cy="331406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10299</xdr:colOff>
      <xdr:row>44</xdr:row>
      <xdr:rowOff>9744</xdr:rowOff>
    </xdr:to>
    <xdr:pic>
      <xdr:nvPicPr>
        <xdr:cNvPr id="6" name="Grafik 5" descr="Kommentar (wichtig) Silhouette">
          <a:extLst>
            <a:ext uri="{FF2B5EF4-FFF2-40B4-BE49-F238E27FC236}">
              <a16:creationId xmlns:a16="http://schemas.microsoft.com/office/drawing/2014/main" id="{418080BA-B117-4D7C-9930-B9F3EF03E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111188" y="8049939"/>
          <a:ext cx="361293" cy="367205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170796</xdr:rowOff>
    </xdr:to>
    <xdr:pic>
      <xdr:nvPicPr>
        <xdr:cNvPr id="7" name="Grafik 6" descr="Fernglas Silhouette">
          <a:extLst>
            <a:ext uri="{FF2B5EF4-FFF2-40B4-BE49-F238E27FC236}">
              <a16:creationId xmlns:a16="http://schemas.microsoft.com/office/drawing/2014/main" id="{E7E38ECA-0A29-41A8-8D72-618A2724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08530" y="8017095"/>
          <a:ext cx="361294" cy="364251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762000</xdr:colOff>
      <xdr:row>10</xdr:row>
      <xdr:rowOff>8283</xdr:rowOff>
    </xdr:from>
    <xdr:to>
      <xdr:col>8</xdr:col>
      <xdr:colOff>1112112</xdr:colOff>
      <xdr:row>11</xdr:row>
      <xdr:rowOff>153263</xdr:rowOff>
    </xdr:to>
    <xdr:pic>
      <xdr:nvPicPr>
        <xdr:cNvPr id="17" name="Grafik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FB9EB1C-411B-405C-9B7B-E76AAC48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8413" y="1979544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8</xdr:col>
      <xdr:colOff>372718</xdr:colOff>
      <xdr:row>22</xdr:row>
      <xdr:rowOff>24849</xdr:rowOff>
    </xdr:from>
    <xdr:to>
      <xdr:col>8</xdr:col>
      <xdr:colOff>726005</xdr:colOff>
      <xdr:row>24</xdr:row>
      <xdr:rowOff>1992</xdr:rowOff>
    </xdr:to>
    <xdr:pic>
      <xdr:nvPicPr>
        <xdr:cNvPr id="18" name="Grafik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6A91B6-9956-85D1-B6F7-661983482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9131" y="4207566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8</xdr:col>
      <xdr:colOff>372718</xdr:colOff>
      <xdr:row>26</xdr:row>
      <xdr:rowOff>8284</xdr:rowOff>
    </xdr:from>
    <xdr:to>
      <xdr:col>8</xdr:col>
      <xdr:colOff>726005</xdr:colOff>
      <xdr:row>27</xdr:row>
      <xdr:rowOff>164721</xdr:rowOff>
    </xdr:to>
    <xdr:pic>
      <xdr:nvPicPr>
        <xdr:cNvPr id="19" name="Grafik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9AC86C-E9D6-249C-174F-34BF2F441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9131" y="4953001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8</xdr:col>
      <xdr:colOff>74543</xdr:colOff>
      <xdr:row>10</xdr:row>
      <xdr:rowOff>8281</xdr:rowOff>
    </xdr:from>
    <xdr:to>
      <xdr:col>8</xdr:col>
      <xdr:colOff>431005</xdr:colOff>
      <xdr:row>11</xdr:row>
      <xdr:rowOff>153261</xdr:rowOff>
    </xdr:to>
    <xdr:pic>
      <xdr:nvPicPr>
        <xdr:cNvPr id="20" name="Grafik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CCFFD2-0E2A-B7B9-A40C-06F5A7070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0956" y="1979542"/>
          <a:ext cx="353287" cy="343762"/>
        </a:xfrm>
        <a:prstGeom prst="rect">
          <a:avLst/>
        </a:prstGeom>
      </xdr:spPr>
    </xdr:pic>
    <xdr:clientData/>
  </xdr:twoCellAnchor>
  <xdr:twoCellAnchor>
    <xdr:from>
      <xdr:col>8</xdr:col>
      <xdr:colOff>124239</xdr:colOff>
      <xdr:row>20</xdr:row>
      <xdr:rowOff>57978</xdr:rowOff>
    </xdr:from>
    <xdr:to>
      <xdr:col>8</xdr:col>
      <xdr:colOff>1028700</xdr:colOff>
      <xdr:row>21</xdr:row>
      <xdr:rowOff>104489</xdr:rowOff>
    </xdr:to>
    <xdr:grpSp>
      <xdr:nvGrpSpPr>
        <xdr:cNvPr id="2" name="Gruppieren 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57E5B6A-E115-4B16-9016-87086D4442E9}"/>
            </a:ext>
          </a:extLst>
        </xdr:cNvPr>
        <xdr:cNvGrpSpPr/>
      </xdr:nvGrpSpPr>
      <xdr:grpSpPr>
        <a:xfrm>
          <a:off x="5845589" y="3544128"/>
          <a:ext cx="904461" cy="230661"/>
          <a:chOff x="4130444" y="3557713"/>
          <a:chExt cx="768976" cy="216568"/>
        </a:xfrm>
      </xdr:grpSpPr>
      <xdr:pic>
        <xdr:nvPicPr>
          <xdr:cNvPr id="8" name="Grafik 7">
            <a:extLst>
              <a:ext uri="{FF2B5EF4-FFF2-40B4-BE49-F238E27FC236}">
                <a16:creationId xmlns:a16="http://schemas.microsoft.com/office/drawing/2014/main" id="{02D52AEB-E9E7-5965-5BC2-7251BAE56F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9" name="Textfeld 8">
            <a:extLst>
              <a:ext uri="{FF2B5EF4-FFF2-40B4-BE49-F238E27FC236}">
                <a16:creationId xmlns:a16="http://schemas.microsoft.com/office/drawing/2014/main" id="{EECF1FA7-6CE2-1340-330F-F4D536FC06AB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1.4_Auftrag</a:t>
            </a:r>
          </a:p>
        </xdr:txBody>
      </xdr:sp>
    </xdr:grpSp>
    <xdr:clientData/>
  </xdr:twoCellAnchor>
  <xdr:twoCellAnchor>
    <xdr:from>
      <xdr:col>8</xdr:col>
      <xdr:colOff>68490</xdr:colOff>
      <xdr:row>35</xdr:row>
      <xdr:rowOff>87087</xdr:rowOff>
    </xdr:from>
    <xdr:to>
      <xdr:col>8</xdr:col>
      <xdr:colOff>1055787</xdr:colOff>
      <xdr:row>36</xdr:row>
      <xdr:rowOff>120711</xdr:rowOff>
    </xdr:to>
    <xdr:grpSp>
      <xdr:nvGrpSpPr>
        <xdr:cNvPr id="10" name="Gruppieren 9">
          <a:extLst>
            <a:ext uri="{FF2B5EF4-FFF2-40B4-BE49-F238E27FC236}">
              <a16:creationId xmlns:a16="http://schemas.microsoft.com/office/drawing/2014/main" id="{5D7567A8-CADB-4673-8859-A21A1D346E59}"/>
            </a:ext>
          </a:extLst>
        </xdr:cNvPr>
        <xdr:cNvGrpSpPr/>
      </xdr:nvGrpSpPr>
      <xdr:grpSpPr>
        <a:xfrm>
          <a:off x="5789840" y="6297387"/>
          <a:ext cx="987297" cy="230474"/>
          <a:chOff x="4130444" y="3557713"/>
          <a:chExt cx="768976" cy="216568"/>
        </a:xfrm>
      </xdr:grpSpPr>
      <xdr:pic>
        <xdr:nvPicPr>
          <xdr:cNvPr id="11" name="Grafik 10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D4D30A5E-BE41-5FEE-46D5-79CDEF5EDB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2" name="Textfeld 11">
            <a:extLst>
              <a:ext uri="{FF2B5EF4-FFF2-40B4-BE49-F238E27FC236}">
                <a16:creationId xmlns:a16="http://schemas.microsoft.com/office/drawing/2014/main" id="{95E55B73-5F32-B11E-B9E7-A778F10B71B7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1.1_Auftrag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723457</xdr:colOff>
      <xdr:row>18</xdr:row>
      <xdr:rowOff>31527</xdr:rowOff>
    </xdr:from>
    <xdr:to>
      <xdr:col>8</xdr:col>
      <xdr:colOff>1073569</xdr:colOff>
      <xdr:row>20</xdr:row>
      <xdr:rowOff>2320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2CEA6-6ABC-4632-A9AB-099C6C1D5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507" y="3184302"/>
          <a:ext cx="350112" cy="351793"/>
        </a:xfrm>
        <a:prstGeom prst="rect">
          <a:avLst/>
        </a:prstGeom>
      </xdr:spPr>
    </xdr:pic>
    <xdr:clientData/>
  </xdr:twoCellAnchor>
  <xdr:oneCellAnchor>
    <xdr:from>
      <xdr:col>6</xdr:col>
      <xdr:colOff>485518</xdr:colOff>
      <xdr:row>33</xdr:row>
      <xdr:rowOff>42057</xdr:rowOff>
    </xdr:from>
    <xdr:ext cx="353287" cy="343762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7E368D-F697-4864-86BE-6508068A8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1793" y="5985657"/>
          <a:ext cx="353287" cy="343762"/>
        </a:xfrm>
        <a:prstGeom prst="rect">
          <a:avLst/>
        </a:prstGeom>
      </xdr:spPr>
    </xdr:pic>
    <xdr:clientData/>
  </xdr:oneCellAnchor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161050</xdr:rowOff>
    </xdr:to>
    <xdr:pic>
      <xdr:nvPicPr>
        <xdr:cNvPr id="4" name="Grafik 3" descr="Klemmbrett abgehakt Silhouette">
          <a:extLst>
            <a:ext uri="{FF2B5EF4-FFF2-40B4-BE49-F238E27FC236}">
              <a16:creationId xmlns:a16="http://schemas.microsoft.com/office/drawing/2014/main" id="{75FB0631-36F5-41B1-835E-87D43247E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215283" y="7643319"/>
          <a:ext cx="336323" cy="328231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10299</xdr:colOff>
      <xdr:row>44</xdr:row>
      <xdr:rowOff>9744</xdr:rowOff>
    </xdr:to>
    <xdr:pic>
      <xdr:nvPicPr>
        <xdr:cNvPr id="5" name="Grafik 4" descr="Kommentar (wichtig) Silhouette">
          <a:extLst>
            <a:ext uri="{FF2B5EF4-FFF2-40B4-BE49-F238E27FC236}">
              <a16:creationId xmlns:a16="http://schemas.microsoft.com/office/drawing/2014/main" id="{506D5DA8-2FF3-4C7C-BA35-2B287B0B9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111188" y="7649889"/>
          <a:ext cx="385386" cy="370380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170796</xdr:rowOff>
    </xdr:to>
    <xdr:pic>
      <xdr:nvPicPr>
        <xdr:cNvPr id="6" name="Grafik 5" descr="Fernglas Silhouette">
          <a:extLst>
            <a:ext uri="{FF2B5EF4-FFF2-40B4-BE49-F238E27FC236}">
              <a16:creationId xmlns:a16="http://schemas.microsoft.com/office/drawing/2014/main" id="{CDB60162-DF42-45DA-81D1-4978E1974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489480" y="7617045"/>
          <a:ext cx="358119" cy="364251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10</xdr:row>
      <xdr:rowOff>36858</xdr:rowOff>
    </xdr:from>
    <xdr:to>
      <xdr:col>8</xdr:col>
      <xdr:colOff>1064487</xdr:colOff>
      <xdr:row>11</xdr:row>
      <xdr:rowOff>181838</xdr:rowOff>
    </xdr:to>
    <xdr:pic>
      <xdr:nvPicPr>
        <xdr:cNvPr id="7" name="Grafik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69EA048-19AB-45AA-9C71-031CCF859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8425" y="1789458"/>
          <a:ext cx="350112" cy="345005"/>
        </a:xfrm>
        <a:prstGeom prst="rect">
          <a:avLst/>
        </a:prstGeom>
      </xdr:spPr>
    </xdr:pic>
    <xdr:clientData/>
  </xdr:twoCellAnchor>
  <xdr:twoCellAnchor editAs="oneCell">
    <xdr:from>
      <xdr:col>8</xdr:col>
      <xdr:colOff>677518</xdr:colOff>
      <xdr:row>24</xdr:row>
      <xdr:rowOff>27334</xdr:rowOff>
    </xdr:from>
    <xdr:to>
      <xdr:col>8</xdr:col>
      <xdr:colOff>1030805</xdr:colOff>
      <xdr:row>25</xdr:row>
      <xdr:rowOff>183771</xdr:rowOff>
    </xdr:to>
    <xdr:pic>
      <xdr:nvPicPr>
        <xdr:cNvPr id="9" name="Grafik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F03B459-8247-4740-BDCC-19F14543B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1568" y="4323109"/>
          <a:ext cx="353287" cy="346937"/>
        </a:xfrm>
        <a:prstGeom prst="rect">
          <a:avLst/>
        </a:prstGeom>
      </xdr:spPr>
    </xdr:pic>
    <xdr:clientData/>
  </xdr:twoCellAnchor>
  <xdr:twoCellAnchor>
    <xdr:from>
      <xdr:col>8</xdr:col>
      <xdr:colOff>124240</xdr:colOff>
      <xdr:row>20</xdr:row>
      <xdr:rowOff>57978</xdr:rowOff>
    </xdr:from>
    <xdr:to>
      <xdr:col>8</xdr:col>
      <xdr:colOff>1057276</xdr:colOff>
      <xdr:row>21</xdr:row>
      <xdr:rowOff>104489</xdr:rowOff>
    </xdr:to>
    <xdr:grpSp>
      <xdr:nvGrpSpPr>
        <xdr:cNvPr id="11" name="Gruppieren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3EB85A1-142B-474F-AD66-2E3656809CDD}"/>
            </a:ext>
          </a:extLst>
        </xdr:cNvPr>
        <xdr:cNvGrpSpPr/>
      </xdr:nvGrpSpPr>
      <xdr:grpSpPr>
        <a:xfrm>
          <a:off x="5845590" y="3544128"/>
          <a:ext cx="933036" cy="230661"/>
          <a:chOff x="4130444" y="3557713"/>
          <a:chExt cx="768976" cy="216568"/>
        </a:xfrm>
      </xdr:grpSpPr>
      <xdr:pic>
        <xdr:nvPicPr>
          <xdr:cNvPr id="12" name="Grafik 11">
            <a:extLst>
              <a:ext uri="{FF2B5EF4-FFF2-40B4-BE49-F238E27FC236}">
                <a16:creationId xmlns:a16="http://schemas.microsoft.com/office/drawing/2014/main" id="{CA7615C6-E638-3277-4CA7-33325014EA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3" name="Textfeld 12">
            <a:extLst>
              <a:ext uri="{FF2B5EF4-FFF2-40B4-BE49-F238E27FC236}">
                <a16:creationId xmlns:a16="http://schemas.microsoft.com/office/drawing/2014/main" id="{F424C126-4CB0-55E7-1F77-A0D8CA7DF09C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1.4_Auftrag</a:t>
            </a:r>
          </a:p>
        </xdr:txBody>
      </xdr:sp>
    </xdr:grpSp>
    <xdr:clientData/>
  </xdr:twoCellAnchor>
  <xdr:twoCellAnchor>
    <xdr:from>
      <xdr:col>8</xdr:col>
      <xdr:colOff>87541</xdr:colOff>
      <xdr:row>33</xdr:row>
      <xdr:rowOff>68037</xdr:rowOff>
    </xdr:from>
    <xdr:to>
      <xdr:col>8</xdr:col>
      <xdr:colOff>1047751</xdr:colOff>
      <xdr:row>34</xdr:row>
      <xdr:rowOff>101661</xdr:rowOff>
    </xdr:to>
    <xdr:grpSp>
      <xdr:nvGrpSpPr>
        <xdr:cNvPr id="14" name="Gruppieren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FEFE6C1-CAE5-4E91-A06A-F7E3939A000C}"/>
            </a:ext>
          </a:extLst>
        </xdr:cNvPr>
        <xdr:cNvGrpSpPr/>
      </xdr:nvGrpSpPr>
      <xdr:grpSpPr>
        <a:xfrm>
          <a:off x="5808891" y="5897337"/>
          <a:ext cx="960210" cy="230474"/>
          <a:chOff x="4130444" y="3557713"/>
          <a:chExt cx="768976" cy="216568"/>
        </a:xfrm>
      </xdr:grpSpPr>
      <xdr:pic>
        <xdr:nvPicPr>
          <xdr:cNvPr id="15" name="Grafik 14">
            <a:extLst>
              <a:ext uri="{FF2B5EF4-FFF2-40B4-BE49-F238E27FC236}">
                <a16:creationId xmlns:a16="http://schemas.microsoft.com/office/drawing/2014/main" id="{C81DDBAF-505E-42E8-793B-497EA4EAC5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530E7B5D-9526-DBCA-5A7B-561F9C1BC03D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1.1_Auftrag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161050</xdr:rowOff>
    </xdr:to>
    <xdr:pic>
      <xdr:nvPicPr>
        <xdr:cNvPr id="3" name="Grafik 2" descr="Klemmbrett abgehakt Silhouette">
          <a:extLst>
            <a:ext uri="{FF2B5EF4-FFF2-40B4-BE49-F238E27FC236}">
              <a16:creationId xmlns:a16="http://schemas.microsoft.com/office/drawing/2014/main" id="{55E6FE70-653F-438F-9C92-8C5CB7E6E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8043369"/>
          <a:ext cx="333148" cy="331406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10299</xdr:colOff>
      <xdr:row>44</xdr:row>
      <xdr:rowOff>9744</xdr:rowOff>
    </xdr:to>
    <xdr:pic>
      <xdr:nvPicPr>
        <xdr:cNvPr id="4" name="Grafik 3" descr="Kommentar (wichtig) Silhouette">
          <a:extLst>
            <a:ext uri="{FF2B5EF4-FFF2-40B4-BE49-F238E27FC236}">
              <a16:creationId xmlns:a16="http://schemas.microsoft.com/office/drawing/2014/main" id="{5BEA72AB-3653-49B3-ACCE-900726CE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8049939"/>
          <a:ext cx="361293" cy="367205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170796</xdr:rowOff>
    </xdr:to>
    <xdr:pic>
      <xdr:nvPicPr>
        <xdr:cNvPr id="5" name="Grafik 4" descr="Fernglas Silhouette">
          <a:extLst>
            <a:ext uri="{FF2B5EF4-FFF2-40B4-BE49-F238E27FC236}">
              <a16:creationId xmlns:a16="http://schemas.microsoft.com/office/drawing/2014/main" id="{B1D372C5-0A09-4BC7-944C-5C70A11D8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08530" y="8017095"/>
          <a:ext cx="361294" cy="364251"/>
        </a:xfrm>
        <a:prstGeom prst="rect">
          <a:avLst/>
        </a:prstGeom>
      </xdr:spPr>
    </xdr:pic>
    <xdr:clientData/>
  </xdr:twoCellAnchor>
  <xdr:twoCellAnchor editAs="oneCell">
    <xdr:from>
      <xdr:col>8</xdr:col>
      <xdr:colOff>447261</xdr:colOff>
      <xdr:row>10</xdr:row>
      <xdr:rowOff>33131</xdr:rowOff>
    </xdr:from>
    <xdr:to>
      <xdr:col>8</xdr:col>
      <xdr:colOff>800548</xdr:colOff>
      <xdr:row>11</xdr:row>
      <xdr:rowOff>181286</xdr:rowOff>
    </xdr:to>
    <xdr:pic>
      <xdr:nvPicPr>
        <xdr:cNvPr id="6" name="Grafik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BDB484-6820-49A1-BC73-162CEC5F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361" y="2014331"/>
          <a:ext cx="353287" cy="345005"/>
        </a:xfrm>
        <a:prstGeom prst="rect">
          <a:avLst/>
        </a:prstGeom>
      </xdr:spPr>
    </xdr:pic>
    <xdr:clientData/>
  </xdr:twoCellAnchor>
  <xdr:twoCellAnchor editAs="oneCell">
    <xdr:from>
      <xdr:col>8</xdr:col>
      <xdr:colOff>121787</xdr:colOff>
      <xdr:row>12</xdr:row>
      <xdr:rowOff>16818</xdr:rowOff>
    </xdr:from>
    <xdr:to>
      <xdr:col>8</xdr:col>
      <xdr:colOff>484599</xdr:colOff>
      <xdr:row>13</xdr:row>
      <xdr:rowOff>155447</xdr:rowOff>
    </xdr:to>
    <xdr:pic>
      <xdr:nvPicPr>
        <xdr:cNvPr id="7" name="Grafik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7ECEC3-2E5B-4420-928E-4CE229393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5581" y="2190759"/>
          <a:ext cx="362812" cy="340335"/>
        </a:xfrm>
        <a:prstGeom prst="rect">
          <a:avLst/>
        </a:prstGeom>
      </xdr:spPr>
    </xdr:pic>
    <xdr:clientData/>
  </xdr:twoCellAnchor>
  <xdr:twoCellAnchor editAs="oneCell">
    <xdr:from>
      <xdr:col>8</xdr:col>
      <xdr:colOff>48468</xdr:colOff>
      <xdr:row>24</xdr:row>
      <xdr:rowOff>44590</xdr:rowOff>
    </xdr:from>
    <xdr:to>
      <xdr:col>8</xdr:col>
      <xdr:colOff>635924</xdr:colOff>
      <xdr:row>25</xdr:row>
      <xdr:rowOff>139880</xdr:rowOff>
    </xdr:to>
    <xdr:pic>
      <xdr:nvPicPr>
        <xdr:cNvPr id="8" name="Grafik 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4192DC2-B0EE-431C-99C6-C31994567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52262" y="4291619"/>
          <a:ext cx="584281" cy="2777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716690</xdr:colOff>
      <xdr:row>12</xdr:row>
      <xdr:rowOff>38726</xdr:rowOff>
    </xdr:from>
    <xdr:to>
      <xdr:col>8</xdr:col>
      <xdr:colOff>1076327</xdr:colOff>
      <xdr:row>13</xdr:row>
      <xdr:rowOff>172751</xdr:rowOff>
    </xdr:to>
    <xdr:pic>
      <xdr:nvPicPr>
        <xdr:cNvPr id="10" name="Grafik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26BF0B5-7BE3-1477-3D5C-F935E5B3A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0484" y="2212667"/>
          <a:ext cx="359637" cy="335731"/>
        </a:xfrm>
        <a:prstGeom prst="rect">
          <a:avLst/>
        </a:prstGeom>
      </xdr:spPr>
    </xdr:pic>
    <xdr:clientData/>
  </xdr:twoCellAnchor>
  <xdr:twoCellAnchor>
    <xdr:from>
      <xdr:col>8</xdr:col>
      <xdr:colOff>73082</xdr:colOff>
      <xdr:row>20</xdr:row>
      <xdr:rowOff>89646</xdr:rowOff>
    </xdr:from>
    <xdr:to>
      <xdr:col>8</xdr:col>
      <xdr:colOff>1066729</xdr:colOff>
      <xdr:row>21</xdr:row>
      <xdr:rowOff>137838</xdr:rowOff>
    </xdr:to>
    <xdr:grpSp>
      <xdr:nvGrpSpPr>
        <xdr:cNvPr id="2" name="Gruppieren 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6D22993-1BEF-4E6C-BEF4-38835D0DFBCA}"/>
            </a:ext>
          </a:extLst>
        </xdr:cNvPr>
        <xdr:cNvGrpSpPr/>
      </xdr:nvGrpSpPr>
      <xdr:grpSpPr>
        <a:xfrm>
          <a:off x="5803023" y="3563470"/>
          <a:ext cx="993647" cy="234956"/>
          <a:chOff x="4130444" y="3557713"/>
          <a:chExt cx="768976" cy="216568"/>
        </a:xfrm>
      </xdr:grpSpPr>
      <xdr:pic>
        <xdr:nvPicPr>
          <xdr:cNvPr id="9" name="Grafik 8">
            <a:extLst>
              <a:ext uri="{FF2B5EF4-FFF2-40B4-BE49-F238E27FC236}">
                <a16:creationId xmlns:a16="http://schemas.microsoft.com/office/drawing/2014/main" id="{45F88603-C038-F506-94B2-2C685ABC9E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275B0FDE-4783-1C39-58FC-1DFCD061AC96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1.4_Auftrag</a:t>
            </a:r>
          </a:p>
        </xdr:txBody>
      </xdr:sp>
    </xdr:grpSp>
    <xdr:clientData/>
  </xdr:twoCellAnchor>
  <xdr:twoCellAnchor>
    <xdr:from>
      <xdr:col>8</xdr:col>
      <xdr:colOff>89647</xdr:colOff>
      <xdr:row>33</xdr:row>
      <xdr:rowOff>100852</xdr:rowOff>
    </xdr:from>
    <xdr:to>
      <xdr:col>8</xdr:col>
      <xdr:colOff>1083294</xdr:colOff>
      <xdr:row>34</xdr:row>
      <xdr:rowOff>139145</xdr:rowOff>
    </xdr:to>
    <xdr:grpSp>
      <xdr:nvGrpSpPr>
        <xdr:cNvPr id="12" name="Gruppieren 1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3056C73-AA4D-4251-8C96-4A27B9A476EC}"/>
            </a:ext>
          </a:extLst>
        </xdr:cNvPr>
        <xdr:cNvGrpSpPr/>
      </xdr:nvGrpSpPr>
      <xdr:grpSpPr>
        <a:xfrm>
          <a:off x="5819588" y="5950323"/>
          <a:ext cx="993647" cy="232528"/>
          <a:chOff x="4130444" y="3557713"/>
          <a:chExt cx="768976" cy="216568"/>
        </a:xfrm>
      </xdr:grpSpPr>
      <xdr:pic>
        <xdr:nvPicPr>
          <xdr:cNvPr id="13" name="Grafik 12">
            <a:extLst>
              <a:ext uri="{FF2B5EF4-FFF2-40B4-BE49-F238E27FC236}">
                <a16:creationId xmlns:a16="http://schemas.microsoft.com/office/drawing/2014/main" id="{F62A26AF-6E96-7DD4-4867-7D575E0DE1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Textfeld 14">
            <a:extLst>
              <a:ext uri="{FF2B5EF4-FFF2-40B4-BE49-F238E27FC236}">
                <a16:creationId xmlns:a16="http://schemas.microsoft.com/office/drawing/2014/main" id="{771EAA4A-2BEE-55C2-2791-1FA7179871BC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1.1_Auftrag</a:t>
            </a:r>
          </a:p>
        </xdr:txBody>
      </xdr:sp>
    </xdr:grpSp>
    <xdr:clientData/>
  </xdr:twoCellAnchor>
  <xdr:twoCellAnchor editAs="oneCell">
    <xdr:from>
      <xdr:col>7</xdr:col>
      <xdr:colOff>334616</xdr:colOff>
      <xdr:row>18</xdr:row>
      <xdr:rowOff>16565</xdr:rowOff>
    </xdr:from>
    <xdr:to>
      <xdr:col>8</xdr:col>
      <xdr:colOff>359464</xdr:colOff>
      <xdr:row>20</xdr:row>
      <xdr:rowOff>0</xdr:rowOff>
    </xdr:to>
    <xdr:pic>
      <xdr:nvPicPr>
        <xdr:cNvPr id="16" name="Grafik 15" descr="Klemmbrett teilweise ausgefüllt Silhouett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1D9A005-7CE4-787C-DE94-B6E1DFB8A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26594" y="3147391"/>
          <a:ext cx="364435" cy="364435"/>
        </a:xfrm>
        <a:prstGeom prst="rect">
          <a:avLst/>
        </a:prstGeom>
      </xdr:spPr>
    </xdr:pic>
    <xdr:clientData/>
  </xdr:twoCellAnchor>
  <xdr:twoCellAnchor>
    <xdr:from>
      <xdr:col>8</xdr:col>
      <xdr:colOff>82824</xdr:colOff>
      <xdr:row>26</xdr:row>
      <xdr:rowOff>99390</xdr:rowOff>
    </xdr:from>
    <xdr:to>
      <xdr:col>8</xdr:col>
      <xdr:colOff>974021</xdr:colOff>
      <xdr:row>27</xdr:row>
      <xdr:rowOff>173450</xdr:rowOff>
    </xdr:to>
    <xdr:grpSp>
      <xdr:nvGrpSpPr>
        <xdr:cNvPr id="19" name="Gruppieren 1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9AB54FA-7916-4043-9E02-B601ED061531}"/>
            </a:ext>
          </a:extLst>
        </xdr:cNvPr>
        <xdr:cNvGrpSpPr/>
      </xdr:nvGrpSpPr>
      <xdr:grpSpPr>
        <a:xfrm>
          <a:off x="5812765" y="4693802"/>
          <a:ext cx="891197" cy="260824"/>
          <a:chOff x="6090843" y="7494984"/>
          <a:chExt cx="871404" cy="260085"/>
        </a:xfrm>
      </xdr:grpSpPr>
      <xdr:pic>
        <xdr:nvPicPr>
          <xdr:cNvPr id="20" name="Grafik 16">
            <a:extLst>
              <a:ext uri="{FF2B5EF4-FFF2-40B4-BE49-F238E27FC236}">
                <a16:creationId xmlns:a16="http://schemas.microsoft.com/office/drawing/2014/main" id="{30D89669-1401-2932-254D-FFEF84440E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21" name="Textfeld 17">
            <a:extLst>
              <a:ext uri="{FF2B5EF4-FFF2-40B4-BE49-F238E27FC236}">
                <a16:creationId xmlns:a16="http://schemas.microsoft.com/office/drawing/2014/main" id="{07E7F006-AF5D-F551-E365-512A33DA5280}"/>
              </a:ext>
            </a:extLst>
          </xdr:cNvPr>
          <xdr:cNvSpPr txBox="1"/>
        </xdr:nvSpPr>
        <xdr:spPr>
          <a:xfrm>
            <a:off x="6268640" y="7494984"/>
            <a:ext cx="693607" cy="2600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1.4_LNW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161050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F01401DC-C9E6-49BB-909A-A065E9C89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8043369"/>
          <a:ext cx="333148" cy="331406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5</xdr:col>
      <xdr:colOff>922831</xdr:colOff>
      <xdr:row>44</xdr:row>
      <xdr:rowOff>9744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07B317A3-9EC0-453D-9BD7-39B72412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8049939"/>
          <a:ext cx="361293" cy="367205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170796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510265C5-2B6F-48E5-9EFF-1F40817EA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08530" y="8017095"/>
          <a:ext cx="361294" cy="364251"/>
        </a:xfrm>
        <a:prstGeom prst="rect">
          <a:avLst/>
        </a:prstGeom>
      </xdr:spPr>
    </xdr:pic>
    <xdr:clientData/>
  </xdr:twoCellAnchor>
  <xdr:twoCellAnchor editAs="oneCell">
    <xdr:from>
      <xdr:col>8</xdr:col>
      <xdr:colOff>447261</xdr:colOff>
      <xdr:row>10</xdr:row>
      <xdr:rowOff>33131</xdr:rowOff>
    </xdr:from>
    <xdr:to>
      <xdr:col>8</xdr:col>
      <xdr:colOff>800548</xdr:colOff>
      <xdr:row>11</xdr:row>
      <xdr:rowOff>181286</xdr:rowOff>
    </xdr:to>
    <xdr:pic>
      <xdr:nvPicPr>
        <xdr:cNvPr id="5" name="Grafik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E8A34A4-079B-49F9-A3B8-2405E0EA1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361" y="2014331"/>
          <a:ext cx="353287" cy="345005"/>
        </a:xfrm>
        <a:prstGeom prst="rect">
          <a:avLst/>
        </a:prstGeom>
      </xdr:spPr>
    </xdr:pic>
    <xdr:clientData/>
  </xdr:twoCellAnchor>
  <xdr:twoCellAnchor editAs="oneCell">
    <xdr:from>
      <xdr:col>8</xdr:col>
      <xdr:colOff>430696</xdr:colOff>
      <xdr:row>12</xdr:row>
      <xdr:rowOff>24849</xdr:rowOff>
    </xdr:from>
    <xdr:to>
      <xdr:col>8</xdr:col>
      <xdr:colOff>783983</xdr:colOff>
      <xdr:row>13</xdr:row>
      <xdr:rowOff>169828</xdr:rowOff>
    </xdr:to>
    <xdr:pic>
      <xdr:nvPicPr>
        <xdr:cNvPr id="6" name="Grafik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78FC311-55E1-4EE9-8ACC-DD0A2F847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3796" y="2406099"/>
          <a:ext cx="353287" cy="345004"/>
        </a:xfrm>
        <a:prstGeom prst="rect">
          <a:avLst/>
        </a:prstGeom>
      </xdr:spPr>
    </xdr:pic>
    <xdr:clientData/>
  </xdr:twoCellAnchor>
  <xdr:twoCellAnchor editAs="oneCell">
    <xdr:from>
      <xdr:col>8</xdr:col>
      <xdr:colOff>63716</xdr:colOff>
      <xdr:row>35</xdr:row>
      <xdr:rowOff>70214</xdr:rowOff>
    </xdr:from>
    <xdr:to>
      <xdr:col>8</xdr:col>
      <xdr:colOff>417003</xdr:colOff>
      <xdr:row>37</xdr:row>
      <xdr:rowOff>13487</xdr:rowOff>
    </xdr:to>
    <xdr:pic>
      <xdr:nvPicPr>
        <xdr:cNvPr id="8" name="Grafik 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3EED32C-ECC5-4339-BAEC-5CEE9B758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8716" y="6558257"/>
          <a:ext cx="353287" cy="340839"/>
        </a:xfrm>
        <a:prstGeom prst="rect">
          <a:avLst/>
        </a:prstGeom>
      </xdr:spPr>
    </xdr:pic>
    <xdr:clientData/>
  </xdr:twoCellAnchor>
  <xdr:twoCellAnchor editAs="oneCell">
    <xdr:from>
      <xdr:col>8</xdr:col>
      <xdr:colOff>210207</xdr:colOff>
      <xdr:row>18</xdr:row>
      <xdr:rowOff>19707</xdr:rowOff>
    </xdr:from>
    <xdr:to>
      <xdr:col>8</xdr:col>
      <xdr:colOff>560319</xdr:colOff>
      <xdr:row>19</xdr:row>
      <xdr:rowOff>171255</xdr:rowOff>
    </xdr:to>
    <xdr:pic>
      <xdr:nvPicPr>
        <xdr:cNvPr id="10" name="Grafik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7235F07-B458-4255-9A36-7864A9D06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4621" y="3422431"/>
          <a:ext cx="353287" cy="342048"/>
        </a:xfrm>
        <a:prstGeom prst="rect">
          <a:avLst/>
        </a:prstGeom>
      </xdr:spPr>
    </xdr:pic>
    <xdr:clientData/>
  </xdr:twoCellAnchor>
  <xdr:twoCellAnchor editAs="oneCell">
    <xdr:from>
      <xdr:col>8</xdr:col>
      <xdr:colOff>637190</xdr:colOff>
      <xdr:row>18</xdr:row>
      <xdr:rowOff>26276</xdr:rowOff>
    </xdr:from>
    <xdr:to>
      <xdr:col>8</xdr:col>
      <xdr:colOff>990477</xdr:colOff>
      <xdr:row>19</xdr:row>
      <xdr:rowOff>180999</xdr:rowOff>
    </xdr:to>
    <xdr:pic>
      <xdr:nvPicPr>
        <xdr:cNvPr id="11" name="Grafik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FDF4E8-7E82-41E5-8DCD-FFA55476D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604" y="3429000"/>
          <a:ext cx="353287" cy="342048"/>
        </a:xfrm>
        <a:prstGeom prst="rect">
          <a:avLst/>
        </a:prstGeom>
      </xdr:spPr>
    </xdr:pic>
    <xdr:clientData/>
  </xdr:twoCellAnchor>
  <xdr:twoCellAnchor editAs="oneCell">
    <xdr:from>
      <xdr:col>8</xdr:col>
      <xdr:colOff>94156</xdr:colOff>
      <xdr:row>27</xdr:row>
      <xdr:rowOff>146707</xdr:rowOff>
    </xdr:from>
    <xdr:to>
      <xdr:col>8</xdr:col>
      <xdr:colOff>419174</xdr:colOff>
      <xdr:row>29</xdr:row>
      <xdr:rowOff>80296</xdr:rowOff>
    </xdr:to>
    <xdr:pic>
      <xdr:nvPicPr>
        <xdr:cNvPr id="12" name="Grafik 1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C9D538F-6AA3-4A08-8180-B4C869918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3535" y="5196052"/>
          <a:ext cx="325018" cy="301451"/>
        </a:xfrm>
        <a:prstGeom prst="rect">
          <a:avLst/>
        </a:prstGeom>
      </xdr:spPr>
    </xdr:pic>
    <xdr:clientData/>
  </xdr:twoCellAnchor>
  <xdr:twoCellAnchor>
    <xdr:from>
      <xdr:col>8</xdr:col>
      <xdr:colOff>74448</xdr:colOff>
      <xdr:row>22</xdr:row>
      <xdr:rowOff>61310</xdr:rowOff>
    </xdr:from>
    <xdr:to>
      <xdr:col>8</xdr:col>
      <xdr:colOff>1068095</xdr:colOff>
      <xdr:row>23</xdr:row>
      <xdr:rowOff>107789</xdr:rowOff>
    </xdr:to>
    <xdr:grpSp>
      <xdr:nvGrpSpPr>
        <xdr:cNvPr id="7" name="Gruppieren 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2D4DA8E-B15C-4645-A10A-D43203D6EC32}"/>
            </a:ext>
          </a:extLst>
        </xdr:cNvPr>
        <xdr:cNvGrpSpPr/>
      </xdr:nvGrpSpPr>
      <xdr:grpSpPr>
        <a:xfrm>
          <a:off x="5794448" y="4161310"/>
          <a:ext cx="993647" cy="231479"/>
          <a:chOff x="4130444" y="3557713"/>
          <a:chExt cx="768976" cy="216568"/>
        </a:xfrm>
      </xdr:grpSpPr>
      <xdr:pic>
        <xdr:nvPicPr>
          <xdr:cNvPr id="9" name="Grafik 8">
            <a:extLst>
              <a:ext uri="{FF2B5EF4-FFF2-40B4-BE49-F238E27FC236}">
                <a16:creationId xmlns:a16="http://schemas.microsoft.com/office/drawing/2014/main" id="{60602502-8DBC-E30A-DE3C-C5C83F32F3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3" name="Textfeld 12">
            <a:extLst>
              <a:ext uri="{FF2B5EF4-FFF2-40B4-BE49-F238E27FC236}">
                <a16:creationId xmlns:a16="http://schemas.microsoft.com/office/drawing/2014/main" id="{0F42EF7A-7F68-F15A-27E9-A4CB42FB0E05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1.4_Auftrag</a:t>
            </a:r>
          </a:p>
        </xdr:txBody>
      </xdr:sp>
    </xdr:grpSp>
    <xdr:clientData/>
  </xdr:twoCellAnchor>
  <xdr:twoCellAnchor editAs="oneCell">
    <xdr:from>
      <xdr:col>8</xdr:col>
      <xdr:colOff>810172</xdr:colOff>
      <xdr:row>44</xdr:row>
      <xdr:rowOff>56931</xdr:rowOff>
    </xdr:from>
    <xdr:to>
      <xdr:col>8</xdr:col>
      <xdr:colOff>1135190</xdr:colOff>
      <xdr:row>45</xdr:row>
      <xdr:rowOff>161313</xdr:rowOff>
    </xdr:to>
    <xdr:pic>
      <xdr:nvPicPr>
        <xdr:cNvPr id="14" name="Grafik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9009317-559A-4F7F-92DC-3B2AC621D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9551" y="8307552"/>
          <a:ext cx="325018" cy="301451"/>
        </a:xfrm>
        <a:prstGeom prst="rect">
          <a:avLst/>
        </a:prstGeom>
      </xdr:spPr>
    </xdr:pic>
    <xdr:clientData/>
  </xdr:twoCellAnchor>
  <xdr:twoCellAnchor>
    <xdr:from>
      <xdr:col>8</xdr:col>
      <xdr:colOff>50457</xdr:colOff>
      <xdr:row>33</xdr:row>
      <xdr:rowOff>9330</xdr:rowOff>
    </xdr:from>
    <xdr:to>
      <xdr:col>8</xdr:col>
      <xdr:colOff>1044104</xdr:colOff>
      <xdr:row>34</xdr:row>
      <xdr:rowOff>46480</xdr:rowOff>
    </xdr:to>
    <xdr:grpSp>
      <xdr:nvGrpSpPr>
        <xdr:cNvPr id="15" name="Gruppieren 1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5E0857-F756-41C7-8BBC-6068AD14EA52}"/>
            </a:ext>
          </a:extLst>
        </xdr:cNvPr>
        <xdr:cNvGrpSpPr/>
      </xdr:nvGrpSpPr>
      <xdr:grpSpPr>
        <a:xfrm>
          <a:off x="5770457" y="6089330"/>
          <a:ext cx="993647" cy="232150"/>
          <a:chOff x="4130444" y="3557713"/>
          <a:chExt cx="768976" cy="216568"/>
        </a:xfrm>
      </xdr:grpSpPr>
      <xdr:pic>
        <xdr:nvPicPr>
          <xdr:cNvPr id="16" name="Grafik 15">
            <a:extLst>
              <a:ext uri="{FF2B5EF4-FFF2-40B4-BE49-F238E27FC236}">
                <a16:creationId xmlns:a16="http://schemas.microsoft.com/office/drawing/2014/main" id="{E6814706-F07A-F452-2579-BE20FCA982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7" name="Textfeld 16">
            <a:extLst>
              <a:ext uri="{FF2B5EF4-FFF2-40B4-BE49-F238E27FC236}">
                <a16:creationId xmlns:a16="http://schemas.microsoft.com/office/drawing/2014/main" id="{6CAEF6D5-A5D4-4B3A-DB51-814CB9A4C340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1.1_Auftrag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161050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4BAC744C-48CD-4FBD-B65D-3F12635D5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8043369"/>
          <a:ext cx="336323" cy="328231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9744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F4BA0612-6686-4FDE-AA1E-7E73FDE1B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8049939"/>
          <a:ext cx="377168" cy="370380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170796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6B1A9F56-8A5D-4812-894C-F63E981AE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08530" y="8017095"/>
          <a:ext cx="358119" cy="364251"/>
        </a:xfrm>
        <a:prstGeom prst="rect">
          <a:avLst/>
        </a:prstGeom>
      </xdr:spPr>
    </xdr:pic>
    <xdr:clientData/>
  </xdr:twoCellAnchor>
  <xdr:twoCellAnchor editAs="oneCell">
    <xdr:from>
      <xdr:col>8</xdr:col>
      <xdr:colOff>260636</xdr:colOff>
      <xdr:row>9</xdr:row>
      <xdr:rowOff>29956</xdr:rowOff>
    </xdr:from>
    <xdr:to>
      <xdr:col>8</xdr:col>
      <xdr:colOff>607573</xdr:colOff>
      <xdr:row>10</xdr:row>
      <xdr:rowOff>178111</xdr:rowOff>
    </xdr:to>
    <xdr:pic>
      <xdr:nvPicPr>
        <xdr:cNvPr id="5" name="Grafik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D8A6C3C-9520-4739-A1AE-453488E2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8048" y="1822897"/>
          <a:ext cx="346937" cy="349861"/>
        </a:xfrm>
        <a:prstGeom prst="rect">
          <a:avLst/>
        </a:prstGeom>
      </xdr:spPr>
    </xdr:pic>
    <xdr:clientData/>
  </xdr:twoCellAnchor>
  <xdr:twoCellAnchor editAs="oneCell">
    <xdr:from>
      <xdr:col>8</xdr:col>
      <xdr:colOff>262607</xdr:colOff>
      <xdr:row>12</xdr:row>
      <xdr:rowOff>58467</xdr:rowOff>
    </xdr:from>
    <xdr:to>
      <xdr:col>8</xdr:col>
      <xdr:colOff>615894</xdr:colOff>
      <xdr:row>14</xdr:row>
      <xdr:rowOff>1740</xdr:rowOff>
    </xdr:to>
    <xdr:pic>
      <xdr:nvPicPr>
        <xdr:cNvPr id="6" name="Grafik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D71FB1F-072F-4B63-975B-FBF15EC7F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019" y="2456526"/>
          <a:ext cx="353287" cy="346685"/>
        </a:xfrm>
        <a:prstGeom prst="rect">
          <a:avLst/>
        </a:prstGeom>
      </xdr:spPr>
    </xdr:pic>
    <xdr:clientData/>
  </xdr:twoCellAnchor>
  <xdr:twoCellAnchor editAs="oneCell">
    <xdr:from>
      <xdr:col>8</xdr:col>
      <xdr:colOff>762700</xdr:colOff>
      <xdr:row>9</xdr:row>
      <xdr:rowOff>29766</xdr:rowOff>
    </xdr:from>
    <xdr:to>
      <xdr:col>8</xdr:col>
      <xdr:colOff>1103287</xdr:colOff>
      <xdr:row>10</xdr:row>
      <xdr:rowOff>177921</xdr:rowOff>
    </xdr:to>
    <xdr:pic>
      <xdr:nvPicPr>
        <xdr:cNvPr id="7" name="Grafik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77A87E3-D64A-4C20-B074-C0CE9167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0112" y="1822707"/>
          <a:ext cx="340587" cy="349861"/>
        </a:xfrm>
        <a:prstGeom prst="rect">
          <a:avLst/>
        </a:prstGeom>
      </xdr:spPr>
    </xdr:pic>
    <xdr:clientData/>
  </xdr:twoCellAnchor>
  <xdr:twoCellAnchor editAs="oneCell">
    <xdr:from>
      <xdr:col>8</xdr:col>
      <xdr:colOff>472205</xdr:colOff>
      <xdr:row>20</xdr:row>
      <xdr:rowOff>45480</xdr:rowOff>
    </xdr:from>
    <xdr:to>
      <xdr:col>8</xdr:col>
      <xdr:colOff>769803</xdr:colOff>
      <xdr:row>21</xdr:row>
      <xdr:rowOff>151667</xdr:rowOff>
    </xdr:to>
    <xdr:pic>
      <xdr:nvPicPr>
        <xdr:cNvPr id="8" name="Grafik 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3DE9E6-4C9D-47D3-AF92-54500F4F4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205" y="3818845"/>
          <a:ext cx="303948" cy="289360"/>
        </a:xfrm>
        <a:prstGeom prst="rect">
          <a:avLst/>
        </a:prstGeom>
      </xdr:spPr>
    </xdr:pic>
    <xdr:clientData/>
  </xdr:twoCellAnchor>
  <xdr:twoCellAnchor editAs="oneCell">
    <xdr:from>
      <xdr:col>8</xdr:col>
      <xdr:colOff>88973</xdr:colOff>
      <xdr:row>20</xdr:row>
      <xdr:rowOff>55006</xdr:rowOff>
    </xdr:from>
    <xdr:to>
      <xdr:col>8</xdr:col>
      <xdr:colOff>369293</xdr:colOff>
      <xdr:row>21</xdr:row>
      <xdr:rowOff>149714</xdr:rowOff>
    </xdr:to>
    <xdr:pic>
      <xdr:nvPicPr>
        <xdr:cNvPr id="9" name="Grafik 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602C11A-AFB3-4F8B-9B04-7E6C279A1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3973" y="3828371"/>
          <a:ext cx="286670" cy="277881"/>
        </a:xfrm>
        <a:prstGeom prst="rect">
          <a:avLst/>
        </a:prstGeom>
      </xdr:spPr>
    </xdr:pic>
    <xdr:clientData/>
  </xdr:twoCellAnchor>
  <xdr:twoCellAnchor editAs="oneCell">
    <xdr:from>
      <xdr:col>8</xdr:col>
      <xdr:colOff>831552</xdr:colOff>
      <xdr:row>20</xdr:row>
      <xdr:rowOff>55962</xdr:rowOff>
    </xdr:from>
    <xdr:to>
      <xdr:col>8</xdr:col>
      <xdr:colOff>1144265</xdr:colOff>
      <xdr:row>21</xdr:row>
      <xdr:rowOff>163147</xdr:rowOff>
    </xdr:to>
    <xdr:pic>
      <xdr:nvPicPr>
        <xdr:cNvPr id="10" name="Grafik 9" descr="Welt mit einfarbiger Füllung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1AAA311-D433-4546-A2F2-B5A3A323F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546552" y="3829327"/>
          <a:ext cx="312713" cy="290358"/>
        </a:xfrm>
        <a:prstGeom prst="rect">
          <a:avLst/>
        </a:prstGeom>
      </xdr:spPr>
    </xdr:pic>
    <xdr:clientData/>
  </xdr:twoCellAnchor>
  <xdr:twoCellAnchor editAs="oneCell">
    <xdr:from>
      <xdr:col>8</xdr:col>
      <xdr:colOff>351693</xdr:colOff>
      <xdr:row>25</xdr:row>
      <xdr:rowOff>175846</xdr:rowOff>
    </xdr:from>
    <xdr:to>
      <xdr:col>8</xdr:col>
      <xdr:colOff>820616</xdr:colOff>
      <xdr:row>28</xdr:row>
      <xdr:rowOff>73269</xdr:rowOff>
    </xdr:to>
    <xdr:pic>
      <xdr:nvPicPr>
        <xdr:cNvPr id="11" name="Grafik 10" descr="Gruppenbrainstorming Silhouett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D6C2941-035C-4C07-B0F4-09343879F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104793" y="4947871"/>
          <a:ext cx="468923" cy="468923"/>
        </a:xfrm>
        <a:prstGeom prst="rect">
          <a:avLst/>
        </a:prstGeom>
      </xdr:spPr>
    </xdr:pic>
    <xdr:clientData/>
  </xdr:twoCellAnchor>
  <xdr:twoCellAnchor editAs="oneCell">
    <xdr:from>
      <xdr:col>8</xdr:col>
      <xdr:colOff>251289</xdr:colOff>
      <xdr:row>18</xdr:row>
      <xdr:rowOff>20248</xdr:rowOff>
    </xdr:from>
    <xdr:to>
      <xdr:col>8</xdr:col>
      <xdr:colOff>660103</xdr:colOff>
      <xdr:row>20</xdr:row>
      <xdr:rowOff>7548</xdr:rowOff>
    </xdr:to>
    <xdr:pic>
      <xdr:nvPicPr>
        <xdr:cNvPr id="13" name="Grafik 12" descr="Gedanken Silhouett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6C87D78-D324-C5F4-AE12-91B0748B3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5966289" y="3416403"/>
          <a:ext cx="402464" cy="355162"/>
        </a:xfrm>
        <a:prstGeom prst="rect">
          <a:avLst/>
        </a:prstGeom>
      </xdr:spPr>
    </xdr:pic>
    <xdr:clientData/>
  </xdr:twoCellAnchor>
  <xdr:twoCellAnchor>
    <xdr:from>
      <xdr:col>8</xdr:col>
      <xdr:colOff>87923</xdr:colOff>
      <xdr:row>23</xdr:row>
      <xdr:rowOff>87923</xdr:rowOff>
    </xdr:from>
    <xdr:to>
      <xdr:col>8</xdr:col>
      <xdr:colOff>1084745</xdr:colOff>
      <xdr:row>24</xdr:row>
      <xdr:rowOff>124173</xdr:rowOff>
    </xdr:to>
    <xdr:grpSp>
      <xdr:nvGrpSpPr>
        <xdr:cNvPr id="16" name="Gruppieren 15">
          <a:extLst>
            <a:ext uri="{FF2B5EF4-FFF2-40B4-BE49-F238E27FC236}">
              <a16:creationId xmlns:a16="http://schemas.microsoft.com/office/drawing/2014/main" id="{78DBD023-3774-48CA-AF06-1CEDFF93A351}"/>
            </a:ext>
          </a:extLst>
        </xdr:cNvPr>
        <xdr:cNvGrpSpPr/>
      </xdr:nvGrpSpPr>
      <xdr:grpSpPr>
        <a:xfrm>
          <a:off x="5812692" y="4386385"/>
          <a:ext cx="996822" cy="221865"/>
          <a:chOff x="4130444" y="3557713"/>
          <a:chExt cx="768976" cy="216568"/>
        </a:xfrm>
      </xdr:grpSpPr>
      <xdr:pic>
        <xdr:nvPicPr>
          <xdr:cNvPr id="17" name="Grafik 16">
            <a:extLst>
              <a:ext uri="{FF2B5EF4-FFF2-40B4-BE49-F238E27FC236}">
                <a16:creationId xmlns:a16="http://schemas.microsoft.com/office/drawing/2014/main" id="{46512931-18A7-F56F-BAC8-5308CE35D2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8" name="Textfeld 17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ADC2BC21-D3FA-1D39-5161-9D690F5F1DA6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1.5_Auftrag</a:t>
            </a:r>
          </a:p>
        </xdr:txBody>
      </xdr:sp>
    </xdr:grpSp>
    <xdr:clientData/>
  </xdr:twoCellAnchor>
  <xdr:twoCellAnchor>
    <xdr:from>
      <xdr:col>8</xdr:col>
      <xdr:colOff>58615</xdr:colOff>
      <xdr:row>33</xdr:row>
      <xdr:rowOff>87923</xdr:rowOff>
    </xdr:from>
    <xdr:to>
      <xdr:col>8</xdr:col>
      <xdr:colOff>1052262</xdr:colOff>
      <xdr:row>34</xdr:row>
      <xdr:rowOff>128952</xdr:rowOff>
    </xdr:to>
    <xdr:grpSp>
      <xdr:nvGrpSpPr>
        <xdr:cNvPr id="19" name="Gruppieren 18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4B37BCE-04F3-4801-B489-E4C9BC8D2BAD}"/>
            </a:ext>
          </a:extLst>
        </xdr:cNvPr>
        <xdr:cNvGrpSpPr/>
      </xdr:nvGrpSpPr>
      <xdr:grpSpPr>
        <a:xfrm>
          <a:off x="5783384" y="6188808"/>
          <a:ext cx="993647" cy="236413"/>
          <a:chOff x="4130444" y="3557713"/>
          <a:chExt cx="768976" cy="216568"/>
        </a:xfrm>
      </xdr:grpSpPr>
      <xdr:pic>
        <xdr:nvPicPr>
          <xdr:cNvPr id="20" name="Grafik 19">
            <a:extLst>
              <a:ext uri="{FF2B5EF4-FFF2-40B4-BE49-F238E27FC236}">
                <a16:creationId xmlns:a16="http://schemas.microsoft.com/office/drawing/2014/main" id="{C033B662-4988-EB16-CA35-CA73E79BAE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21" name="Textfeld 20">
            <a:extLst>
              <a:ext uri="{FF2B5EF4-FFF2-40B4-BE49-F238E27FC236}">
                <a16:creationId xmlns:a16="http://schemas.microsoft.com/office/drawing/2014/main" id="{D896BDFE-6471-752E-5E8D-DFEF8796F0EA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1.1_Auftrag</a:t>
            </a:r>
          </a:p>
        </xdr:txBody>
      </xdr:sp>
    </xdr:grpSp>
    <xdr:clientData/>
  </xdr:twoCellAnchor>
  <xdr:twoCellAnchor editAs="oneCell">
    <xdr:from>
      <xdr:col>8</xdr:col>
      <xdr:colOff>80596</xdr:colOff>
      <xdr:row>39</xdr:row>
      <xdr:rowOff>29307</xdr:rowOff>
    </xdr:from>
    <xdr:to>
      <xdr:col>8</xdr:col>
      <xdr:colOff>411964</xdr:colOff>
      <xdr:row>40</xdr:row>
      <xdr:rowOff>133182</xdr:rowOff>
    </xdr:to>
    <xdr:pic>
      <xdr:nvPicPr>
        <xdr:cNvPr id="22" name="Grafik 21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F6B9B95-F2B2-4113-9942-9E211D6AC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5596" y="7297615"/>
          <a:ext cx="325018" cy="301702"/>
        </a:xfrm>
        <a:prstGeom prst="rect">
          <a:avLst/>
        </a:prstGeom>
      </xdr:spPr>
    </xdr:pic>
    <xdr:clientData/>
  </xdr:twoCellAnchor>
  <xdr:twoCellAnchor>
    <xdr:from>
      <xdr:col>3</xdr:col>
      <xdr:colOff>1086337</xdr:colOff>
      <xdr:row>22</xdr:row>
      <xdr:rowOff>92318</xdr:rowOff>
    </xdr:from>
    <xdr:to>
      <xdr:col>6</xdr:col>
      <xdr:colOff>556845</xdr:colOff>
      <xdr:row>25</xdr:row>
      <xdr:rowOff>58615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4A685F93-E725-4149-AF61-9A9FD524F165}"/>
            </a:ext>
          </a:extLst>
        </xdr:cNvPr>
        <xdr:cNvSpPr txBox="1"/>
      </xdr:nvSpPr>
      <xdr:spPr>
        <a:xfrm>
          <a:off x="2522414" y="4205164"/>
          <a:ext cx="2508739" cy="523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1.5_Zeit über 3 Schultage sehr knapp, zügig arbeiten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1128713</xdr:colOff>
      <xdr:row>44</xdr:row>
      <xdr:rowOff>41672</xdr:rowOff>
    </xdr:from>
    <xdr:to>
      <xdr:col>4</xdr:col>
      <xdr:colOff>439286</xdr:colOff>
      <xdr:row>46</xdr:row>
      <xdr:rowOff>95250</xdr:rowOff>
    </xdr:to>
    <xdr:pic>
      <xdr:nvPicPr>
        <xdr:cNvPr id="32" name="Grafik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D5AEB-BE9A-019B-C8B8-2EE6A1DEF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416" y="8685610"/>
          <a:ext cx="471433" cy="470296"/>
        </a:xfrm>
        <a:prstGeom prst="rect">
          <a:avLst/>
        </a:prstGeom>
      </xdr:spPr>
    </xdr:pic>
    <xdr:clientData/>
  </xdr:twoCellAnchor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149843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1135FCFE-E58F-4664-8624-E9A8147BD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02583" y="7897319"/>
          <a:ext cx="342673" cy="334581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43</xdr:row>
      <xdr:rowOff>200243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65F03F45-C27F-4BFF-B882-05780E47A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095313" y="7907064"/>
          <a:ext cx="364468" cy="367205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159589</xdr:rowOff>
    </xdr:to>
    <xdr:pic>
      <xdr:nvPicPr>
        <xdr:cNvPr id="4" name="Grafik 3" descr="Fernglas Silhouet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6CFB0C-D2A0-4811-B2CA-41E596D5D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457730" y="7877395"/>
          <a:ext cx="364469" cy="361076"/>
        </a:xfrm>
        <a:prstGeom prst="rect">
          <a:avLst/>
        </a:prstGeom>
      </xdr:spPr>
    </xdr:pic>
    <xdr:clientData/>
  </xdr:twoCellAnchor>
  <xdr:twoCellAnchor editAs="oneCell">
    <xdr:from>
      <xdr:col>8</xdr:col>
      <xdr:colOff>81342</xdr:colOff>
      <xdr:row>9</xdr:row>
      <xdr:rowOff>29956</xdr:rowOff>
    </xdr:from>
    <xdr:to>
      <xdr:col>8</xdr:col>
      <xdr:colOff>428279</xdr:colOff>
      <xdr:row>10</xdr:row>
      <xdr:rowOff>166905</xdr:rowOff>
    </xdr:to>
    <xdr:pic>
      <xdr:nvPicPr>
        <xdr:cNvPr id="5" name="Grafik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8F562B3-CEE5-4041-B38C-1BF49844D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4436" y="1827800"/>
          <a:ext cx="350112" cy="353736"/>
        </a:xfrm>
        <a:prstGeom prst="rect">
          <a:avLst/>
        </a:prstGeom>
      </xdr:spPr>
    </xdr:pic>
    <xdr:clientData/>
  </xdr:twoCellAnchor>
  <xdr:twoCellAnchor editAs="oneCell">
    <xdr:from>
      <xdr:col>8</xdr:col>
      <xdr:colOff>79004</xdr:colOff>
      <xdr:row>12</xdr:row>
      <xdr:rowOff>32176</xdr:rowOff>
    </xdr:from>
    <xdr:to>
      <xdr:col>8</xdr:col>
      <xdr:colOff>432291</xdr:colOff>
      <xdr:row>13</xdr:row>
      <xdr:rowOff>165949</xdr:rowOff>
    </xdr:to>
    <xdr:pic>
      <xdr:nvPicPr>
        <xdr:cNvPr id="6" name="Grafik 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8B118F3-B495-45D3-BC94-3A87F6B5A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3312" y="2398772"/>
          <a:ext cx="353287" cy="346254"/>
        </a:xfrm>
        <a:prstGeom prst="rect">
          <a:avLst/>
        </a:prstGeom>
      </xdr:spPr>
    </xdr:pic>
    <xdr:clientData/>
  </xdr:twoCellAnchor>
  <xdr:twoCellAnchor editAs="oneCell">
    <xdr:from>
      <xdr:col>8</xdr:col>
      <xdr:colOff>583406</xdr:colOff>
      <xdr:row>9</xdr:row>
      <xdr:rowOff>29766</xdr:rowOff>
    </xdr:from>
    <xdr:to>
      <xdr:col>8</xdr:col>
      <xdr:colOff>923993</xdr:colOff>
      <xdr:row>10</xdr:row>
      <xdr:rowOff>166715</xdr:rowOff>
    </xdr:to>
    <xdr:pic>
      <xdr:nvPicPr>
        <xdr:cNvPr id="11" name="Grafik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A009E3B-AB6F-409E-BF0A-23CD3D6EB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1827610"/>
          <a:ext cx="343762" cy="353736"/>
        </a:xfrm>
        <a:prstGeom prst="rect">
          <a:avLst/>
        </a:prstGeom>
      </xdr:spPr>
    </xdr:pic>
    <xdr:clientData/>
  </xdr:twoCellAnchor>
  <xdr:twoCellAnchor editAs="oneCell">
    <xdr:from>
      <xdr:col>7</xdr:col>
      <xdr:colOff>320931</xdr:colOff>
      <xdr:row>36</xdr:row>
      <xdr:rowOff>172385</xdr:rowOff>
    </xdr:from>
    <xdr:to>
      <xdr:col>8</xdr:col>
      <xdr:colOff>483576</xdr:colOff>
      <xdr:row>38</xdr:row>
      <xdr:rowOff>89297</xdr:rowOff>
    </xdr:to>
    <xdr:pic>
      <xdr:nvPicPr>
        <xdr:cNvPr id="12" name="Grafik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53CA570-0251-8897-9485-F75265DCF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08509" y="7274463"/>
          <a:ext cx="507926" cy="33363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60900</xdr:colOff>
      <xdr:row>24</xdr:row>
      <xdr:rowOff>22412</xdr:rowOff>
    </xdr:from>
    <xdr:to>
      <xdr:col>8</xdr:col>
      <xdr:colOff>414187</xdr:colOff>
      <xdr:row>25</xdr:row>
      <xdr:rowOff>153262</xdr:rowOff>
    </xdr:to>
    <xdr:pic>
      <xdr:nvPicPr>
        <xdr:cNvPr id="13" name="Grafik 1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4A75886-3A52-4718-A44E-F3E98850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8312" y="4628030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8</xdr:col>
      <xdr:colOff>592843</xdr:colOff>
      <xdr:row>12</xdr:row>
      <xdr:rowOff>29927</xdr:rowOff>
    </xdr:from>
    <xdr:to>
      <xdr:col>8</xdr:col>
      <xdr:colOff>946130</xdr:colOff>
      <xdr:row>13</xdr:row>
      <xdr:rowOff>160345</xdr:rowOff>
    </xdr:to>
    <xdr:pic>
      <xdr:nvPicPr>
        <xdr:cNvPr id="15" name="Grafik 1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3174992-90E5-43E8-A7CF-859712B23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7151" y="2396523"/>
          <a:ext cx="353287" cy="342899"/>
        </a:xfrm>
        <a:prstGeom prst="rect">
          <a:avLst/>
        </a:prstGeom>
      </xdr:spPr>
    </xdr:pic>
    <xdr:clientData/>
  </xdr:twoCellAnchor>
  <xdr:twoCellAnchor>
    <xdr:from>
      <xdr:col>8</xdr:col>
      <xdr:colOff>67235</xdr:colOff>
      <xdr:row>22</xdr:row>
      <xdr:rowOff>100854</xdr:rowOff>
    </xdr:from>
    <xdr:to>
      <xdr:col>8</xdr:col>
      <xdr:colOff>1064057</xdr:colOff>
      <xdr:row>23</xdr:row>
      <xdr:rowOff>137104</xdr:rowOff>
    </xdr:to>
    <xdr:grpSp>
      <xdr:nvGrpSpPr>
        <xdr:cNvPr id="7" name="Gruppieren 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878A7E5-7ACE-42E8-A27D-DB45C0985400}"/>
            </a:ext>
          </a:extLst>
        </xdr:cNvPr>
        <xdr:cNvGrpSpPr/>
      </xdr:nvGrpSpPr>
      <xdr:grpSpPr>
        <a:xfrm>
          <a:off x="5788585" y="4380754"/>
          <a:ext cx="996822" cy="245800"/>
          <a:chOff x="4130444" y="3557713"/>
          <a:chExt cx="768976" cy="216568"/>
        </a:xfrm>
      </xdr:grpSpPr>
      <xdr:pic>
        <xdr:nvPicPr>
          <xdr:cNvPr id="8" name="Grafik 7">
            <a:extLst>
              <a:ext uri="{FF2B5EF4-FFF2-40B4-BE49-F238E27FC236}">
                <a16:creationId xmlns:a16="http://schemas.microsoft.com/office/drawing/2014/main" id="{7955E1EC-E058-2348-3829-0AFAE7B771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9" name="Textfeld 8">
            <a:extLst>
              <a:ext uri="{FF2B5EF4-FFF2-40B4-BE49-F238E27FC236}">
                <a16:creationId xmlns:a16="http://schemas.microsoft.com/office/drawing/2014/main" id="{581258E8-1D64-6DD5-E41B-CDD3C6F21DEC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1.5_Auftrag</a:t>
            </a:r>
          </a:p>
        </xdr:txBody>
      </xdr:sp>
    </xdr:grpSp>
    <xdr:clientData/>
  </xdr:twoCellAnchor>
  <xdr:twoCellAnchor>
    <xdr:from>
      <xdr:col>8</xdr:col>
      <xdr:colOff>78441</xdr:colOff>
      <xdr:row>33</xdr:row>
      <xdr:rowOff>67235</xdr:rowOff>
    </xdr:from>
    <xdr:to>
      <xdr:col>8</xdr:col>
      <xdr:colOff>1072088</xdr:colOff>
      <xdr:row>34</xdr:row>
      <xdr:rowOff>108264</xdr:rowOff>
    </xdr:to>
    <xdr:grpSp>
      <xdr:nvGrpSpPr>
        <xdr:cNvPr id="20" name="Gruppieren 19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B819F61-E61D-4F09-88A3-6C81CCD85280}"/>
            </a:ext>
          </a:extLst>
        </xdr:cNvPr>
        <xdr:cNvGrpSpPr/>
      </xdr:nvGrpSpPr>
      <xdr:grpSpPr>
        <a:xfrm>
          <a:off x="5799791" y="6563285"/>
          <a:ext cx="993647" cy="250579"/>
          <a:chOff x="4130444" y="3557713"/>
          <a:chExt cx="768976" cy="216568"/>
        </a:xfrm>
      </xdr:grpSpPr>
      <xdr:pic>
        <xdr:nvPicPr>
          <xdr:cNvPr id="21" name="Grafik 20">
            <a:extLst>
              <a:ext uri="{FF2B5EF4-FFF2-40B4-BE49-F238E27FC236}">
                <a16:creationId xmlns:a16="http://schemas.microsoft.com/office/drawing/2014/main" id="{5FC2F6C6-412D-F26F-458F-47457AFE10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22" name="Textfeld 21">
            <a:extLst>
              <a:ext uri="{FF2B5EF4-FFF2-40B4-BE49-F238E27FC236}">
                <a16:creationId xmlns:a16="http://schemas.microsoft.com/office/drawing/2014/main" id="{1D7D4C87-01E2-A956-A4A4-88BDC83A17FC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1.3_Auftrag</a:t>
            </a:r>
          </a:p>
        </xdr:txBody>
      </xdr:sp>
    </xdr:grpSp>
    <xdr:clientData/>
  </xdr:twoCellAnchor>
  <xdr:twoCellAnchor>
    <xdr:from>
      <xdr:col>8</xdr:col>
      <xdr:colOff>119859</xdr:colOff>
      <xdr:row>38</xdr:row>
      <xdr:rowOff>47624</xdr:rowOff>
    </xdr:from>
    <xdr:to>
      <xdr:col>8</xdr:col>
      <xdr:colOff>1007017</xdr:colOff>
      <xdr:row>39</xdr:row>
      <xdr:rowOff>103825</xdr:rowOff>
    </xdr:to>
    <xdr:grpSp>
      <xdr:nvGrpSpPr>
        <xdr:cNvPr id="26" name="Gruppieren 25">
          <a:extLst>
            <a:ext uri="{FF2B5EF4-FFF2-40B4-BE49-F238E27FC236}">
              <a16:creationId xmlns:a16="http://schemas.microsoft.com/office/drawing/2014/main" id="{1030F722-107F-418D-7614-C7398AA3B181}"/>
            </a:ext>
          </a:extLst>
        </xdr:cNvPr>
        <xdr:cNvGrpSpPr/>
      </xdr:nvGrpSpPr>
      <xdr:grpSpPr>
        <a:xfrm>
          <a:off x="5841209" y="7591424"/>
          <a:ext cx="887158" cy="265751"/>
          <a:chOff x="6090843" y="7494984"/>
          <a:chExt cx="887158" cy="264560"/>
        </a:xfrm>
      </xdr:grpSpPr>
      <xdr:pic>
        <xdr:nvPicPr>
          <xdr:cNvPr id="24" name="Grafik 23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9EEB3848-A4A5-2744-D519-F2B045EBA4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25" name="Textfeld 24">
            <a:extLst>
              <a:ext uri="{FF2B5EF4-FFF2-40B4-BE49-F238E27FC236}">
                <a16:creationId xmlns:a16="http://schemas.microsoft.com/office/drawing/2014/main" id="{4F664E87-B55C-BBC0-B5B7-7B055660D0AE}"/>
              </a:ext>
            </a:extLst>
          </xdr:cNvPr>
          <xdr:cNvSpPr txBox="1"/>
        </xdr:nvSpPr>
        <xdr:spPr>
          <a:xfrm>
            <a:off x="6268640" y="7494984"/>
            <a:ext cx="70936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1.3_LNW</a:t>
            </a:r>
          </a:p>
        </xdr:txBody>
      </xdr:sp>
    </xdr:grpSp>
    <xdr:clientData/>
  </xdr:twoCellAnchor>
  <xdr:twoCellAnchor>
    <xdr:from>
      <xdr:col>5</xdr:col>
      <xdr:colOff>0</xdr:colOff>
      <xdr:row>24</xdr:row>
      <xdr:rowOff>0</xdr:rowOff>
    </xdr:from>
    <xdr:to>
      <xdr:col>8</xdr:col>
      <xdr:colOff>330689</xdr:colOff>
      <xdr:row>26</xdr:row>
      <xdr:rowOff>104043</xdr:rowOff>
    </xdr:to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9970E574-7FD9-423F-A003-A9DFDAE86C7B}"/>
            </a:ext>
          </a:extLst>
        </xdr:cNvPr>
        <xdr:cNvSpPr txBox="1"/>
      </xdr:nvSpPr>
      <xdr:spPr>
        <a:xfrm>
          <a:off x="3543300" y="4699000"/>
          <a:ext cx="2508739" cy="523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1.5_Zeit über 3 Schultage sehr knapp, zügig arbeiten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149843</xdr:rowOff>
    </xdr:to>
    <xdr:pic>
      <xdr:nvPicPr>
        <xdr:cNvPr id="3" name="Grafik 2" descr="Klemmbrett abgehakt Silhouette">
          <a:extLst>
            <a:ext uri="{FF2B5EF4-FFF2-40B4-BE49-F238E27FC236}">
              <a16:creationId xmlns:a16="http://schemas.microsoft.com/office/drawing/2014/main" id="{CFAC8183-136E-4AD5-A66B-FC6530267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8300544"/>
          <a:ext cx="336323" cy="326549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43</xdr:row>
      <xdr:rowOff>200243</xdr:rowOff>
    </xdr:to>
    <xdr:pic>
      <xdr:nvPicPr>
        <xdr:cNvPr id="4" name="Grafik 3" descr="Kommentar (wichtig) Silhouette">
          <a:extLst>
            <a:ext uri="{FF2B5EF4-FFF2-40B4-BE49-F238E27FC236}">
              <a16:creationId xmlns:a16="http://schemas.microsoft.com/office/drawing/2014/main" id="{610E518B-0E39-4489-BC1B-865C3FB01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8307114"/>
          <a:ext cx="377168" cy="370379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159589</xdr:rowOff>
    </xdr:to>
    <xdr:pic>
      <xdr:nvPicPr>
        <xdr:cNvPr id="5" name="Grafik 4" descr="Fernglas Silhouet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D4A1ECC-B8C5-4886-994D-19573D3CE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489480" y="8274270"/>
          <a:ext cx="358119" cy="362569"/>
        </a:xfrm>
        <a:prstGeom prst="rect">
          <a:avLst/>
        </a:prstGeom>
      </xdr:spPr>
    </xdr:pic>
    <xdr:clientData/>
  </xdr:twoCellAnchor>
  <xdr:twoCellAnchor editAs="oneCell">
    <xdr:from>
      <xdr:col>8</xdr:col>
      <xdr:colOff>161938</xdr:colOff>
      <xdr:row>9</xdr:row>
      <xdr:rowOff>59264</xdr:rowOff>
    </xdr:from>
    <xdr:to>
      <xdr:col>8</xdr:col>
      <xdr:colOff>508875</xdr:colOff>
      <xdr:row>10</xdr:row>
      <xdr:rowOff>200092</xdr:rowOff>
    </xdr:to>
    <xdr:pic>
      <xdr:nvPicPr>
        <xdr:cNvPr id="24" name="Grafik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2642A8A-C68E-4FA4-B408-1A4C47EE9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88" y="1840439"/>
          <a:ext cx="346937" cy="350378"/>
        </a:xfrm>
        <a:prstGeom prst="rect">
          <a:avLst/>
        </a:prstGeom>
      </xdr:spPr>
    </xdr:pic>
    <xdr:clientData/>
  </xdr:twoCellAnchor>
  <xdr:twoCellAnchor editAs="oneCell">
    <xdr:from>
      <xdr:col>8</xdr:col>
      <xdr:colOff>144946</xdr:colOff>
      <xdr:row>12</xdr:row>
      <xdr:rowOff>39503</xdr:rowOff>
    </xdr:from>
    <xdr:to>
      <xdr:col>8</xdr:col>
      <xdr:colOff>498233</xdr:colOff>
      <xdr:row>13</xdr:row>
      <xdr:rowOff>174957</xdr:rowOff>
    </xdr:to>
    <xdr:pic>
      <xdr:nvPicPr>
        <xdr:cNvPr id="25" name="Grafik 2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C384983-FC99-432B-A52B-DE07988C7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254" y="2406099"/>
          <a:ext cx="353287" cy="347935"/>
        </a:xfrm>
        <a:prstGeom prst="rect">
          <a:avLst/>
        </a:prstGeom>
      </xdr:spPr>
    </xdr:pic>
    <xdr:clientData/>
  </xdr:twoCellAnchor>
  <xdr:twoCellAnchor editAs="oneCell">
    <xdr:from>
      <xdr:col>8</xdr:col>
      <xdr:colOff>693310</xdr:colOff>
      <xdr:row>12</xdr:row>
      <xdr:rowOff>29766</xdr:rowOff>
    </xdr:from>
    <xdr:to>
      <xdr:col>8</xdr:col>
      <xdr:colOff>1033897</xdr:colOff>
      <xdr:row>13</xdr:row>
      <xdr:rowOff>168396</xdr:rowOff>
    </xdr:to>
    <xdr:pic>
      <xdr:nvPicPr>
        <xdr:cNvPr id="26" name="Grafik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3E59548-78D4-426E-AD86-36F3D0788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360" y="2411016"/>
          <a:ext cx="340587" cy="348180"/>
        </a:xfrm>
        <a:prstGeom prst="rect">
          <a:avLst/>
        </a:prstGeom>
      </xdr:spPr>
    </xdr:pic>
    <xdr:clientData/>
  </xdr:twoCellAnchor>
  <xdr:twoCellAnchor editAs="oneCell">
    <xdr:from>
      <xdr:col>6</xdr:col>
      <xdr:colOff>376157</xdr:colOff>
      <xdr:row>23</xdr:row>
      <xdr:rowOff>189863</xdr:rowOff>
    </xdr:from>
    <xdr:to>
      <xdr:col>6</xdr:col>
      <xdr:colOff>704350</xdr:colOff>
      <xdr:row>25</xdr:row>
      <xdr:rowOff>74698</xdr:rowOff>
    </xdr:to>
    <xdr:pic>
      <xdr:nvPicPr>
        <xdr:cNvPr id="27" name="Grafik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40639AA-E27D-4951-A102-EE2F44F9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2432" y="4609463"/>
          <a:ext cx="328193" cy="303935"/>
        </a:xfrm>
        <a:prstGeom prst="rect">
          <a:avLst/>
        </a:prstGeom>
      </xdr:spPr>
    </xdr:pic>
    <xdr:clientData/>
  </xdr:twoCellAnchor>
  <xdr:twoCellAnchor>
    <xdr:from>
      <xdr:col>8</xdr:col>
      <xdr:colOff>59890</xdr:colOff>
      <xdr:row>23</xdr:row>
      <xdr:rowOff>169794</xdr:rowOff>
    </xdr:from>
    <xdr:to>
      <xdr:col>8</xdr:col>
      <xdr:colOff>947048</xdr:colOff>
      <xdr:row>25</xdr:row>
      <xdr:rowOff>14808</xdr:rowOff>
    </xdr:to>
    <xdr:grpSp>
      <xdr:nvGrpSpPr>
        <xdr:cNvPr id="28" name="Gruppieren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AA3F307-9C75-41D6-867B-70781E36F38C}"/>
            </a:ext>
          </a:extLst>
        </xdr:cNvPr>
        <xdr:cNvGrpSpPr/>
      </xdr:nvGrpSpPr>
      <xdr:grpSpPr>
        <a:xfrm>
          <a:off x="5781240" y="4583044"/>
          <a:ext cx="887158" cy="264114"/>
          <a:chOff x="6090843" y="7494984"/>
          <a:chExt cx="887158" cy="260085"/>
        </a:xfrm>
      </xdr:grpSpPr>
      <xdr:pic>
        <xdr:nvPicPr>
          <xdr:cNvPr id="29" name="Grafik 28">
            <a:extLst>
              <a:ext uri="{FF2B5EF4-FFF2-40B4-BE49-F238E27FC236}">
                <a16:creationId xmlns:a16="http://schemas.microsoft.com/office/drawing/2014/main" id="{AC36BA62-5D5C-9795-7373-50595371EB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30" name="Textfeld 29">
            <a:extLst>
              <a:ext uri="{FF2B5EF4-FFF2-40B4-BE49-F238E27FC236}">
                <a16:creationId xmlns:a16="http://schemas.microsoft.com/office/drawing/2014/main" id="{800E6304-4B6F-4E40-B3DF-7033ADA59B5F}"/>
              </a:ext>
            </a:extLst>
          </xdr:cNvPr>
          <xdr:cNvSpPr txBox="1"/>
        </xdr:nvSpPr>
        <xdr:spPr>
          <a:xfrm>
            <a:off x="6268640" y="7494984"/>
            <a:ext cx="709361" cy="2600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1.5_LNW</a:t>
            </a:r>
          </a:p>
        </xdr:txBody>
      </xdr:sp>
    </xdr:grpSp>
    <xdr:clientData/>
  </xdr:twoCellAnchor>
  <xdr:twoCellAnchor editAs="oneCell">
    <xdr:from>
      <xdr:col>8</xdr:col>
      <xdr:colOff>31750</xdr:colOff>
      <xdr:row>21</xdr:row>
      <xdr:rowOff>205153</xdr:rowOff>
    </xdr:from>
    <xdr:to>
      <xdr:col>8</xdr:col>
      <xdr:colOff>416414</xdr:colOff>
      <xdr:row>23</xdr:row>
      <xdr:rowOff>171346</xdr:rowOff>
    </xdr:to>
    <xdr:pic>
      <xdr:nvPicPr>
        <xdr:cNvPr id="31" name="Grafik 30" descr="Gamecontroller Silhouett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E8C7F6A-F31F-4C8C-884A-4D426E551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76058" y="4330211"/>
          <a:ext cx="384664" cy="391154"/>
        </a:xfrm>
        <a:prstGeom prst="rect">
          <a:avLst/>
        </a:prstGeom>
      </xdr:spPr>
    </xdr:pic>
    <xdr:clientData/>
  </xdr:twoCellAnchor>
  <xdr:twoCellAnchor editAs="oneCell">
    <xdr:from>
      <xdr:col>8</xdr:col>
      <xdr:colOff>483577</xdr:colOff>
      <xdr:row>21</xdr:row>
      <xdr:rowOff>209537</xdr:rowOff>
    </xdr:from>
    <xdr:to>
      <xdr:col>8</xdr:col>
      <xdr:colOff>868241</xdr:colOff>
      <xdr:row>23</xdr:row>
      <xdr:rowOff>169938</xdr:rowOff>
    </xdr:to>
    <xdr:pic>
      <xdr:nvPicPr>
        <xdr:cNvPr id="32" name="Grafik 31" descr="Gamecontroller Silhouett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BF47552-269C-4A0C-8592-72312D3A2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227885" y="4334595"/>
          <a:ext cx="384664" cy="385362"/>
        </a:xfrm>
        <a:prstGeom prst="rect">
          <a:avLst/>
        </a:prstGeom>
      </xdr:spPr>
    </xdr:pic>
    <xdr:clientData/>
  </xdr:twoCellAnchor>
  <xdr:twoCellAnchor editAs="oneCell">
    <xdr:from>
      <xdr:col>8</xdr:col>
      <xdr:colOff>849924</xdr:colOff>
      <xdr:row>44</xdr:row>
      <xdr:rowOff>35901</xdr:rowOff>
    </xdr:from>
    <xdr:to>
      <xdr:col>8</xdr:col>
      <xdr:colOff>1061500</xdr:colOff>
      <xdr:row>45</xdr:row>
      <xdr:rowOff>21248</xdr:rowOff>
    </xdr:to>
    <xdr:pic>
      <xdr:nvPicPr>
        <xdr:cNvPr id="33" name="Grafik 3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FE5F13C-7B55-40CB-BA70-5F6E0CAC3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3974" y="8598876"/>
          <a:ext cx="211576" cy="194897"/>
        </a:xfrm>
        <a:prstGeom prst="rect">
          <a:avLst/>
        </a:prstGeom>
      </xdr:spPr>
    </xdr:pic>
    <xdr:clientData/>
  </xdr:twoCellAnchor>
  <xdr:twoCellAnchor>
    <xdr:from>
      <xdr:col>3</xdr:col>
      <xdr:colOff>271096</xdr:colOff>
      <xdr:row>44</xdr:row>
      <xdr:rowOff>153865</xdr:rowOff>
    </xdr:from>
    <xdr:to>
      <xdr:col>3</xdr:col>
      <xdr:colOff>1158254</xdr:colOff>
      <xdr:row>45</xdr:row>
      <xdr:rowOff>211361</xdr:rowOff>
    </xdr:to>
    <xdr:grpSp>
      <xdr:nvGrpSpPr>
        <xdr:cNvPr id="38" name="Gruppieren 3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DE34B37-EA1F-424D-B71F-0403FA26DF54}"/>
            </a:ext>
          </a:extLst>
        </xdr:cNvPr>
        <xdr:cNvGrpSpPr/>
      </xdr:nvGrpSpPr>
      <xdr:grpSpPr>
        <a:xfrm>
          <a:off x="1706196" y="8707315"/>
          <a:ext cx="887158" cy="267046"/>
          <a:chOff x="6090843" y="7494984"/>
          <a:chExt cx="887158" cy="260085"/>
        </a:xfrm>
      </xdr:grpSpPr>
      <xdr:pic>
        <xdr:nvPicPr>
          <xdr:cNvPr id="39" name="Grafik 38">
            <a:extLst>
              <a:ext uri="{FF2B5EF4-FFF2-40B4-BE49-F238E27FC236}">
                <a16:creationId xmlns:a16="http://schemas.microsoft.com/office/drawing/2014/main" id="{9BD0448F-E16B-3174-3A3A-0BFD8551EB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40" name="Textfeld 39">
            <a:extLst>
              <a:ext uri="{FF2B5EF4-FFF2-40B4-BE49-F238E27FC236}">
                <a16:creationId xmlns:a16="http://schemas.microsoft.com/office/drawing/2014/main" id="{4B3A6E05-90F1-50F8-5326-612FB6B7BF63}"/>
              </a:ext>
            </a:extLst>
          </xdr:cNvPr>
          <xdr:cNvSpPr txBox="1"/>
        </xdr:nvSpPr>
        <xdr:spPr>
          <a:xfrm>
            <a:off x="6268640" y="7494984"/>
            <a:ext cx="709361" cy="2600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1.5_LNW</a:t>
            </a:r>
          </a:p>
        </xdr:txBody>
      </xdr:sp>
    </xdr:grpSp>
    <xdr:clientData/>
  </xdr:twoCellAnchor>
  <xdr:twoCellAnchor>
    <xdr:from>
      <xdr:col>8</xdr:col>
      <xdr:colOff>57150</xdr:colOff>
      <xdr:row>18</xdr:row>
      <xdr:rowOff>85725</xdr:rowOff>
    </xdr:from>
    <xdr:to>
      <xdr:col>8</xdr:col>
      <xdr:colOff>1053972</xdr:colOff>
      <xdr:row>19</xdr:row>
      <xdr:rowOff>121975</xdr:rowOff>
    </xdr:to>
    <xdr:grpSp>
      <xdr:nvGrpSpPr>
        <xdr:cNvPr id="2" name="Gruppieren 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3630F5F-9972-4277-9EDE-2ECD98F8B804}"/>
            </a:ext>
          </a:extLst>
        </xdr:cNvPr>
        <xdr:cNvGrpSpPr/>
      </xdr:nvGrpSpPr>
      <xdr:grpSpPr>
        <a:xfrm>
          <a:off x="5778500" y="3451225"/>
          <a:ext cx="996822" cy="245800"/>
          <a:chOff x="4130444" y="3557713"/>
          <a:chExt cx="768976" cy="216568"/>
        </a:xfrm>
      </xdr:grpSpPr>
      <xdr:pic>
        <xdr:nvPicPr>
          <xdr:cNvPr id="6" name="Grafik 5">
            <a:extLst>
              <a:ext uri="{FF2B5EF4-FFF2-40B4-BE49-F238E27FC236}">
                <a16:creationId xmlns:a16="http://schemas.microsoft.com/office/drawing/2014/main" id="{A106310B-357C-C4F4-69BF-631F4EBE84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39CA5677-F72E-A168-81F9-1E762D89B8F9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1.5_Auftrag</a:t>
            </a:r>
          </a:p>
        </xdr:txBody>
      </xdr:sp>
    </xdr:grpSp>
    <xdr:clientData/>
  </xdr:twoCellAnchor>
  <xdr:twoCellAnchor>
    <xdr:from>
      <xdr:col>8</xdr:col>
      <xdr:colOff>57150</xdr:colOff>
      <xdr:row>33</xdr:row>
      <xdr:rowOff>66675</xdr:rowOff>
    </xdr:from>
    <xdr:to>
      <xdr:col>8</xdr:col>
      <xdr:colOff>1050797</xdr:colOff>
      <xdr:row>34</xdr:row>
      <xdr:rowOff>107704</xdr:rowOff>
    </xdr:to>
    <xdr:grpSp>
      <xdr:nvGrpSpPr>
        <xdr:cNvPr id="8" name="Gruppieren 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6E26397-378C-42F4-8BBB-939F6B6C7F3A}"/>
            </a:ext>
          </a:extLst>
        </xdr:cNvPr>
        <xdr:cNvGrpSpPr/>
      </xdr:nvGrpSpPr>
      <xdr:grpSpPr>
        <a:xfrm>
          <a:off x="5778500" y="6486525"/>
          <a:ext cx="993647" cy="250579"/>
          <a:chOff x="4130444" y="3557713"/>
          <a:chExt cx="768976" cy="216568"/>
        </a:xfrm>
      </xdr:grpSpPr>
      <xdr:pic>
        <xdr:nvPicPr>
          <xdr:cNvPr id="9" name="Grafik 8">
            <a:extLst>
              <a:ext uri="{FF2B5EF4-FFF2-40B4-BE49-F238E27FC236}">
                <a16:creationId xmlns:a16="http://schemas.microsoft.com/office/drawing/2014/main" id="{47E22BCF-D0F9-2BB7-DC42-58AD0311B9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61E27AE1-CB78-8145-B6F4-189A5771D9FB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1.3_Auftrag</a:t>
            </a:r>
          </a:p>
        </xdr:txBody>
      </xdr:sp>
    </xdr:grpSp>
    <xdr:clientData/>
  </xdr:twoCellAnchor>
  <xdr:twoCellAnchor>
    <xdr:from>
      <xdr:col>8</xdr:col>
      <xdr:colOff>85725</xdr:colOff>
      <xdr:row>26</xdr:row>
      <xdr:rowOff>95250</xdr:rowOff>
    </xdr:from>
    <xdr:to>
      <xdr:col>8</xdr:col>
      <xdr:colOff>1079372</xdr:colOff>
      <xdr:row>27</xdr:row>
      <xdr:rowOff>136279</xdr:rowOff>
    </xdr:to>
    <xdr:grpSp>
      <xdr:nvGrpSpPr>
        <xdr:cNvPr id="11" name="Gruppieren 1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F5F661F-AF09-427D-B83C-1B1E4D9BDE8A}"/>
            </a:ext>
          </a:extLst>
        </xdr:cNvPr>
        <xdr:cNvGrpSpPr/>
      </xdr:nvGrpSpPr>
      <xdr:grpSpPr>
        <a:xfrm>
          <a:off x="5807075" y="5137150"/>
          <a:ext cx="993647" cy="250579"/>
          <a:chOff x="4130444" y="3557713"/>
          <a:chExt cx="768976" cy="216568"/>
        </a:xfrm>
      </xdr:grpSpPr>
      <xdr:pic>
        <xdr:nvPicPr>
          <xdr:cNvPr id="18" name="Grafik 17">
            <a:extLst>
              <a:ext uri="{FF2B5EF4-FFF2-40B4-BE49-F238E27FC236}">
                <a16:creationId xmlns:a16="http://schemas.microsoft.com/office/drawing/2014/main" id="{7A9C3679-3972-5D38-6122-2599E02662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9" name="Textfeld 18">
            <a:extLst>
              <a:ext uri="{FF2B5EF4-FFF2-40B4-BE49-F238E27FC236}">
                <a16:creationId xmlns:a16="http://schemas.microsoft.com/office/drawing/2014/main" id="{6865A551-468F-4292-306A-ACEC95D6D7B6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1.3_Auftrag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1116506</xdr:colOff>
      <xdr:row>43</xdr:row>
      <xdr:rowOff>164224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75003F17-077A-43D0-8F73-A38401E7A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8043369"/>
          <a:ext cx="336323" cy="328231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16094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D8FEBAD1-ECA9-4041-B693-A687D0728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8049939"/>
          <a:ext cx="377168" cy="370380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1116724</xdr:colOff>
      <xdr:row>43</xdr:row>
      <xdr:rowOff>170795</xdr:rowOff>
    </xdr:to>
    <xdr:pic>
      <xdr:nvPicPr>
        <xdr:cNvPr id="4" name="Grafik 3" descr="Fernglas Silhouet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16B18E-CA73-4F9F-AFB8-DBF670AF2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508530" y="8017095"/>
          <a:ext cx="358119" cy="364251"/>
        </a:xfrm>
        <a:prstGeom prst="rect">
          <a:avLst/>
        </a:prstGeom>
      </xdr:spPr>
    </xdr:pic>
    <xdr:clientData/>
  </xdr:twoCellAnchor>
  <xdr:twoCellAnchor editAs="oneCell">
    <xdr:from>
      <xdr:col>8</xdr:col>
      <xdr:colOff>695338</xdr:colOff>
      <xdr:row>9</xdr:row>
      <xdr:rowOff>30689</xdr:rowOff>
    </xdr:from>
    <xdr:to>
      <xdr:col>8</xdr:col>
      <xdr:colOff>1045450</xdr:colOff>
      <xdr:row>10</xdr:row>
      <xdr:rowOff>187392</xdr:rowOff>
    </xdr:to>
    <xdr:pic>
      <xdr:nvPicPr>
        <xdr:cNvPr id="5" name="Grafik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76A9E85-FD9E-49CD-90C4-DFC4893BE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88" y="1716614"/>
          <a:ext cx="350112" cy="356728"/>
        </a:xfrm>
        <a:prstGeom prst="rect">
          <a:avLst/>
        </a:prstGeom>
      </xdr:spPr>
    </xdr:pic>
    <xdr:clientData/>
  </xdr:twoCellAnchor>
  <xdr:twoCellAnchor editAs="oneCell">
    <xdr:from>
      <xdr:col>8</xdr:col>
      <xdr:colOff>152273</xdr:colOff>
      <xdr:row>12</xdr:row>
      <xdr:rowOff>32176</xdr:rowOff>
    </xdr:from>
    <xdr:to>
      <xdr:col>8</xdr:col>
      <xdr:colOff>511910</xdr:colOff>
      <xdr:row>13</xdr:row>
      <xdr:rowOff>180330</xdr:rowOff>
    </xdr:to>
    <xdr:pic>
      <xdr:nvPicPr>
        <xdr:cNvPr id="6" name="Grafik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4D9EAAF-BE97-4908-AFB6-0F4997530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1235" y="2391445"/>
          <a:ext cx="359637" cy="349156"/>
        </a:xfrm>
        <a:prstGeom prst="rect">
          <a:avLst/>
        </a:prstGeom>
      </xdr:spPr>
    </xdr:pic>
    <xdr:clientData/>
  </xdr:twoCellAnchor>
  <xdr:twoCellAnchor editAs="oneCell">
    <xdr:from>
      <xdr:col>8</xdr:col>
      <xdr:colOff>693310</xdr:colOff>
      <xdr:row>12</xdr:row>
      <xdr:rowOff>29766</xdr:rowOff>
    </xdr:from>
    <xdr:to>
      <xdr:col>8</xdr:col>
      <xdr:colOff>1040247</xdr:colOff>
      <xdr:row>13</xdr:row>
      <xdr:rowOff>187446</xdr:rowOff>
    </xdr:to>
    <xdr:pic>
      <xdr:nvPicPr>
        <xdr:cNvPr id="7" name="Grafik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12303E1-2323-49B2-9236-805B24F51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6410" y="2411016"/>
          <a:ext cx="340587" cy="348180"/>
        </a:xfrm>
        <a:prstGeom prst="rect">
          <a:avLst/>
        </a:prstGeom>
      </xdr:spPr>
    </xdr:pic>
    <xdr:clientData/>
  </xdr:twoCellAnchor>
  <xdr:twoCellAnchor>
    <xdr:from>
      <xdr:col>8</xdr:col>
      <xdr:colOff>77102</xdr:colOff>
      <xdr:row>22</xdr:row>
      <xdr:rowOff>83507</xdr:rowOff>
    </xdr:from>
    <xdr:to>
      <xdr:col>8</xdr:col>
      <xdr:colOff>917518</xdr:colOff>
      <xdr:row>23</xdr:row>
      <xdr:rowOff>133388</xdr:rowOff>
    </xdr:to>
    <xdr:grpSp>
      <xdr:nvGrpSpPr>
        <xdr:cNvPr id="16" name="Gruppieren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0739112-ECC5-448B-8C8B-25A97290B591}"/>
            </a:ext>
          </a:extLst>
        </xdr:cNvPr>
        <xdr:cNvGrpSpPr/>
      </xdr:nvGrpSpPr>
      <xdr:grpSpPr>
        <a:xfrm>
          <a:off x="5798452" y="4115757"/>
          <a:ext cx="840416" cy="234031"/>
          <a:chOff x="4130444" y="3557713"/>
          <a:chExt cx="768976" cy="216568"/>
        </a:xfrm>
      </xdr:grpSpPr>
      <xdr:pic>
        <xdr:nvPicPr>
          <xdr:cNvPr id="17" name="Grafik 16">
            <a:extLst>
              <a:ext uri="{FF2B5EF4-FFF2-40B4-BE49-F238E27FC236}">
                <a16:creationId xmlns:a16="http://schemas.microsoft.com/office/drawing/2014/main" id="{576DB6EE-FB80-8499-B6AC-20E5978650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8" name="Textfeld 17">
            <a:extLst>
              <a:ext uri="{FF2B5EF4-FFF2-40B4-BE49-F238E27FC236}">
                <a16:creationId xmlns:a16="http://schemas.microsoft.com/office/drawing/2014/main" id="{D67FAE1E-C153-475D-9418-6B39037D5676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1.5 Auftrag</a:t>
            </a:r>
          </a:p>
        </xdr:txBody>
      </xdr:sp>
    </xdr:grpSp>
    <xdr:clientData/>
  </xdr:twoCellAnchor>
  <xdr:twoCellAnchor>
    <xdr:from>
      <xdr:col>8</xdr:col>
      <xdr:colOff>30285</xdr:colOff>
      <xdr:row>33</xdr:row>
      <xdr:rowOff>9373</xdr:rowOff>
    </xdr:from>
    <xdr:to>
      <xdr:col>8</xdr:col>
      <xdr:colOff>870701</xdr:colOff>
      <xdr:row>34</xdr:row>
      <xdr:rowOff>41425</xdr:rowOff>
    </xdr:to>
    <xdr:grpSp>
      <xdr:nvGrpSpPr>
        <xdr:cNvPr id="22" name="Gruppieren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000A1A6-0DB8-46A1-A054-86FA5AD29909}"/>
            </a:ext>
          </a:extLst>
        </xdr:cNvPr>
        <xdr:cNvGrpSpPr/>
      </xdr:nvGrpSpPr>
      <xdr:grpSpPr>
        <a:xfrm>
          <a:off x="5751635" y="6016473"/>
          <a:ext cx="840416" cy="228902"/>
          <a:chOff x="4130444" y="3557713"/>
          <a:chExt cx="768976" cy="216568"/>
        </a:xfrm>
      </xdr:grpSpPr>
      <xdr:pic>
        <xdr:nvPicPr>
          <xdr:cNvPr id="23" name="Grafik 22">
            <a:extLst>
              <a:ext uri="{FF2B5EF4-FFF2-40B4-BE49-F238E27FC236}">
                <a16:creationId xmlns:a16="http://schemas.microsoft.com/office/drawing/2014/main" id="{792403DD-5C15-74AA-9F52-0F813EC2EC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24" name="Textfeld 23">
            <a:extLst>
              <a:ext uri="{FF2B5EF4-FFF2-40B4-BE49-F238E27FC236}">
                <a16:creationId xmlns:a16="http://schemas.microsoft.com/office/drawing/2014/main" id="{0E1F7802-4AB0-3A76-5446-8D5B62FEDA24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  <xdr:twoCellAnchor editAs="oneCell">
    <xdr:from>
      <xdr:col>3</xdr:col>
      <xdr:colOff>831609</xdr:colOff>
      <xdr:row>44</xdr:row>
      <xdr:rowOff>95090</xdr:rowOff>
    </xdr:from>
    <xdr:to>
      <xdr:col>3</xdr:col>
      <xdr:colOff>1088048</xdr:colOff>
      <xdr:row>45</xdr:row>
      <xdr:rowOff>140618</xdr:rowOff>
    </xdr:to>
    <xdr:pic>
      <xdr:nvPicPr>
        <xdr:cNvPr id="10" name="Grafik 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477D6B8-D1D6-427A-A30C-12F97BA3C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9884" y="8410415"/>
          <a:ext cx="256439" cy="242377"/>
        </a:xfrm>
        <a:prstGeom prst="rect">
          <a:avLst/>
        </a:prstGeom>
      </xdr:spPr>
    </xdr:pic>
    <xdr:clientData/>
  </xdr:twoCellAnchor>
  <xdr:twoCellAnchor editAs="oneCell">
    <xdr:from>
      <xdr:col>8</xdr:col>
      <xdr:colOff>754716</xdr:colOff>
      <xdr:row>28</xdr:row>
      <xdr:rowOff>38661</xdr:rowOff>
    </xdr:from>
    <xdr:to>
      <xdr:col>8</xdr:col>
      <xdr:colOff>1082909</xdr:colOff>
      <xdr:row>29</xdr:row>
      <xdr:rowOff>152096</xdr:rowOff>
    </xdr:to>
    <xdr:pic>
      <xdr:nvPicPr>
        <xdr:cNvPr id="8" name="Grafik 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17032C9-52CF-449C-8608-4395FE0C2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128" y="5305426"/>
          <a:ext cx="328193" cy="303935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24</xdr:row>
      <xdr:rowOff>9525</xdr:rowOff>
    </xdr:from>
    <xdr:to>
      <xdr:col>8</xdr:col>
      <xdr:colOff>982408</xdr:colOff>
      <xdr:row>25</xdr:row>
      <xdr:rowOff>83139</xdr:rowOff>
    </xdr:to>
    <xdr:grpSp>
      <xdr:nvGrpSpPr>
        <xdr:cNvPr id="9" name="Gruppieren 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ECD7C50-68E1-4A0F-B333-59344ED58BE0}"/>
            </a:ext>
          </a:extLst>
        </xdr:cNvPr>
        <xdr:cNvGrpSpPr/>
      </xdr:nvGrpSpPr>
      <xdr:grpSpPr>
        <a:xfrm>
          <a:off x="5816600" y="4410075"/>
          <a:ext cx="887158" cy="257764"/>
          <a:chOff x="6090843" y="7494984"/>
          <a:chExt cx="887158" cy="260085"/>
        </a:xfrm>
      </xdr:grpSpPr>
      <xdr:pic>
        <xdr:nvPicPr>
          <xdr:cNvPr id="26" name="Grafik 25">
            <a:extLst>
              <a:ext uri="{FF2B5EF4-FFF2-40B4-BE49-F238E27FC236}">
                <a16:creationId xmlns:a16="http://schemas.microsoft.com/office/drawing/2014/main" id="{A4E6742A-1A0B-D551-3480-0910EA2D4F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27" name="Textfeld 26">
            <a:extLst>
              <a:ext uri="{FF2B5EF4-FFF2-40B4-BE49-F238E27FC236}">
                <a16:creationId xmlns:a16="http://schemas.microsoft.com/office/drawing/2014/main" id="{A75ECFC0-A8D7-AA38-39A1-0E6DB5746825}"/>
              </a:ext>
            </a:extLst>
          </xdr:cNvPr>
          <xdr:cNvSpPr txBox="1"/>
        </xdr:nvSpPr>
        <xdr:spPr>
          <a:xfrm>
            <a:off x="6268640" y="7494984"/>
            <a:ext cx="709361" cy="2600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1.5_LNW</a:t>
            </a:r>
          </a:p>
        </xdr:txBody>
      </xdr:sp>
    </xdr:grpSp>
    <xdr:clientData/>
  </xdr:twoCellAnchor>
  <xdr:twoCellAnchor editAs="oneCell">
    <xdr:from>
      <xdr:col>8</xdr:col>
      <xdr:colOff>114300</xdr:colOff>
      <xdr:row>18</xdr:row>
      <xdr:rowOff>9525</xdr:rowOff>
    </xdr:from>
    <xdr:to>
      <xdr:col>8</xdr:col>
      <xdr:colOff>770455</xdr:colOff>
      <xdr:row>20</xdr:row>
      <xdr:rowOff>66927</xdr:rowOff>
    </xdr:to>
    <xdr:pic>
      <xdr:nvPicPr>
        <xdr:cNvPr id="28" name="Grafik 2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F1B4B94-969E-4451-947A-A48A4B920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3352800"/>
          <a:ext cx="659330" cy="435227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20</xdr:row>
      <xdr:rowOff>28575</xdr:rowOff>
    </xdr:from>
    <xdr:to>
      <xdr:col>8</xdr:col>
      <xdr:colOff>1060322</xdr:colOff>
      <xdr:row>21</xdr:row>
      <xdr:rowOff>88654</xdr:rowOff>
    </xdr:to>
    <xdr:grpSp>
      <xdr:nvGrpSpPr>
        <xdr:cNvPr id="29" name="Gruppieren 2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AC9763B-06D4-48A8-8D7D-4327AE1DDCB3}"/>
            </a:ext>
          </a:extLst>
        </xdr:cNvPr>
        <xdr:cNvGrpSpPr/>
      </xdr:nvGrpSpPr>
      <xdr:grpSpPr>
        <a:xfrm>
          <a:off x="5788025" y="3692525"/>
          <a:ext cx="993647" cy="244229"/>
          <a:chOff x="4130444" y="3557713"/>
          <a:chExt cx="768976" cy="216568"/>
        </a:xfrm>
      </xdr:grpSpPr>
      <xdr:pic>
        <xdr:nvPicPr>
          <xdr:cNvPr id="30" name="Grafik 29">
            <a:extLst>
              <a:ext uri="{FF2B5EF4-FFF2-40B4-BE49-F238E27FC236}">
                <a16:creationId xmlns:a16="http://schemas.microsoft.com/office/drawing/2014/main" id="{9008FDE3-80A2-52D8-1564-4D2D5D78B2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31" name="Textfeld 30">
            <a:extLst>
              <a:ext uri="{FF2B5EF4-FFF2-40B4-BE49-F238E27FC236}">
                <a16:creationId xmlns:a16="http://schemas.microsoft.com/office/drawing/2014/main" id="{73F3954F-51A4-9487-5F91-8384EC74E6FA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1.3_Auftrag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1119681</xdr:colOff>
      <xdr:row>43</xdr:row>
      <xdr:rowOff>167399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66C462E6-DC79-4B5C-BA81-238F7C847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7748094"/>
          <a:ext cx="342673" cy="334580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16094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8AED8FA8-A64F-4118-AB23-0AB00295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7754664"/>
          <a:ext cx="377168" cy="376730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1119899</xdr:colOff>
      <xdr:row>43</xdr:row>
      <xdr:rowOff>170795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D5FE5B67-356A-4086-876B-906FBAF8B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08530" y="7721820"/>
          <a:ext cx="364469" cy="364250"/>
        </a:xfrm>
        <a:prstGeom prst="rect">
          <a:avLst/>
        </a:prstGeom>
      </xdr:spPr>
    </xdr:pic>
    <xdr:clientData/>
  </xdr:twoCellAnchor>
  <xdr:twoCellAnchor editAs="oneCell">
    <xdr:from>
      <xdr:col>8</xdr:col>
      <xdr:colOff>152273</xdr:colOff>
      <xdr:row>12</xdr:row>
      <xdr:rowOff>32176</xdr:rowOff>
    </xdr:from>
    <xdr:to>
      <xdr:col>8</xdr:col>
      <xdr:colOff>511910</xdr:colOff>
      <xdr:row>13</xdr:row>
      <xdr:rowOff>183505</xdr:rowOff>
    </xdr:to>
    <xdr:pic>
      <xdr:nvPicPr>
        <xdr:cNvPr id="6" name="Grafik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BDB363-61C5-4FD0-BF71-170107D32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373" y="2318176"/>
          <a:ext cx="359637" cy="351354"/>
        </a:xfrm>
        <a:prstGeom prst="rect">
          <a:avLst/>
        </a:prstGeom>
      </xdr:spPr>
    </xdr:pic>
    <xdr:clientData/>
  </xdr:twoCellAnchor>
  <xdr:twoCellAnchor>
    <xdr:from>
      <xdr:col>8</xdr:col>
      <xdr:colOff>89686</xdr:colOff>
      <xdr:row>28</xdr:row>
      <xdr:rowOff>13610</xdr:rowOff>
    </xdr:from>
    <xdr:to>
      <xdr:col>8</xdr:col>
      <xdr:colOff>931567</xdr:colOff>
      <xdr:row>29</xdr:row>
      <xdr:rowOff>59095</xdr:rowOff>
    </xdr:to>
    <xdr:grpSp>
      <xdr:nvGrpSpPr>
        <xdr:cNvPr id="9" name="Gruppieren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9A189B2-EA6B-42F2-B42E-59038A5D18DA}"/>
            </a:ext>
          </a:extLst>
        </xdr:cNvPr>
        <xdr:cNvGrpSpPr/>
      </xdr:nvGrpSpPr>
      <xdr:grpSpPr>
        <a:xfrm>
          <a:off x="5811036" y="5080910"/>
          <a:ext cx="841881" cy="229635"/>
          <a:chOff x="4130444" y="3557713"/>
          <a:chExt cx="768976" cy="216568"/>
        </a:xfrm>
      </xdr:grpSpPr>
      <xdr:pic>
        <xdr:nvPicPr>
          <xdr:cNvPr id="10" name="Grafik 9">
            <a:extLst>
              <a:ext uri="{FF2B5EF4-FFF2-40B4-BE49-F238E27FC236}">
                <a16:creationId xmlns:a16="http://schemas.microsoft.com/office/drawing/2014/main" id="{2FAD0926-F44C-7242-C7BA-A8A3749304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500B72F8-E89C-6C2F-17E2-45D6B110DE65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1.6 Auftrag</a:t>
            </a:r>
          </a:p>
        </xdr:txBody>
      </xdr:sp>
    </xdr:grpSp>
    <xdr:clientData/>
  </xdr:twoCellAnchor>
  <xdr:twoCellAnchor editAs="oneCell">
    <xdr:from>
      <xdr:col>8</xdr:col>
      <xdr:colOff>58616</xdr:colOff>
      <xdr:row>25</xdr:row>
      <xdr:rowOff>185127</xdr:rowOff>
    </xdr:from>
    <xdr:to>
      <xdr:col>8</xdr:col>
      <xdr:colOff>443280</xdr:colOff>
      <xdr:row>27</xdr:row>
      <xdr:rowOff>172582</xdr:rowOff>
    </xdr:to>
    <xdr:pic>
      <xdr:nvPicPr>
        <xdr:cNvPr id="20" name="Grafik 19" descr="Gamecontroller Silhouett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3F473D9-6F0D-413C-BA70-0B89C8E72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5817578" y="4837723"/>
          <a:ext cx="384664" cy="368455"/>
        </a:xfrm>
        <a:prstGeom prst="rect">
          <a:avLst/>
        </a:prstGeom>
      </xdr:spPr>
    </xdr:pic>
    <xdr:clientData/>
  </xdr:twoCellAnchor>
  <xdr:twoCellAnchor editAs="oneCell">
    <xdr:from>
      <xdr:col>7</xdr:col>
      <xdr:colOff>346564</xdr:colOff>
      <xdr:row>21</xdr:row>
      <xdr:rowOff>159727</xdr:rowOff>
    </xdr:from>
    <xdr:to>
      <xdr:col>8</xdr:col>
      <xdr:colOff>490171</xdr:colOff>
      <xdr:row>24</xdr:row>
      <xdr:rowOff>83527</xdr:rowOff>
    </xdr:to>
    <xdr:pic>
      <xdr:nvPicPr>
        <xdr:cNvPr id="25" name="Grafik 24" descr="Gruppenbrainstorming Silhouett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AD71F85-34BE-C2FF-452F-0D6EA9794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53833" y="4050323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80597</xdr:colOff>
      <xdr:row>24</xdr:row>
      <xdr:rowOff>51289</xdr:rowOff>
    </xdr:from>
    <xdr:to>
      <xdr:col>8</xdr:col>
      <xdr:colOff>410308</xdr:colOff>
      <xdr:row>25</xdr:row>
      <xdr:rowOff>167317</xdr:rowOff>
    </xdr:to>
    <xdr:pic>
      <xdr:nvPicPr>
        <xdr:cNvPr id="27" name="Grafik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DC759CB-7C99-0D58-0118-A341613A4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9559" y="4513385"/>
          <a:ext cx="329711" cy="306528"/>
        </a:xfrm>
        <a:prstGeom prst="rect">
          <a:avLst/>
        </a:prstGeom>
      </xdr:spPr>
    </xdr:pic>
    <xdr:clientData/>
  </xdr:twoCellAnchor>
  <xdr:twoCellAnchor editAs="oneCell">
    <xdr:from>
      <xdr:col>8</xdr:col>
      <xdr:colOff>710712</xdr:colOff>
      <xdr:row>12</xdr:row>
      <xdr:rowOff>29307</xdr:rowOff>
    </xdr:from>
    <xdr:to>
      <xdr:col>8</xdr:col>
      <xdr:colOff>1070349</xdr:colOff>
      <xdr:row>13</xdr:row>
      <xdr:rowOff>180636</xdr:rowOff>
    </xdr:to>
    <xdr:pic>
      <xdr:nvPicPr>
        <xdr:cNvPr id="31" name="Grafik 3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21BFBFE-6377-449C-8579-FE3C31A6F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9674" y="2293326"/>
          <a:ext cx="359637" cy="349156"/>
        </a:xfrm>
        <a:prstGeom prst="rect">
          <a:avLst/>
        </a:prstGeom>
      </xdr:spPr>
    </xdr:pic>
    <xdr:clientData/>
  </xdr:twoCellAnchor>
  <xdr:twoCellAnchor editAs="oneCell">
    <xdr:from>
      <xdr:col>8</xdr:col>
      <xdr:colOff>43961</xdr:colOff>
      <xdr:row>37</xdr:row>
      <xdr:rowOff>131885</xdr:rowOff>
    </xdr:from>
    <xdr:to>
      <xdr:col>8</xdr:col>
      <xdr:colOff>941360</xdr:colOff>
      <xdr:row>38</xdr:row>
      <xdr:rowOff>134585</xdr:rowOff>
    </xdr:to>
    <xdr:pic>
      <xdr:nvPicPr>
        <xdr:cNvPr id="32" name="Grafik 3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EEF709B-CE05-4F02-A86A-8D0AF9D46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802923" y="7026520"/>
          <a:ext cx="897399" cy="193200"/>
        </a:xfrm>
        <a:prstGeom prst="rect">
          <a:avLst/>
        </a:prstGeom>
        <a:ln>
          <a:solidFill>
            <a:schemeClr val="accent4">
              <a:lumMod val="75000"/>
            </a:schemeClr>
          </a:solidFill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</xdr:pic>
    <xdr:clientData/>
  </xdr:twoCellAnchor>
  <xdr:twoCellAnchor editAs="oneCell">
    <xdr:from>
      <xdr:col>8</xdr:col>
      <xdr:colOff>168520</xdr:colOff>
      <xdr:row>9</xdr:row>
      <xdr:rowOff>112773</xdr:rowOff>
    </xdr:from>
    <xdr:to>
      <xdr:col>8</xdr:col>
      <xdr:colOff>528157</xdr:colOff>
      <xdr:row>11</xdr:row>
      <xdr:rowOff>66275</xdr:rowOff>
    </xdr:to>
    <xdr:pic>
      <xdr:nvPicPr>
        <xdr:cNvPr id="33" name="Grafik 3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A54C06D-0E24-48D0-B90B-2F0A079F4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482" y="1783311"/>
          <a:ext cx="359637" cy="349156"/>
        </a:xfrm>
        <a:prstGeom prst="rect">
          <a:avLst/>
        </a:prstGeom>
      </xdr:spPr>
    </xdr:pic>
    <xdr:clientData/>
  </xdr:twoCellAnchor>
  <xdr:twoCellAnchor editAs="oneCell">
    <xdr:from>
      <xdr:col>8</xdr:col>
      <xdr:colOff>697651</xdr:colOff>
      <xdr:row>9</xdr:row>
      <xdr:rowOff>109904</xdr:rowOff>
    </xdr:from>
    <xdr:to>
      <xdr:col>8</xdr:col>
      <xdr:colOff>1057288</xdr:colOff>
      <xdr:row>11</xdr:row>
      <xdr:rowOff>63406</xdr:rowOff>
    </xdr:to>
    <xdr:pic>
      <xdr:nvPicPr>
        <xdr:cNvPr id="34" name="Grafik 3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159EC32-F207-4116-B812-64B77B36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6613" y="1780442"/>
          <a:ext cx="359637" cy="349156"/>
        </a:xfrm>
        <a:prstGeom prst="rect">
          <a:avLst/>
        </a:prstGeom>
      </xdr:spPr>
    </xdr:pic>
    <xdr:clientData/>
  </xdr:twoCellAnchor>
  <xdr:twoCellAnchor>
    <xdr:from>
      <xdr:col>8</xdr:col>
      <xdr:colOff>57150</xdr:colOff>
      <xdr:row>34</xdr:row>
      <xdr:rowOff>76200</xdr:rowOff>
    </xdr:from>
    <xdr:to>
      <xdr:col>8</xdr:col>
      <xdr:colOff>897566</xdr:colOff>
      <xdr:row>35</xdr:row>
      <xdr:rowOff>119458</xdr:rowOff>
    </xdr:to>
    <xdr:grpSp>
      <xdr:nvGrpSpPr>
        <xdr:cNvPr id="5" name="Gruppieren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ED8FBCF7-946F-4BD1-8B84-F46DD3788FA0}"/>
            </a:ext>
          </a:extLst>
        </xdr:cNvPr>
        <xdr:cNvGrpSpPr/>
      </xdr:nvGrpSpPr>
      <xdr:grpSpPr>
        <a:xfrm>
          <a:off x="5778500" y="6210300"/>
          <a:ext cx="840416" cy="227408"/>
          <a:chOff x="4130444" y="3557713"/>
          <a:chExt cx="768976" cy="216568"/>
        </a:xfrm>
      </xdr:grpSpPr>
      <xdr:pic>
        <xdr:nvPicPr>
          <xdr:cNvPr id="7" name="Grafik 6">
            <a:extLst>
              <a:ext uri="{FF2B5EF4-FFF2-40B4-BE49-F238E27FC236}">
                <a16:creationId xmlns:a16="http://schemas.microsoft.com/office/drawing/2014/main" id="{932CE8F2-A9DB-DDBA-E2ED-60AC0C454F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E581D494-9106-D8D2-163D-082D0B92D7B0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161049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3ECFBF7E-9DBC-4498-A1C8-A5695F7A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02583" y="7744919"/>
          <a:ext cx="342673" cy="334580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422280DE-ADE5-4637-BD94-D33D9E3F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95313" y="7754664"/>
          <a:ext cx="364468" cy="376729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170795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57933503-0A82-45B6-AFF5-17963C1A6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24405" y="7724995"/>
          <a:ext cx="364469" cy="361075"/>
        </a:xfrm>
        <a:prstGeom prst="rect">
          <a:avLst/>
        </a:prstGeom>
      </xdr:spPr>
    </xdr:pic>
    <xdr:clientData/>
  </xdr:twoCellAnchor>
  <xdr:twoCellAnchor editAs="oneCell">
    <xdr:from>
      <xdr:col>8</xdr:col>
      <xdr:colOff>244688</xdr:colOff>
      <xdr:row>23</xdr:row>
      <xdr:rowOff>97194</xdr:rowOff>
    </xdr:from>
    <xdr:to>
      <xdr:col>8</xdr:col>
      <xdr:colOff>744447</xdr:colOff>
      <xdr:row>26</xdr:row>
      <xdr:rowOff>19129</xdr:rowOff>
    </xdr:to>
    <xdr:pic>
      <xdr:nvPicPr>
        <xdr:cNvPr id="5" name="Grafik 4" descr="Gruppenbrainstorming Silhouet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41F536-6A3F-4008-895C-97CFA7151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016838" y="4335819"/>
          <a:ext cx="499759" cy="464860"/>
        </a:xfrm>
        <a:prstGeom prst="rect">
          <a:avLst/>
        </a:prstGeom>
      </xdr:spPr>
    </xdr:pic>
    <xdr:clientData/>
  </xdr:twoCellAnchor>
  <xdr:twoCellAnchor editAs="oneCell">
    <xdr:from>
      <xdr:col>8</xdr:col>
      <xdr:colOff>710712</xdr:colOff>
      <xdr:row>12</xdr:row>
      <xdr:rowOff>29307</xdr:rowOff>
    </xdr:from>
    <xdr:to>
      <xdr:col>8</xdr:col>
      <xdr:colOff>1076699</xdr:colOff>
      <xdr:row>13</xdr:row>
      <xdr:rowOff>180636</xdr:rowOff>
    </xdr:to>
    <xdr:pic>
      <xdr:nvPicPr>
        <xdr:cNvPr id="6" name="Grafik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B07B921-80B0-481F-B9EF-AAC155867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037" y="2312132"/>
          <a:ext cx="359637" cy="357704"/>
        </a:xfrm>
        <a:prstGeom prst="rect">
          <a:avLst/>
        </a:prstGeom>
      </xdr:spPr>
    </xdr:pic>
    <xdr:clientData/>
  </xdr:twoCellAnchor>
  <xdr:twoCellAnchor editAs="oneCell">
    <xdr:from>
      <xdr:col>8</xdr:col>
      <xdr:colOff>168520</xdr:colOff>
      <xdr:row>9</xdr:row>
      <xdr:rowOff>112773</xdr:rowOff>
    </xdr:from>
    <xdr:to>
      <xdr:col>8</xdr:col>
      <xdr:colOff>521807</xdr:colOff>
      <xdr:row>11</xdr:row>
      <xdr:rowOff>66275</xdr:rowOff>
    </xdr:to>
    <xdr:pic>
      <xdr:nvPicPr>
        <xdr:cNvPr id="7" name="Grafik 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CB2B3A2-073E-4D23-9D76-723510ED6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0670" y="1798698"/>
          <a:ext cx="356462" cy="356727"/>
        </a:xfrm>
        <a:prstGeom prst="rect">
          <a:avLst/>
        </a:prstGeom>
      </xdr:spPr>
    </xdr:pic>
    <xdr:clientData/>
  </xdr:twoCellAnchor>
  <xdr:twoCellAnchor editAs="oneCell">
    <xdr:from>
      <xdr:col>8</xdr:col>
      <xdr:colOff>697651</xdr:colOff>
      <xdr:row>9</xdr:row>
      <xdr:rowOff>109904</xdr:rowOff>
    </xdr:from>
    <xdr:to>
      <xdr:col>8</xdr:col>
      <xdr:colOff>1057288</xdr:colOff>
      <xdr:row>11</xdr:row>
      <xdr:rowOff>69756</xdr:rowOff>
    </xdr:to>
    <xdr:pic>
      <xdr:nvPicPr>
        <xdr:cNvPr id="8" name="Grafik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05C9E52-E041-4437-A3AA-290D3A21D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6626" y="1792654"/>
          <a:ext cx="359637" cy="359902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19</xdr:row>
      <xdr:rowOff>82550</xdr:rowOff>
    </xdr:from>
    <xdr:to>
      <xdr:col>8</xdr:col>
      <xdr:colOff>416787</xdr:colOff>
      <xdr:row>21</xdr:row>
      <xdr:rowOff>68779</xdr:rowOff>
    </xdr:to>
    <xdr:pic>
      <xdr:nvPicPr>
        <xdr:cNvPr id="9" name="Grafik 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A00BE41-548E-406B-9CA3-AE5A7FFA0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3597275"/>
          <a:ext cx="359637" cy="345004"/>
        </a:xfrm>
        <a:prstGeom prst="rect">
          <a:avLst/>
        </a:prstGeom>
      </xdr:spPr>
    </xdr:pic>
    <xdr:clientData/>
  </xdr:twoCellAnchor>
  <xdr:twoCellAnchor>
    <xdr:from>
      <xdr:col>8</xdr:col>
      <xdr:colOff>101600</xdr:colOff>
      <xdr:row>26</xdr:row>
      <xdr:rowOff>114300</xdr:rowOff>
    </xdr:from>
    <xdr:to>
      <xdr:col>8</xdr:col>
      <xdr:colOff>943481</xdr:colOff>
      <xdr:row>27</xdr:row>
      <xdr:rowOff>162960</xdr:rowOff>
    </xdr:to>
    <xdr:grpSp>
      <xdr:nvGrpSpPr>
        <xdr:cNvPr id="10" name="Gruppieren 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8C433C5-3ED2-49D4-903B-88642E316C5D}"/>
            </a:ext>
          </a:extLst>
        </xdr:cNvPr>
        <xdr:cNvGrpSpPr/>
      </xdr:nvGrpSpPr>
      <xdr:grpSpPr>
        <a:xfrm>
          <a:off x="5880100" y="4775200"/>
          <a:ext cx="841881" cy="232810"/>
          <a:chOff x="4130444" y="3557713"/>
          <a:chExt cx="768976" cy="216568"/>
        </a:xfrm>
      </xdr:grpSpPr>
      <xdr:pic>
        <xdr:nvPicPr>
          <xdr:cNvPr id="11" name="Grafik 10">
            <a:extLst>
              <a:ext uri="{FF2B5EF4-FFF2-40B4-BE49-F238E27FC236}">
                <a16:creationId xmlns:a16="http://schemas.microsoft.com/office/drawing/2014/main" id="{A72C5322-4922-61BF-28B1-50B2DCF5FF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2" name="Textfeld 11">
            <a:extLst>
              <a:ext uri="{FF2B5EF4-FFF2-40B4-BE49-F238E27FC236}">
                <a16:creationId xmlns:a16="http://schemas.microsoft.com/office/drawing/2014/main" id="{7367818B-6994-CC23-1A59-EE39A4080624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1.6 Auftrag</a:t>
            </a:r>
          </a:p>
        </xdr:txBody>
      </xdr:sp>
    </xdr:grpSp>
    <xdr:clientData/>
  </xdr:twoCellAnchor>
  <xdr:twoCellAnchor editAs="oneCell">
    <xdr:from>
      <xdr:col>8</xdr:col>
      <xdr:colOff>740019</xdr:colOff>
      <xdr:row>19</xdr:row>
      <xdr:rowOff>76200</xdr:rowOff>
    </xdr:from>
    <xdr:to>
      <xdr:col>8</xdr:col>
      <xdr:colOff>1096481</xdr:colOff>
      <xdr:row>21</xdr:row>
      <xdr:rowOff>56079</xdr:rowOff>
    </xdr:to>
    <xdr:pic>
      <xdr:nvPicPr>
        <xdr:cNvPr id="13" name="Grafik 1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0C71F04-3A3C-410C-BB8F-AE3CC44F0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169" y="3590925"/>
          <a:ext cx="353287" cy="341829"/>
        </a:xfrm>
        <a:prstGeom prst="rect">
          <a:avLst/>
        </a:prstGeom>
      </xdr:spPr>
    </xdr:pic>
    <xdr:clientData/>
  </xdr:twoCellAnchor>
  <xdr:twoCellAnchor>
    <xdr:from>
      <xdr:col>8</xdr:col>
      <xdr:colOff>105752</xdr:colOff>
      <xdr:row>33</xdr:row>
      <xdr:rowOff>95250</xdr:rowOff>
    </xdr:from>
    <xdr:to>
      <xdr:col>8</xdr:col>
      <xdr:colOff>939818</xdr:colOff>
      <xdr:row>34</xdr:row>
      <xdr:rowOff>131181</xdr:rowOff>
    </xdr:to>
    <xdr:grpSp>
      <xdr:nvGrpSpPr>
        <xdr:cNvPr id="14" name="Gruppieren 1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CF2334E-3606-4876-93EE-DFF4AB258CB1}"/>
            </a:ext>
          </a:extLst>
        </xdr:cNvPr>
        <xdr:cNvGrpSpPr/>
      </xdr:nvGrpSpPr>
      <xdr:grpSpPr>
        <a:xfrm>
          <a:off x="5884252" y="5994400"/>
          <a:ext cx="834066" cy="232781"/>
          <a:chOff x="4130444" y="3557713"/>
          <a:chExt cx="768976" cy="216568"/>
        </a:xfrm>
      </xdr:grpSpPr>
      <xdr:pic>
        <xdr:nvPicPr>
          <xdr:cNvPr id="15" name="Grafik 14">
            <a:extLst>
              <a:ext uri="{FF2B5EF4-FFF2-40B4-BE49-F238E27FC236}">
                <a16:creationId xmlns:a16="http://schemas.microsoft.com/office/drawing/2014/main" id="{E3153A1B-9855-D961-5EC6-B64C01DF2A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313F20EE-7EF9-7833-3008-8DF14516D150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  <xdr:twoCellAnchor>
    <xdr:from>
      <xdr:col>8</xdr:col>
      <xdr:colOff>63500</xdr:colOff>
      <xdr:row>37</xdr:row>
      <xdr:rowOff>82556</xdr:rowOff>
    </xdr:from>
    <xdr:to>
      <xdr:col>8</xdr:col>
      <xdr:colOff>953833</xdr:colOff>
      <xdr:row>38</xdr:row>
      <xdr:rowOff>162966</xdr:rowOff>
    </xdr:to>
    <xdr:grpSp>
      <xdr:nvGrpSpPr>
        <xdr:cNvPr id="17" name="Gruppieren 1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C51CCAE-1418-4A1B-B4F2-AA98F3F8434E}"/>
            </a:ext>
          </a:extLst>
        </xdr:cNvPr>
        <xdr:cNvGrpSpPr/>
      </xdr:nvGrpSpPr>
      <xdr:grpSpPr>
        <a:xfrm>
          <a:off x="5842000" y="6756406"/>
          <a:ext cx="890333" cy="264560"/>
          <a:chOff x="6090843" y="7494984"/>
          <a:chExt cx="887158" cy="260524"/>
        </a:xfrm>
      </xdr:grpSpPr>
      <xdr:pic>
        <xdr:nvPicPr>
          <xdr:cNvPr id="18" name="Grafik 17">
            <a:extLst>
              <a:ext uri="{FF2B5EF4-FFF2-40B4-BE49-F238E27FC236}">
                <a16:creationId xmlns:a16="http://schemas.microsoft.com/office/drawing/2014/main" id="{F6F216DE-ED2D-5BAF-1733-9EB6CFEEAF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19" name="Textfeld 18">
            <a:extLst>
              <a:ext uri="{FF2B5EF4-FFF2-40B4-BE49-F238E27FC236}">
                <a16:creationId xmlns:a16="http://schemas.microsoft.com/office/drawing/2014/main" id="{6F734CCA-B678-797E-7DE6-8B7294DA9B06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  <xdr:twoCellAnchor>
    <xdr:from>
      <xdr:col>3</xdr:col>
      <xdr:colOff>0</xdr:colOff>
      <xdr:row>48</xdr:row>
      <xdr:rowOff>0</xdr:rowOff>
    </xdr:from>
    <xdr:to>
      <xdr:col>3</xdr:col>
      <xdr:colOff>883983</xdr:colOff>
      <xdr:row>49</xdr:row>
      <xdr:rowOff>67710</xdr:rowOff>
    </xdr:to>
    <xdr:grpSp>
      <xdr:nvGrpSpPr>
        <xdr:cNvPr id="20" name="Gruppieren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A584440-1B31-4301-AA9D-402ED7205C3C}"/>
            </a:ext>
          </a:extLst>
        </xdr:cNvPr>
        <xdr:cNvGrpSpPr/>
      </xdr:nvGrpSpPr>
      <xdr:grpSpPr>
        <a:xfrm>
          <a:off x="1435100" y="8699500"/>
          <a:ext cx="883983" cy="264560"/>
          <a:chOff x="6090843" y="7494984"/>
          <a:chExt cx="887158" cy="260524"/>
        </a:xfrm>
      </xdr:grpSpPr>
      <xdr:pic>
        <xdr:nvPicPr>
          <xdr:cNvPr id="21" name="Grafik 20">
            <a:extLst>
              <a:ext uri="{FF2B5EF4-FFF2-40B4-BE49-F238E27FC236}">
                <a16:creationId xmlns:a16="http://schemas.microsoft.com/office/drawing/2014/main" id="{4D09D945-0355-19FC-6E5E-178C1CD21F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22" name="Textfeld 21">
            <a:extLst>
              <a:ext uri="{FF2B5EF4-FFF2-40B4-BE49-F238E27FC236}">
                <a16:creationId xmlns:a16="http://schemas.microsoft.com/office/drawing/2014/main" id="{C0D5D57B-96A4-6205-974D-FB7913A7DBA1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1119681</xdr:colOff>
      <xdr:row>43</xdr:row>
      <xdr:rowOff>167399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D156CE96-91F2-49B6-B346-DE467CFA4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7948119"/>
          <a:ext cx="342673" cy="334580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6849EB70-24F7-4D65-A483-F6A2C0106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7954689"/>
          <a:ext cx="377168" cy="376730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1119899</xdr:colOff>
      <xdr:row>43</xdr:row>
      <xdr:rowOff>170795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92A3ED6F-CCAB-4E53-8299-20538FE21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08530" y="7921845"/>
          <a:ext cx="364469" cy="364250"/>
        </a:xfrm>
        <a:prstGeom prst="rect">
          <a:avLst/>
        </a:prstGeom>
      </xdr:spPr>
    </xdr:pic>
    <xdr:clientData/>
  </xdr:twoCellAnchor>
  <xdr:twoCellAnchor editAs="oneCell">
    <xdr:from>
      <xdr:col>8</xdr:col>
      <xdr:colOff>244688</xdr:colOff>
      <xdr:row>23</xdr:row>
      <xdr:rowOff>97194</xdr:rowOff>
    </xdr:from>
    <xdr:to>
      <xdr:col>8</xdr:col>
      <xdr:colOff>744447</xdr:colOff>
      <xdr:row>26</xdr:row>
      <xdr:rowOff>19129</xdr:rowOff>
    </xdr:to>
    <xdr:pic>
      <xdr:nvPicPr>
        <xdr:cNvPr id="11" name="Grafik 10" descr="Gruppenbrainstorming Silhouet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87B94D-C006-4BDA-854C-73CC5EBE3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045413" y="4316769"/>
          <a:ext cx="499759" cy="493435"/>
        </a:xfrm>
        <a:prstGeom prst="rect">
          <a:avLst/>
        </a:prstGeom>
      </xdr:spPr>
    </xdr:pic>
    <xdr:clientData/>
  </xdr:twoCellAnchor>
  <xdr:twoCellAnchor editAs="oneCell">
    <xdr:from>
      <xdr:col>8</xdr:col>
      <xdr:colOff>710712</xdr:colOff>
      <xdr:row>12</xdr:row>
      <xdr:rowOff>29307</xdr:rowOff>
    </xdr:from>
    <xdr:to>
      <xdr:col>8</xdr:col>
      <xdr:colOff>1070349</xdr:colOff>
      <xdr:row>13</xdr:row>
      <xdr:rowOff>180636</xdr:rowOff>
    </xdr:to>
    <xdr:pic>
      <xdr:nvPicPr>
        <xdr:cNvPr id="16" name="Grafik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B8ED68-11A6-4324-9517-D3848E53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3812" y="2315307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168520</xdr:colOff>
      <xdr:row>9</xdr:row>
      <xdr:rowOff>112773</xdr:rowOff>
    </xdr:from>
    <xdr:to>
      <xdr:col>8</xdr:col>
      <xdr:colOff>528157</xdr:colOff>
      <xdr:row>11</xdr:row>
      <xdr:rowOff>66275</xdr:rowOff>
    </xdr:to>
    <xdr:pic>
      <xdr:nvPicPr>
        <xdr:cNvPr id="18" name="Grafik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89AE4A-53B3-486B-9929-1D261F830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1620" y="1798698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8</xdr:col>
      <xdr:colOff>697651</xdr:colOff>
      <xdr:row>9</xdr:row>
      <xdr:rowOff>109904</xdr:rowOff>
    </xdr:from>
    <xdr:to>
      <xdr:col>8</xdr:col>
      <xdr:colOff>1057288</xdr:colOff>
      <xdr:row>11</xdr:row>
      <xdr:rowOff>63406</xdr:rowOff>
    </xdr:to>
    <xdr:pic>
      <xdr:nvPicPr>
        <xdr:cNvPr id="19" name="Grafik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0DA828-35A2-4756-9908-ECBC85D0C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0751" y="1795829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22</xdr:row>
      <xdr:rowOff>9525</xdr:rowOff>
    </xdr:from>
    <xdr:to>
      <xdr:col>8</xdr:col>
      <xdr:colOff>416787</xdr:colOff>
      <xdr:row>23</xdr:row>
      <xdr:rowOff>170379</xdr:rowOff>
    </xdr:to>
    <xdr:pic>
      <xdr:nvPicPr>
        <xdr:cNvPr id="21" name="Grafik 2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807681A-58A8-43AB-8E12-5CA031A67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875" y="4038600"/>
          <a:ext cx="359637" cy="351354"/>
        </a:xfrm>
        <a:prstGeom prst="rect">
          <a:avLst/>
        </a:prstGeom>
      </xdr:spPr>
    </xdr:pic>
    <xdr:clientData/>
  </xdr:twoCellAnchor>
  <xdr:twoCellAnchor>
    <xdr:from>
      <xdr:col>8</xdr:col>
      <xdr:colOff>104775</xdr:colOff>
      <xdr:row>26</xdr:row>
      <xdr:rowOff>114300</xdr:rowOff>
    </xdr:from>
    <xdr:to>
      <xdr:col>8</xdr:col>
      <xdr:colOff>946656</xdr:colOff>
      <xdr:row>27</xdr:row>
      <xdr:rowOff>159785</xdr:rowOff>
    </xdr:to>
    <xdr:grpSp>
      <xdr:nvGrpSpPr>
        <xdr:cNvPr id="26" name="Gruppieren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FF304AD-511A-4CDF-A3D3-DD45049160B9}"/>
            </a:ext>
          </a:extLst>
        </xdr:cNvPr>
        <xdr:cNvGrpSpPr/>
      </xdr:nvGrpSpPr>
      <xdr:grpSpPr>
        <a:xfrm>
          <a:off x="5883275" y="4883150"/>
          <a:ext cx="841881" cy="229635"/>
          <a:chOff x="4130444" y="3557713"/>
          <a:chExt cx="768976" cy="216568"/>
        </a:xfrm>
      </xdr:grpSpPr>
      <xdr:pic>
        <xdr:nvPicPr>
          <xdr:cNvPr id="27" name="Grafik 26">
            <a:extLst>
              <a:ext uri="{FF2B5EF4-FFF2-40B4-BE49-F238E27FC236}">
                <a16:creationId xmlns:a16="http://schemas.microsoft.com/office/drawing/2014/main" id="{5D3AC1CF-E1C2-E97F-5D5E-C598182958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28" name="Textfeld 27">
            <a:extLst>
              <a:ext uri="{FF2B5EF4-FFF2-40B4-BE49-F238E27FC236}">
                <a16:creationId xmlns:a16="http://schemas.microsoft.com/office/drawing/2014/main" id="{521F4E19-A473-2E03-D8A9-09F9D263C67B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1.6 Auftrag</a:t>
            </a:r>
          </a:p>
        </xdr:txBody>
      </xdr:sp>
    </xdr:grpSp>
    <xdr:clientData/>
  </xdr:twoCellAnchor>
  <xdr:twoCellAnchor editAs="oneCell">
    <xdr:from>
      <xdr:col>8</xdr:col>
      <xdr:colOff>740019</xdr:colOff>
      <xdr:row>22</xdr:row>
      <xdr:rowOff>0</xdr:rowOff>
    </xdr:from>
    <xdr:to>
      <xdr:col>8</xdr:col>
      <xdr:colOff>1099656</xdr:colOff>
      <xdr:row>23</xdr:row>
      <xdr:rowOff>160854</xdr:rowOff>
    </xdr:to>
    <xdr:pic>
      <xdr:nvPicPr>
        <xdr:cNvPr id="29" name="Grafik 2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09504B3-8849-4802-8835-FF298DDD6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0269" y="4000500"/>
          <a:ext cx="359637" cy="351354"/>
        </a:xfrm>
        <a:prstGeom prst="rect">
          <a:avLst/>
        </a:prstGeom>
      </xdr:spPr>
    </xdr:pic>
    <xdr:clientData/>
  </xdr:twoCellAnchor>
  <xdr:twoCellAnchor>
    <xdr:from>
      <xdr:col>8</xdr:col>
      <xdr:colOff>102577</xdr:colOff>
      <xdr:row>33</xdr:row>
      <xdr:rowOff>95250</xdr:rowOff>
    </xdr:from>
    <xdr:to>
      <xdr:col>8</xdr:col>
      <xdr:colOff>942993</xdr:colOff>
      <xdr:row>34</xdr:row>
      <xdr:rowOff>131181</xdr:rowOff>
    </xdr:to>
    <xdr:grpSp>
      <xdr:nvGrpSpPr>
        <xdr:cNvPr id="36" name="Gruppieren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5F22F66-2AA7-41A0-9328-388F20C1759C}"/>
            </a:ext>
          </a:extLst>
        </xdr:cNvPr>
        <xdr:cNvGrpSpPr/>
      </xdr:nvGrpSpPr>
      <xdr:grpSpPr>
        <a:xfrm>
          <a:off x="5881077" y="6102350"/>
          <a:ext cx="840416" cy="232781"/>
          <a:chOff x="4130444" y="3557713"/>
          <a:chExt cx="768976" cy="216568"/>
        </a:xfrm>
      </xdr:grpSpPr>
      <xdr:pic>
        <xdr:nvPicPr>
          <xdr:cNvPr id="37" name="Grafik 36">
            <a:extLst>
              <a:ext uri="{FF2B5EF4-FFF2-40B4-BE49-F238E27FC236}">
                <a16:creationId xmlns:a16="http://schemas.microsoft.com/office/drawing/2014/main" id="{89ECC4B7-BA08-93E7-D57A-9F084251E6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38" name="Textfeld 37">
            <a:extLst>
              <a:ext uri="{FF2B5EF4-FFF2-40B4-BE49-F238E27FC236}">
                <a16:creationId xmlns:a16="http://schemas.microsoft.com/office/drawing/2014/main" id="{13CA6BAB-4856-B858-6B63-D4EC4B21E85B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  <xdr:twoCellAnchor>
    <xdr:from>
      <xdr:col>8</xdr:col>
      <xdr:colOff>66675</xdr:colOff>
      <xdr:row>37</xdr:row>
      <xdr:rowOff>85731</xdr:rowOff>
    </xdr:from>
    <xdr:to>
      <xdr:col>8</xdr:col>
      <xdr:colOff>953833</xdr:colOff>
      <xdr:row>38</xdr:row>
      <xdr:rowOff>159791</xdr:rowOff>
    </xdr:to>
    <xdr:grpSp>
      <xdr:nvGrpSpPr>
        <xdr:cNvPr id="5" name="Gruppieren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3EEDBA3-F1DF-4C27-BD0A-F37D8C1E4B81}"/>
            </a:ext>
          </a:extLst>
        </xdr:cNvPr>
        <xdr:cNvGrpSpPr/>
      </xdr:nvGrpSpPr>
      <xdr:grpSpPr>
        <a:xfrm>
          <a:off x="5845175" y="6867531"/>
          <a:ext cx="887158" cy="258210"/>
          <a:chOff x="6090843" y="7494984"/>
          <a:chExt cx="887158" cy="260524"/>
        </a:xfrm>
      </xdr:grpSpPr>
      <xdr:pic>
        <xdr:nvPicPr>
          <xdr:cNvPr id="6" name="Grafik 5">
            <a:extLst>
              <a:ext uri="{FF2B5EF4-FFF2-40B4-BE49-F238E27FC236}">
                <a16:creationId xmlns:a16="http://schemas.microsoft.com/office/drawing/2014/main" id="{890112E5-E2C2-E6FD-A88F-4B5C5B053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97B822A9-9586-2F74-832F-A398D1FFAC7D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  <xdr:twoCellAnchor>
    <xdr:from>
      <xdr:col>3</xdr:col>
      <xdr:colOff>0</xdr:colOff>
      <xdr:row>48</xdr:row>
      <xdr:rowOff>0</xdr:rowOff>
    </xdr:from>
    <xdr:to>
      <xdr:col>3</xdr:col>
      <xdr:colOff>887158</xdr:colOff>
      <xdr:row>49</xdr:row>
      <xdr:rowOff>64535</xdr:rowOff>
    </xdr:to>
    <xdr:grpSp>
      <xdr:nvGrpSpPr>
        <xdr:cNvPr id="8" name="Gruppieren 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D347960-B231-430C-880F-8190FF4734E1}"/>
            </a:ext>
          </a:extLst>
        </xdr:cNvPr>
        <xdr:cNvGrpSpPr/>
      </xdr:nvGrpSpPr>
      <xdr:grpSpPr>
        <a:xfrm>
          <a:off x="1435100" y="8877300"/>
          <a:ext cx="887158" cy="261385"/>
          <a:chOff x="6090843" y="7494984"/>
          <a:chExt cx="887158" cy="260524"/>
        </a:xfrm>
      </xdr:grpSpPr>
      <xdr:pic>
        <xdr:nvPicPr>
          <xdr:cNvPr id="9" name="Grafik 8">
            <a:extLst>
              <a:ext uri="{FF2B5EF4-FFF2-40B4-BE49-F238E27FC236}">
                <a16:creationId xmlns:a16="http://schemas.microsoft.com/office/drawing/2014/main" id="{BC909E5C-BD6C-4AD1-B396-CE1D09D79B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6CF77FCE-1CD6-69F3-D261-90F2F75FA2F3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1119681</xdr:colOff>
      <xdr:row>43</xdr:row>
      <xdr:rowOff>167399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9D17CDE5-19FE-4D33-9545-1C1B87530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7709994"/>
          <a:ext cx="342673" cy="334580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45CB1642-8FD2-42A7-9508-46D945DD4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7716564"/>
          <a:ext cx="377168" cy="376729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1119899</xdr:colOff>
      <xdr:row>43</xdr:row>
      <xdr:rowOff>170795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A3565919-6E40-4BEA-9E33-7702E460C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56155" y="7683720"/>
          <a:ext cx="364469" cy="364250"/>
        </a:xfrm>
        <a:prstGeom prst="rect">
          <a:avLst/>
        </a:prstGeom>
      </xdr:spPr>
    </xdr:pic>
    <xdr:clientData/>
  </xdr:twoCellAnchor>
  <xdr:twoCellAnchor editAs="oneCell">
    <xdr:from>
      <xdr:col>8</xdr:col>
      <xdr:colOff>710712</xdr:colOff>
      <xdr:row>12</xdr:row>
      <xdr:rowOff>29307</xdr:rowOff>
    </xdr:from>
    <xdr:to>
      <xdr:col>8</xdr:col>
      <xdr:colOff>1070349</xdr:colOff>
      <xdr:row>13</xdr:row>
      <xdr:rowOff>180636</xdr:rowOff>
    </xdr:to>
    <xdr:pic>
      <xdr:nvPicPr>
        <xdr:cNvPr id="15" name="Grafik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237B56-433B-4E68-A2B2-42546EE1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1437" y="2315307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168520</xdr:colOff>
      <xdr:row>9</xdr:row>
      <xdr:rowOff>112773</xdr:rowOff>
    </xdr:from>
    <xdr:to>
      <xdr:col>8</xdr:col>
      <xdr:colOff>528157</xdr:colOff>
      <xdr:row>11</xdr:row>
      <xdr:rowOff>66275</xdr:rowOff>
    </xdr:to>
    <xdr:pic>
      <xdr:nvPicPr>
        <xdr:cNvPr id="17" name="Grafik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E6C4395-1803-4E98-9006-1630AFF70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245" y="1798698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8</xdr:col>
      <xdr:colOff>697651</xdr:colOff>
      <xdr:row>9</xdr:row>
      <xdr:rowOff>109904</xdr:rowOff>
    </xdr:from>
    <xdr:to>
      <xdr:col>8</xdr:col>
      <xdr:colOff>1057288</xdr:colOff>
      <xdr:row>11</xdr:row>
      <xdr:rowOff>63406</xdr:rowOff>
    </xdr:to>
    <xdr:pic>
      <xdr:nvPicPr>
        <xdr:cNvPr id="18" name="Grafik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02D3D3-0F6C-4082-B3AA-FC1873DB0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8376" y="1795829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12</xdr:row>
      <xdr:rowOff>28575</xdr:rowOff>
    </xdr:from>
    <xdr:to>
      <xdr:col>8</xdr:col>
      <xdr:colOff>512037</xdr:colOff>
      <xdr:row>13</xdr:row>
      <xdr:rowOff>179904</xdr:rowOff>
    </xdr:to>
    <xdr:pic>
      <xdr:nvPicPr>
        <xdr:cNvPr id="19" name="Grafik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D7BD234-1F66-4182-ABB5-87DF3D117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2314575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22</xdr:row>
      <xdr:rowOff>28575</xdr:rowOff>
    </xdr:from>
    <xdr:to>
      <xdr:col>8</xdr:col>
      <xdr:colOff>483462</xdr:colOff>
      <xdr:row>23</xdr:row>
      <xdr:rowOff>183079</xdr:rowOff>
    </xdr:to>
    <xdr:pic>
      <xdr:nvPicPr>
        <xdr:cNvPr id="23" name="Grafik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EABF60-1139-47DF-81A8-820E7222F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4550" y="4057650"/>
          <a:ext cx="359637" cy="351354"/>
        </a:xfrm>
        <a:prstGeom prst="rect">
          <a:avLst/>
        </a:prstGeom>
      </xdr:spPr>
    </xdr:pic>
    <xdr:clientData/>
  </xdr:twoCellAnchor>
  <xdr:twoCellAnchor>
    <xdr:from>
      <xdr:col>8</xdr:col>
      <xdr:colOff>89647</xdr:colOff>
      <xdr:row>35</xdr:row>
      <xdr:rowOff>67236</xdr:rowOff>
    </xdr:from>
    <xdr:to>
      <xdr:col>8</xdr:col>
      <xdr:colOff>930063</xdr:colOff>
      <xdr:row>36</xdr:row>
      <xdr:rowOff>101486</xdr:rowOff>
    </xdr:to>
    <xdr:grpSp>
      <xdr:nvGrpSpPr>
        <xdr:cNvPr id="8" name="Gruppieren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3906056-8C46-40A2-9B80-7AFB208DE239}"/>
            </a:ext>
          </a:extLst>
        </xdr:cNvPr>
        <xdr:cNvGrpSpPr/>
      </xdr:nvGrpSpPr>
      <xdr:grpSpPr>
        <a:xfrm>
          <a:off x="5871882" y="6394824"/>
          <a:ext cx="840416" cy="228486"/>
          <a:chOff x="4130444" y="3557713"/>
          <a:chExt cx="768976" cy="216568"/>
        </a:xfrm>
      </xdr:grpSpPr>
      <xdr:pic>
        <xdr:nvPicPr>
          <xdr:cNvPr id="10" name="Grafik 9">
            <a:extLst>
              <a:ext uri="{FF2B5EF4-FFF2-40B4-BE49-F238E27FC236}">
                <a16:creationId xmlns:a16="http://schemas.microsoft.com/office/drawing/2014/main" id="{EF5CDFA3-30C0-71B2-88FD-CF21DF23AD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7F19B4DF-BFDA-DAE3-3546-0F6140E5E9BC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  <xdr:twoCellAnchor>
    <xdr:from>
      <xdr:col>8</xdr:col>
      <xdr:colOff>78441</xdr:colOff>
      <xdr:row>33</xdr:row>
      <xdr:rowOff>56029</xdr:rowOff>
    </xdr:from>
    <xdr:to>
      <xdr:col>8</xdr:col>
      <xdr:colOff>965599</xdr:colOff>
      <xdr:row>34</xdr:row>
      <xdr:rowOff>118883</xdr:rowOff>
    </xdr:to>
    <xdr:grpSp>
      <xdr:nvGrpSpPr>
        <xdr:cNvPr id="12" name="Gruppieren 1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68AA286-5224-4240-A7B5-4869A06BBEE8}"/>
            </a:ext>
          </a:extLst>
        </xdr:cNvPr>
        <xdr:cNvGrpSpPr/>
      </xdr:nvGrpSpPr>
      <xdr:grpSpPr>
        <a:xfrm>
          <a:off x="5860676" y="6002617"/>
          <a:ext cx="887158" cy="257090"/>
          <a:chOff x="6090843" y="7494984"/>
          <a:chExt cx="887158" cy="260524"/>
        </a:xfrm>
      </xdr:grpSpPr>
      <xdr:pic>
        <xdr:nvPicPr>
          <xdr:cNvPr id="13" name="Grafik 12">
            <a:extLst>
              <a:ext uri="{FF2B5EF4-FFF2-40B4-BE49-F238E27FC236}">
                <a16:creationId xmlns:a16="http://schemas.microsoft.com/office/drawing/2014/main" id="{3CB3B439-745E-F865-498C-B31FEDC453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14" name="Textfeld 13">
            <a:extLst>
              <a:ext uri="{FF2B5EF4-FFF2-40B4-BE49-F238E27FC236}">
                <a16:creationId xmlns:a16="http://schemas.microsoft.com/office/drawing/2014/main" id="{A2AC3EC2-A83C-0E77-D2EF-BA539F01FF07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  <xdr:twoCellAnchor>
    <xdr:from>
      <xdr:col>8</xdr:col>
      <xdr:colOff>67236</xdr:colOff>
      <xdr:row>18</xdr:row>
      <xdr:rowOff>89647</xdr:rowOff>
    </xdr:from>
    <xdr:to>
      <xdr:col>8</xdr:col>
      <xdr:colOff>909117</xdr:colOff>
      <xdr:row>19</xdr:row>
      <xdr:rowOff>135132</xdr:rowOff>
    </xdr:to>
    <xdr:grpSp>
      <xdr:nvGrpSpPr>
        <xdr:cNvPr id="16" name="Gruppieren 1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B8458E8-82B6-4E0D-B77E-DAD26EF22FF6}"/>
            </a:ext>
          </a:extLst>
        </xdr:cNvPr>
        <xdr:cNvGrpSpPr/>
      </xdr:nvGrpSpPr>
      <xdr:grpSpPr>
        <a:xfrm>
          <a:off x="5849471" y="3287059"/>
          <a:ext cx="841881" cy="232249"/>
          <a:chOff x="4130444" y="3557713"/>
          <a:chExt cx="768976" cy="216568"/>
        </a:xfrm>
      </xdr:grpSpPr>
      <xdr:pic>
        <xdr:nvPicPr>
          <xdr:cNvPr id="20" name="Grafik 19">
            <a:extLst>
              <a:ext uri="{FF2B5EF4-FFF2-40B4-BE49-F238E27FC236}">
                <a16:creationId xmlns:a16="http://schemas.microsoft.com/office/drawing/2014/main" id="{EEE10E8E-E014-98BC-346B-30A9CA9E8A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21" name="Textfeld 20">
            <a:extLst>
              <a:ext uri="{FF2B5EF4-FFF2-40B4-BE49-F238E27FC236}">
                <a16:creationId xmlns:a16="http://schemas.microsoft.com/office/drawing/2014/main" id="{41C8AC23-C01A-61BE-F193-CC2F0BD0F9C2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1.6 Auftrag</a:t>
            </a: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1119681</xdr:colOff>
      <xdr:row>43</xdr:row>
      <xdr:rowOff>167399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41DD03B3-ACEB-4FEC-A1CF-4A8498D45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7709994"/>
          <a:ext cx="342673" cy="334580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D3335EF9-8948-4315-A486-DC37CB4C1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7716564"/>
          <a:ext cx="377168" cy="376729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1119899</xdr:colOff>
      <xdr:row>43</xdr:row>
      <xdr:rowOff>170795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3591E089-0C4A-4FBC-9A3D-5A8FDE6E8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56155" y="7683720"/>
          <a:ext cx="364469" cy="364250"/>
        </a:xfrm>
        <a:prstGeom prst="rect">
          <a:avLst/>
        </a:prstGeom>
      </xdr:spPr>
    </xdr:pic>
    <xdr:clientData/>
  </xdr:twoCellAnchor>
  <xdr:twoCellAnchor editAs="oneCell">
    <xdr:from>
      <xdr:col>8</xdr:col>
      <xdr:colOff>85948</xdr:colOff>
      <xdr:row>20</xdr:row>
      <xdr:rowOff>25687</xdr:rowOff>
    </xdr:from>
    <xdr:to>
      <xdr:col>8</xdr:col>
      <xdr:colOff>470612</xdr:colOff>
      <xdr:row>22</xdr:row>
      <xdr:rowOff>13142</xdr:rowOff>
    </xdr:to>
    <xdr:pic>
      <xdr:nvPicPr>
        <xdr:cNvPr id="8" name="Grafik 7" descr="Gamecontroller Silhouet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08DC95-1E48-4F7C-B274-9D2FD9135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886673" y="3673762"/>
          <a:ext cx="384664" cy="368455"/>
        </a:xfrm>
        <a:prstGeom prst="rect">
          <a:avLst/>
        </a:prstGeom>
      </xdr:spPr>
    </xdr:pic>
    <xdr:clientData/>
  </xdr:twoCellAnchor>
  <xdr:twoCellAnchor editAs="oneCell">
    <xdr:from>
      <xdr:col>8</xdr:col>
      <xdr:colOff>710712</xdr:colOff>
      <xdr:row>12</xdr:row>
      <xdr:rowOff>29307</xdr:rowOff>
    </xdr:from>
    <xdr:to>
      <xdr:col>8</xdr:col>
      <xdr:colOff>1070349</xdr:colOff>
      <xdr:row>13</xdr:row>
      <xdr:rowOff>180636</xdr:rowOff>
    </xdr:to>
    <xdr:pic>
      <xdr:nvPicPr>
        <xdr:cNvPr id="14" name="Grafik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8E14187-54E6-49BF-A1F4-E49857ECA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1437" y="2315307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168520</xdr:colOff>
      <xdr:row>9</xdr:row>
      <xdr:rowOff>112773</xdr:rowOff>
    </xdr:from>
    <xdr:to>
      <xdr:col>8</xdr:col>
      <xdr:colOff>528157</xdr:colOff>
      <xdr:row>11</xdr:row>
      <xdr:rowOff>66275</xdr:rowOff>
    </xdr:to>
    <xdr:pic>
      <xdr:nvPicPr>
        <xdr:cNvPr id="16" name="Grafik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AA78B38-CBEF-4929-8164-D2F03E4E2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245" y="1798698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8</xdr:col>
      <xdr:colOff>697651</xdr:colOff>
      <xdr:row>9</xdr:row>
      <xdr:rowOff>109904</xdr:rowOff>
    </xdr:from>
    <xdr:to>
      <xdr:col>8</xdr:col>
      <xdr:colOff>1057288</xdr:colOff>
      <xdr:row>11</xdr:row>
      <xdr:rowOff>63406</xdr:rowOff>
    </xdr:to>
    <xdr:pic>
      <xdr:nvPicPr>
        <xdr:cNvPr id="17" name="Grafik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2396BD9-8D64-4EAF-95A8-3D7FEFAF9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8376" y="1795829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12</xdr:row>
      <xdr:rowOff>28575</xdr:rowOff>
    </xdr:from>
    <xdr:to>
      <xdr:col>8</xdr:col>
      <xdr:colOff>512037</xdr:colOff>
      <xdr:row>13</xdr:row>
      <xdr:rowOff>179904</xdr:rowOff>
    </xdr:to>
    <xdr:pic>
      <xdr:nvPicPr>
        <xdr:cNvPr id="18" name="Grafik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69E62D1-0B94-49B3-9CDF-3A7934BE3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2314575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101151</xdr:colOff>
      <xdr:row>28</xdr:row>
      <xdr:rowOff>30438</xdr:rowOff>
    </xdr:from>
    <xdr:to>
      <xdr:col>8</xdr:col>
      <xdr:colOff>459960</xdr:colOff>
      <xdr:row>30</xdr:row>
      <xdr:rowOff>3173</xdr:rowOff>
    </xdr:to>
    <xdr:pic>
      <xdr:nvPicPr>
        <xdr:cNvPr id="31" name="Grafik 3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F594280-9097-4D9B-8E1B-C671DB871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1876" y="5202513"/>
          <a:ext cx="358809" cy="35373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18</xdr:row>
      <xdr:rowOff>123825</xdr:rowOff>
    </xdr:from>
    <xdr:to>
      <xdr:col>8</xdr:col>
      <xdr:colOff>464412</xdr:colOff>
      <xdr:row>20</xdr:row>
      <xdr:rowOff>94179</xdr:rowOff>
    </xdr:to>
    <xdr:pic>
      <xdr:nvPicPr>
        <xdr:cNvPr id="32" name="Grafik 3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7FC99E8-2578-471C-AB0F-A59C768E7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3390900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942975</xdr:colOff>
      <xdr:row>44</xdr:row>
      <xdr:rowOff>47625</xdr:rowOff>
    </xdr:from>
    <xdr:to>
      <xdr:col>8</xdr:col>
      <xdr:colOff>1199414</xdr:colOff>
      <xdr:row>45</xdr:row>
      <xdr:rowOff>89976</xdr:rowOff>
    </xdr:to>
    <xdr:pic>
      <xdr:nvPicPr>
        <xdr:cNvPr id="33" name="Grafik 3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9F3451D-1BF4-46C2-8C75-6CBA39936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8124825"/>
          <a:ext cx="256439" cy="242376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25</xdr:row>
      <xdr:rowOff>161925</xdr:rowOff>
    </xdr:from>
    <xdr:to>
      <xdr:col>8</xdr:col>
      <xdr:colOff>622696</xdr:colOff>
      <xdr:row>28</xdr:row>
      <xdr:rowOff>31513</xdr:rowOff>
    </xdr:to>
    <xdr:pic>
      <xdr:nvPicPr>
        <xdr:cNvPr id="22" name="Grafik 2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2FDCC13-69B8-4617-9D13-E85E86A1A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2625" y="4762500"/>
          <a:ext cx="660796" cy="441088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22</xdr:row>
      <xdr:rowOff>85725</xdr:rowOff>
    </xdr:from>
    <xdr:to>
      <xdr:col>8</xdr:col>
      <xdr:colOff>908556</xdr:colOff>
      <xdr:row>23</xdr:row>
      <xdr:rowOff>131210</xdr:rowOff>
    </xdr:to>
    <xdr:grpSp>
      <xdr:nvGrpSpPr>
        <xdr:cNvPr id="9" name="Gruppieren 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2FA25B9-58A8-488D-B972-1C9CC13A62C6}"/>
            </a:ext>
          </a:extLst>
        </xdr:cNvPr>
        <xdr:cNvGrpSpPr/>
      </xdr:nvGrpSpPr>
      <xdr:grpSpPr>
        <a:xfrm>
          <a:off x="5845175" y="4048125"/>
          <a:ext cx="841881" cy="229635"/>
          <a:chOff x="4130444" y="3557713"/>
          <a:chExt cx="768976" cy="216568"/>
        </a:xfrm>
      </xdr:grpSpPr>
      <xdr:pic>
        <xdr:nvPicPr>
          <xdr:cNvPr id="10" name="Grafik 9">
            <a:extLst>
              <a:ext uri="{FF2B5EF4-FFF2-40B4-BE49-F238E27FC236}">
                <a16:creationId xmlns:a16="http://schemas.microsoft.com/office/drawing/2014/main" id="{BB38D728-B1D1-B201-B5D6-0D570D35E1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29FE2306-54A3-0A99-37B8-7EED67C9245F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1.6 Auftrag</a:t>
            </a:r>
          </a:p>
        </xdr:txBody>
      </xdr:sp>
    </xdr:grpSp>
    <xdr:clientData/>
  </xdr:twoCellAnchor>
  <xdr:twoCellAnchor>
    <xdr:from>
      <xdr:col>8</xdr:col>
      <xdr:colOff>70036</xdr:colOff>
      <xdr:row>33</xdr:row>
      <xdr:rowOff>83484</xdr:rowOff>
    </xdr:from>
    <xdr:to>
      <xdr:col>8</xdr:col>
      <xdr:colOff>910452</xdr:colOff>
      <xdr:row>34</xdr:row>
      <xdr:rowOff>119415</xdr:rowOff>
    </xdr:to>
    <xdr:grpSp>
      <xdr:nvGrpSpPr>
        <xdr:cNvPr id="12" name="Gruppieren 1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86F77F0-0F41-4DA5-970D-D372E065785D}"/>
            </a:ext>
          </a:extLst>
        </xdr:cNvPr>
        <xdr:cNvGrpSpPr/>
      </xdr:nvGrpSpPr>
      <xdr:grpSpPr>
        <a:xfrm>
          <a:off x="5848536" y="6020734"/>
          <a:ext cx="840416" cy="232781"/>
          <a:chOff x="4130444" y="3557713"/>
          <a:chExt cx="768976" cy="216568"/>
        </a:xfrm>
      </xdr:grpSpPr>
      <xdr:pic>
        <xdr:nvPicPr>
          <xdr:cNvPr id="13" name="Grafik 12">
            <a:extLst>
              <a:ext uri="{FF2B5EF4-FFF2-40B4-BE49-F238E27FC236}">
                <a16:creationId xmlns:a16="http://schemas.microsoft.com/office/drawing/2014/main" id="{26DE61C2-ABB7-6901-2C7E-6CB05D0B2A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Textfeld 14">
            <a:extLst>
              <a:ext uri="{FF2B5EF4-FFF2-40B4-BE49-F238E27FC236}">
                <a16:creationId xmlns:a16="http://schemas.microsoft.com/office/drawing/2014/main" id="{8818A2AE-D759-98EE-F52D-F7C7A7A4B3F1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  <xdr:twoCellAnchor>
    <xdr:from>
      <xdr:col>8</xdr:col>
      <xdr:colOff>87405</xdr:colOff>
      <xdr:row>37</xdr:row>
      <xdr:rowOff>99171</xdr:rowOff>
    </xdr:from>
    <xdr:to>
      <xdr:col>8</xdr:col>
      <xdr:colOff>974563</xdr:colOff>
      <xdr:row>38</xdr:row>
      <xdr:rowOff>173231</xdr:rowOff>
    </xdr:to>
    <xdr:grpSp>
      <xdr:nvGrpSpPr>
        <xdr:cNvPr id="19" name="Gruppieren 18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DD81A21-E1EE-44B3-8DEA-657734813A9F}"/>
            </a:ext>
          </a:extLst>
        </xdr:cNvPr>
        <xdr:cNvGrpSpPr/>
      </xdr:nvGrpSpPr>
      <xdr:grpSpPr>
        <a:xfrm>
          <a:off x="5865905" y="6811121"/>
          <a:ext cx="887158" cy="258210"/>
          <a:chOff x="6090843" y="7494984"/>
          <a:chExt cx="887158" cy="260524"/>
        </a:xfrm>
      </xdr:grpSpPr>
      <xdr:pic>
        <xdr:nvPicPr>
          <xdr:cNvPr id="20" name="Grafik 19">
            <a:extLst>
              <a:ext uri="{FF2B5EF4-FFF2-40B4-BE49-F238E27FC236}">
                <a16:creationId xmlns:a16="http://schemas.microsoft.com/office/drawing/2014/main" id="{41CD6B1E-6CA0-60DF-DA15-47EE0227FC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21" name="Textfeld 20">
            <a:extLst>
              <a:ext uri="{FF2B5EF4-FFF2-40B4-BE49-F238E27FC236}">
                <a16:creationId xmlns:a16="http://schemas.microsoft.com/office/drawing/2014/main" id="{327B4F7F-04FB-9425-ACF2-D0341207CF85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  <xdr:twoCellAnchor>
    <xdr:from>
      <xdr:col>2</xdr:col>
      <xdr:colOff>0</xdr:colOff>
      <xdr:row>49</xdr:row>
      <xdr:rowOff>0</xdr:rowOff>
    </xdr:from>
    <xdr:to>
      <xdr:col>3</xdr:col>
      <xdr:colOff>553783</xdr:colOff>
      <xdr:row>50</xdr:row>
      <xdr:rowOff>64535</xdr:rowOff>
    </xdr:to>
    <xdr:grpSp>
      <xdr:nvGrpSpPr>
        <xdr:cNvPr id="30" name="Gruppieren 2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B0A3F15-C771-4575-9136-59845957F95E}"/>
            </a:ext>
          </a:extLst>
        </xdr:cNvPr>
        <xdr:cNvGrpSpPr/>
      </xdr:nvGrpSpPr>
      <xdr:grpSpPr>
        <a:xfrm>
          <a:off x="1098550" y="8909050"/>
          <a:ext cx="890333" cy="261385"/>
          <a:chOff x="6090843" y="7494984"/>
          <a:chExt cx="887158" cy="260524"/>
        </a:xfrm>
      </xdr:grpSpPr>
      <xdr:pic>
        <xdr:nvPicPr>
          <xdr:cNvPr id="39" name="Grafik 38">
            <a:extLst>
              <a:ext uri="{FF2B5EF4-FFF2-40B4-BE49-F238E27FC236}">
                <a16:creationId xmlns:a16="http://schemas.microsoft.com/office/drawing/2014/main" id="{CE1E9D66-703B-A325-F6B2-39FA25D4B2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40" name="Textfeld 39">
            <a:extLst>
              <a:ext uri="{FF2B5EF4-FFF2-40B4-BE49-F238E27FC236}">
                <a16:creationId xmlns:a16="http://schemas.microsoft.com/office/drawing/2014/main" id="{15FFEEF1-F6C4-0EF0-16A9-6EF0BF69FC5A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1119681</xdr:colOff>
      <xdr:row>43</xdr:row>
      <xdr:rowOff>167400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56BE5F45-F92C-4207-A20E-D64DBF039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7709994"/>
          <a:ext cx="342673" cy="334580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9A0A6957-7377-4357-AB7F-4DE3FC81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7716564"/>
          <a:ext cx="377168" cy="376729"/>
        </a:xfrm>
        <a:prstGeom prst="rect">
          <a:avLst/>
        </a:prstGeom>
      </xdr:spPr>
    </xdr:pic>
    <xdr:clientData/>
  </xdr:twoCellAnchor>
  <xdr:twoCellAnchor editAs="oneCell">
    <xdr:from>
      <xdr:col>9</xdr:col>
      <xdr:colOff>755430</xdr:colOff>
      <xdr:row>42</xdr:row>
      <xdr:rowOff>6570</xdr:rowOff>
    </xdr:from>
    <xdr:to>
      <xdr:col>9</xdr:col>
      <xdr:colOff>1119899</xdr:colOff>
      <xdr:row>43</xdr:row>
      <xdr:rowOff>170796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BA25028E-4853-4D5F-B636-9C6063B82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56155" y="7683720"/>
          <a:ext cx="364469" cy="364250"/>
        </a:xfrm>
        <a:prstGeom prst="rect">
          <a:avLst/>
        </a:prstGeom>
      </xdr:spPr>
    </xdr:pic>
    <xdr:clientData/>
  </xdr:twoCellAnchor>
  <xdr:twoCellAnchor editAs="oneCell">
    <xdr:from>
      <xdr:col>9</xdr:col>
      <xdr:colOff>162539</xdr:colOff>
      <xdr:row>18</xdr:row>
      <xdr:rowOff>164747</xdr:rowOff>
    </xdr:from>
    <xdr:to>
      <xdr:col>9</xdr:col>
      <xdr:colOff>451718</xdr:colOff>
      <xdr:row>20</xdr:row>
      <xdr:rowOff>58617</xdr:rowOff>
    </xdr:to>
    <xdr:pic>
      <xdr:nvPicPr>
        <xdr:cNvPr id="9" name="Grafik 8" descr="Ein Bild, das Text, Grafiken, Symbol, Schrift enthält.&#10;&#10;Automatisch generierte Beschreibu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CEF9BB-D577-4B4C-8466-E7794EE8C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4077" y="3403247"/>
          <a:ext cx="289179" cy="274870"/>
        </a:xfrm>
        <a:prstGeom prst="rect">
          <a:avLst/>
        </a:prstGeom>
      </xdr:spPr>
    </xdr:pic>
    <xdr:clientData/>
  </xdr:twoCellAnchor>
  <xdr:twoCellAnchor editAs="oneCell">
    <xdr:from>
      <xdr:col>9</xdr:col>
      <xdr:colOff>710712</xdr:colOff>
      <xdr:row>12</xdr:row>
      <xdr:rowOff>29307</xdr:rowOff>
    </xdr:from>
    <xdr:to>
      <xdr:col>9</xdr:col>
      <xdr:colOff>1070349</xdr:colOff>
      <xdr:row>13</xdr:row>
      <xdr:rowOff>186985</xdr:rowOff>
    </xdr:to>
    <xdr:pic>
      <xdr:nvPicPr>
        <xdr:cNvPr id="13" name="Grafik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A75A947-19F0-4B94-9610-64E82F072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1437" y="2315307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9</xdr:col>
      <xdr:colOff>168520</xdr:colOff>
      <xdr:row>9</xdr:row>
      <xdr:rowOff>112773</xdr:rowOff>
    </xdr:from>
    <xdr:to>
      <xdr:col>9</xdr:col>
      <xdr:colOff>531332</xdr:colOff>
      <xdr:row>11</xdr:row>
      <xdr:rowOff>72625</xdr:rowOff>
    </xdr:to>
    <xdr:pic>
      <xdr:nvPicPr>
        <xdr:cNvPr id="15" name="Grafik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F0A7FB1-4019-4968-8244-46610ABE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245" y="1798698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9</xdr:col>
      <xdr:colOff>697651</xdr:colOff>
      <xdr:row>9</xdr:row>
      <xdr:rowOff>109904</xdr:rowOff>
    </xdr:from>
    <xdr:to>
      <xdr:col>9</xdr:col>
      <xdr:colOff>1063638</xdr:colOff>
      <xdr:row>11</xdr:row>
      <xdr:rowOff>72931</xdr:rowOff>
    </xdr:to>
    <xdr:pic>
      <xdr:nvPicPr>
        <xdr:cNvPr id="16" name="Grafik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E12BFE0-C773-4AC5-B8E7-D60F2AA5F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8376" y="1795829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12</xdr:row>
      <xdr:rowOff>28575</xdr:rowOff>
    </xdr:from>
    <xdr:to>
      <xdr:col>9</xdr:col>
      <xdr:colOff>512037</xdr:colOff>
      <xdr:row>13</xdr:row>
      <xdr:rowOff>186253</xdr:rowOff>
    </xdr:to>
    <xdr:pic>
      <xdr:nvPicPr>
        <xdr:cNvPr id="17" name="Grafik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573A44C-BE37-4895-A2F3-EF807E8E8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2314575"/>
          <a:ext cx="359637" cy="351354"/>
        </a:xfrm>
        <a:prstGeom prst="rect">
          <a:avLst/>
        </a:prstGeom>
      </xdr:spPr>
    </xdr:pic>
    <xdr:clientData/>
  </xdr:twoCellAnchor>
  <xdr:twoCellAnchor>
    <xdr:from>
      <xdr:col>9</xdr:col>
      <xdr:colOff>57979</xdr:colOff>
      <xdr:row>22</xdr:row>
      <xdr:rowOff>44027</xdr:rowOff>
    </xdr:from>
    <xdr:to>
      <xdr:col>9</xdr:col>
      <xdr:colOff>899032</xdr:colOff>
      <xdr:row>23</xdr:row>
      <xdr:rowOff>96382</xdr:rowOff>
    </xdr:to>
    <xdr:grpSp>
      <xdr:nvGrpSpPr>
        <xdr:cNvPr id="14" name="Gruppieren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2A56112-B8D8-C8A4-B74E-A52753CBC7DC}"/>
            </a:ext>
          </a:extLst>
        </xdr:cNvPr>
        <xdr:cNvGrpSpPr/>
      </xdr:nvGrpSpPr>
      <xdr:grpSpPr>
        <a:xfrm>
          <a:off x="5877567" y="3951145"/>
          <a:ext cx="841053" cy="239119"/>
          <a:chOff x="4130444" y="3557713"/>
          <a:chExt cx="768976" cy="216568"/>
        </a:xfrm>
      </xdr:grpSpPr>
      <xdr:pic>
        <xdr:nvPicPr>
          <xdr:cNvPr id="18" name="Grafik 17">
            <a:extLst>
              <a:ext uri="{FF2B5EF4-FFF2-40B4-BE49-F238E27FC236}">
                <a16:creationId xmlns:a16="http://schemas.microsoft.com/office/drawing/2014/main" id="{50CFACDB-9192-6673-20C5-4376DEB0A2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9" name="Textfeld 18">
            <a:extLst>
              <a:ext uri="{FF2B5EF4-FFF2-40B4-BE49-F238E27FC236}">
                <a16:creationId xmlns:a16="http://schemas.microsoft.com/office/drawing/2014/main" id="{6F3B0905-0CC2-F1CA-C1DA-8FE9A267EED2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1.8</a:t>
            </a:r>
            <a:r>
              <a:rPr lang="de-CH" sz="9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Auftrag</a:t>
            </a:r>
          </a:p>
        </xdr:txBody>
      </xdr:sp>
    </xdr:grpSp>
    <xdr:clientData/>
  </xdr:twoCellAnchor>
  <xdr:twoCellAnchor>
    <xdr:from>
      <xdr:col>9</xdr:col>
      <xdr:colOff>123265</xdr:colOff>
      <xdr:row>26</xdr:row>
      <xdr:rowOff>134471</xdr:rowOff>
    </xdr:from>
    <xdr:to>
      <xdr:col>9</xdr:col>
      <xdr:colOff>1010423</xdr:colOff>
      <xdr:row>28</xdr:row>
      <xdr:rowOff>18031</xdr:rowOff>
    </xdr:to>
    <xdr:grpSp>
      <xdr:nvGrpSpPr>
        <xdr:cNvPr id="10" name="Gruppieren 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1794711-E761-4FC5-8500-CA56FD7ECE7E}"/>
            </a:ext>
          </a:extLst>
        </xdr:cNvPr>
        <xdr:cNvGrpSpPr/>
      </xdr:nvGrpSpPr>
      <xdr:grpSpPr>
        <a:xfrm>
          <a:off x="5942853" y="4788647"/>
          <a:ext cx="887158" cy="257090"/>
          <a:chOff x="6090843" y="7494984"/>
          <a:chExt cx="887158" cy="260524"/>
        </a:xfrm>
      </xdr:grpSpPr>
      <xdr:pic>
        <xdr:nvPicPr>
          <xdr:cNvPr id="11" name="Grafik 10">
            <a:extLst>
              <a:ext uri="{FF2B5EF4-FFF2-40B4-BE49-F238E27FC236}">
                <a16:creationId xmlns:a16="http://schemas.microsoft.com/office/drawing/2014/main" id="{7EE02E82-9477-20C4-F3CB-7886CD6873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12" name="Textfeld 11">
            <a:extLst>
              <a:ext uri="{FF2B5EF4-FFF2-40B4-BE49-F238E27FC236}">
                <a16:creationId xmlns:a16="http://schemas.microsoft.com/office/drawing/2014/main" id="{8DF68F23-F51D-6396-C7DE-3F67A80BA05C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1.8_LNW</a:t>
            </a:r>
          </a:p>
        </xdr:txBody>
      </xdr:sp>
    </xdr:grpSp>
    <xdr:clientData/>
  </xdr:twoCellAnchor>
  <xdr:twoCellAnchor>
    <xdr:from>
      <xdr:col>9</xdr:col>
      <xdr:colOff>112058</xdr:colOff>
      <xdr:row>33</xdr:row>
      <xdr:rowOff>89648</xdr:rowOff>
    </xdr:from>
    <xdr:to>
      <xdr:col>9</xdr:col>
      <xdr:colOff>952474</xdr:colOff>
      <xdr:row>34</xdr:row>
      <xdr:rowOff>123899</xdr:rowOff>
    </xdr:to>
    <xdr:grpSp>
      <xdr:nvGrpSpPr>
        <xdr:cNvPr id="21" name="Gruppieren 2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AE07F76-A7A9-4235-AC57-979DC650251E}"/>
            </a:ext>
          </a:extLst>
        </xdr:cNvPr>
        <xdr:cNvGrpSpPr/>
      </xdr:nvGrpSpPr>
      <xdr:grpSpPr>
        <a:xfrm>
          <a:off x="5931646" y="5998883"/>
          <a:ext cx="840416" cy="228487"/>
          <a:chOff x="4130444" y="3557713"/>
          <a:chExt cx="768976" cy="216568"/>
        </a:xfrm>
      </xdr:grpSpPr>
      <xdr:pic>
        <xdr:nvPicPr>
          <xdr:cNvPr id="22" name="Grafik 21">
            <a:extLst>
              <a:ext uri="{FF2B5EF4-FFF2-40B4-BE49-F238E27FC236}">
                <a16:creationId xmlns:a16="http://schemas.microsoft.com/office/drawing/2014/main" id="{944FEEE4-814B-605B-889D-9E31AA9E25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23" name="Textfeld 22">
            <a:extLst>
              <a:ext uri="{FF2B5EF4-FFF2-40B4-BE49-F238E27FC236}">
                <a16:creationId xmlns:a16="http://schemas.microsoft.com/office/drawing/2014/main" id="{D2C6F5C6-8A23-9765-3339-7856FE4291CF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  <xdr:twoCellAnchor>
    <xdr:from>
      <xdr:col>9</xdr:col>
      <xdr:colOff>129427</xdr:colOff>
      <xdr:row>37</xdr:row>
      <xdr:rowOff>100293</xdr:rowOff>
    </xdr:from>
    <xdr:to>
      <xdr:col>9</xdr:col>
      <xdr:colOff>1016585</xdr:colOff>
      <xdr:row>38</xdr:row>
      <xdr:rowOff>174353</xdr:rowOff>
    </xdr:to>
    <xdr:grpSp>
      <xdr:nvGrpSpPr>
        <xdr:cNvPr id="26" name="Gruppieren 2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D78A9DE-C334-4FCB-B49F-80F56BF43789}"/>
            </a:ext>
          </a:extLst>
        </xdr:cNvPr>
        <xdr:cNvGrpSpPr/>
      </xdr:nvGrpSpPr>
      <xdr:grpSpPr>
        <a:xfrm>
          <a:off x="5949015" y="6778999"/>
          <a:ext cx="887158" cy="260825"/>
          <a:chOff x="6090843" y="7494984"/>
          <a:chExt cx="887158" cy="260524"/>
        </a:xfrm>
      </xdr:grpSpPr>
      <xdr:pic>
        <xdr:nvPicPr>
          <xdr:cNvPr id="27" name="Grafik 26">
            <a:extLst>
              <a:ext uri="{FF2B5EF4-FFF2-40B4-BE49-F238E27FC236}">
                <a16:creationId xmlns:a16="http://schemas.microsoft.com/office/drawing/2014/main" id="{7ED08161-EE07-7847-B6D6-EAF2E6D851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28" name="Textfeld 27">
            <a:extLst>
              <a:ext uri="{FF2B5EF4-FFF2-40B4-BE49-F238E27FC236}">
                <a16:creationId xmlns:a16="http://schemas.microsoft.com/office/drawing/2014/main" id="{7DEB85FA-C07E-0653-D0AE-C19BBDEC8279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  <xdr:twoCellAnchor editAs="oneCell">
    <xdr:from>
      <xdr:col>9</xdr:col>
      <xdr:colOff>784412</xdr:colOff>
      <xdr:row>44</xdr:row>
      <xdr:rowOff>112058</xdr:rowOff>
    </xdr:from>
    <xdr:to>
      <xdr:col>9</xdr:col>
      <xdr:colOff>1040851</xdr:colOff>
      <xdr:row>45</xdr:row>
      <xdr:rowOff>152728</xdr:rowOff>
    </xdr:to>
    <xdr:pic>
      <xdr:nvPicPr>
        <xdr:cNvPr id="39" name="Grafik 3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F402895-F366-4485-A554-D09EFFD9C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1471" y="8213911"/>
          <a:ext cx="256439" cy="24237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1116506</xdr:colOff>
      <xdr:row>43</xdr:row>
      <xdr:rowOff>164224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DD56708A-F3C4-49F6-B916-71E33E630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7709994"/>
          <a:ext cx="342673" cy="334580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C9689A86-E56F-48F5-9715-35945CFF8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7716564"/>
          <a:ext cx="377168" cy="376729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1116724</xdr:colOff>
      <xdr:row>43</xdr:row>
      <xdr:rowOff>170795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982061F6-6FF6-4FDC-AC3B-5E07F8C9C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56155" y="7683720"/>
          <a:ext cx="364469" cy="364250"/>
        </a:xfrm>
        <a:prstGeom prst="rect">
          <a:avLst/>
        </a:prstGeom>
      </xdr:spPr>
    </xdr:pic>
    <xdr:clientData/>
  </xdr:twoCellAnchor>
  <xdr:twoCellAnchor editAs="oneCell">
    <xdr:from>
      <xdr:col>8</xdr:col>
      <xdr:colOff>710712</xdr:colOff>
      <xdr:row>12</xdr:row>
      <xdr:rowOff>29307</xdr:rowOff>
    </xdr:from>
    <xdr:to>
      <xdr:col>8</xdr:col>
      <xdr:colOff>1073524</xdr:colOff>
      <xdr:row>13</xdr:row>
      <xdr:rowOff>183811</xdr:rowOff>
    </xdr:to>
    <xdr:pic>
      <xdr:nvPicPr>
        <xdr:cNvPr id="13" name="Grafik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7B3FED-E217-40BB-B1AC-DB99A0EDE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1437" y="2315307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168520</xdr:colOff>
      <xdr:row>9</xdr:row>
      <xdr:rowOff>112773</xdr:rowOff>
    </xdr:from>
    <xdr:to>
      <xdr:col>8</xdr:col>
      <xdr:colOff>524982</xdr:colOff>
      <xdr:row>11</xdr:row>
      <xdr:rowOff>69450</xdr:rowOff>
    </xdr:to>
    <xdr:pic>
      <xdr:nvPicPr>
        <xdr:cNvPr id="15" name="Grafik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7A831CA-D6FB-4C22-8F0B-CC0D3D2C2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245" y="1798698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8</xdr:col>
      <xdr:colOff>697651</xdr:colOff>
      <xdr:row>9</xdr:row>
      <xdr:rowOff>109904</xdr:rowOff>
    </xdr:from>
    <xdr:to>
      <xdr:col>8</xdr:col>
      <xdr:colOff>1054113</xdr:colOff>
      <xdr:row>11</xdr:row>
      <xdr:rowOff>66581</xdr:rowOff>
    </xdr:to>
    <xdr:pic>
      <xdr:nvPicPr>
        <xdr:cNvPr id="16" name="Grafik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20D3C5E-07A2-4939-8A0E-BCACE0A1D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8376" y="1795829"/>
          <a:ext cx="359637" cy="353552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12</xdr:row>
      <xdr:rowOff>28575</xdr:rowOff>
    </xdr:from>
    <xdr:to>
      <xdr:col>8</xdr:col>
      <xdr:colOff>512037</xdr:colOff>
      <xdr:row>13</xdr:row>
      <xdr:rowOff>183079</xdr:rowOff>
    </xdr:to>
    <xdr:pic>
      <xdr:nvPicPr>
        <xdr:cNvPr id="17" name="Grafik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7C576D1-3EE1-4226-A499-EF1CC7440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2314575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27</xdr:row>
      <xdr:rowOff>9525</xdr:rowOff>
    </xdr:from>
    <xdr:to>
      <xdr:col>8</xdr:col>
      <xdr:colOff>397737</xdr:colOff>
      <xdr:row>28</xdr:row>
      <xdr:rowOff>170379</xdr:rowOff>
    </xdr:to>
    <xdr:pic>
      <xdr:nvPicPr>
        <xdr:cNvPr id="30" name="Grafik 2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8A064CF-2EFA-4999-96FE-E8F08F3CD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4991100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809625</xdr:colOff>
      <xdr:row>39</xdr:row>
      <xdr:rowOff>47625</xdr:rowOff>
    </xdr:from>
    <xdr:to>
      <xdr:col>8</xdr:col>
      <xdr:colOff>1066064</xdr:colOff>
      <xdr:row>40</xdr:row>
      <xdr:rowOff>86801</xdr:rowOff>
    </xdr:to>
    <xdr:pic>
      <xdr:nvPicPr>
        <xdr:cNvPr id="31" name="Grafik 3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AE33C9A-966B-45D1-B624-3952A9B7A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7286625"/>
          <a:ext cx="256439" cy="242376"/>
        </a:xfrm>
        <a:prstGeom prst="rect">
          <a:avLst/>
        </a:prstGeom>
      </xdr:spPr>
    </xdr:pic>
    <xdr:clientData/>
  </xdr:twoCellAnchor>
  <xdr:twoCellAnchor editAs="oneCell">
    <xdr:from>
      <xdr:col>8</xdr:col>
      <xdr:colOff>605118</xdr:colOff>
      <xdr:row>48</xdr:row>
      <xdr:rowOff>127747</xdr:rowOff>
    </xdr:from>
    <xdr:to>
      <xdr:col>8</xdr:col>
      <xdr:colOff>1101923</xdr:colOff>
      <xdr:row>51</xdr:row>
      <xdr:rowOff>68830</xdr:rowOff>
    </xdr:to>
    <xdr:pic>
      <xdr:nvPicPr>
        <xdr:cNvPr id="32" name="Grafik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867C176-D0D9-477D-A0C2-EF32487A0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8559" y="8946776"/>
          <a:ext cx="496805" cy="478966"/>
        </a:xfrm>
        <a:prstGeom prst="rect">
          <a:avLst/>
        </a:prstGeom>
      </xdr:spPr>
    </xdr:pic>
    <xdr:clientData/>
  </xdr:twoCellAnchor>
  <xdr:twoCellAnchor>
    <xdr:from>
      <xdr:col>8</xdr:col>
      <xdr:colOff>67236</xdr:colOff>
      <xdr:row>33</xdr:row>
      <xdr:rowOff>78441</xdr:rowOff>
    </xdr:from>
    <xdr:to>
      <xdr:col>8</xdr:col>
      <xdr:colOff>907652</xdr:colOff>
      <xdr:row>34</xdr:row>
      <xdr:rowOff>112691</xdr:rowOff>
    </xdr:to>
    <xdr:grpSp>
      <xdr:nvGrpSpPr>
        <xdr:cNvPr id="5" name="Gruppieren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D2A78C5-37D7-43FF-84EA-26E4D10ABAB0}"/>
            </a:ext>
          </a:extLst>
        </xdr:cNvPr>
        <xdr:cNvGrpSpPr/>
      </xdr:nvGrpSpPr>
      <xdr:grpSpPr>
        <a:xfrm>
          <a:off x="5849471" y="6025029"/>
          <a:ext cx="840416" cy="228486"/>
          <a:chOff x="4130444" y="3557713"/>
          <a:chExt cx="768976" cy="216568"/>
        </a:xfrm>
      </xdr:grpSpPr>
      <xdr:pic>
        <xdr:nvPicPr>
          <xdr:cNvPr id="6" name="Grafik 5">
            <a:extLst>
              <a:ext uri="{FF2B5EF4-FFF2-40B4-BE49-F238E27FC236}">
                <a16:creationId xmlns:a16="http://schemas.microsoft.com/office/drawing/2014/main" id="{3DE17CBD-7319-3EAF-3A88-AA6121427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DB57F216-8ADC-1496-E7EB-5536CEF0D84C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  <xdr:twoCellAnchor>
    <xdr:from>
      <xdr:col>8</xdr:col>
      <xdr:colOff>17369</xdr:colOff>
      <xdr:row>37</xdr:row>
      <xdr:rowOff>10644</xdr:rowOff>
    </xdr:from>
    <xdr:to>
      <xdr:col>8</xdr:col>
      <xdr:colOff>904527</xdr:colOff>
      <xdr:row>38</xdr:row>
      <xdr:rowOff>84704</xdr:rowOff>
    </xdr:to>
    <xdr:grpSp>
      <xdr:nvGrpSpPr>
        <xdr:cNvPr id="8" name="Gruppieren 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F79FD6B-022F-4C43-A91E-6B751A0E6257}"/>
            </a:ext>
          </a:extLst>
        </xdr:cNvPr>
        <xdr:cNvGrpSpPr/>
      </xdr:nvGrpSpPr>
      <xdr:grpSpPr>
        <a:xfrm>
          <a:off x="5799604" y="6726703"/>
          <a:ext cx="887158" cy="260825"/>
          <a:chOff x="6090843" y="7494984"/>
          <a:chExt cx="887158" cy="260524"/>
        </a:xfrm>
      </xdr:grpSpPr>
      <xdr:pic>
        <xdr:nvPicPr>
          <xdr:cNvPr id="9" name="Grafik 8">
            <a:extLst>
              <a:ext uri="{FF2B5EF4-FFF2-40B4-BE49-F238E27FC236}">
                <a16:creationId xmlns:a16="http://schemas.microsoft.com/office/drawing/2014/main" id="{A5A0C215-8A0E-0561-700E-140F8F8E4F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F4E2BC1D-098D-E7B0-19D4-F7B9801E5417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  <xdr:twoCellAnchor>
    <xdr:from>
      <xdr:col>3</xdr:col>
      <xdr:colOff>0</xdr:colOff>
      <xdr:row>49</xdr:row>
      <xdr:rowOff>0</xdr:rowOff>
    </xdr:from>
    <xdr:to>
      <xdr:col>3</xdr:col>
      <xdr:colOff>887158</xdr:colOff>
      <xdr:row>50</xdr:row>
      <xdr:rowOff>85266</xdr:rowOff>
    </xdr:to>
    <xdr:grpSp>
      <xdr:nvGrpSpPr>
        <xdr:cNvPr id="11" name="Gruppieren 1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1C6C899-2830-44F5-A353-34214B3FD4A7}"/>
            </a:ext>
          </a:extLst>
        </xdr:cNvPr>
        <xdr:cNvGrpSpPr/>
      </xdr:nvGrpSpPr>
      <xdr:grpSpPr>
        <a:xfrm>
          <a:off x="1434353" y="8852647"/>
          <a:ext cx="887158" cy="272031"/>
          <a:chOff x="6090843" y="7494984"/>
          <a:chExt cx="887158" cy="260524"/>
        </a:xfrm>
      </xdr:grpSpPr>
      <xdr:pic>
        <xdr:nvPicPr>
          <xdr:cNvPr id="12" name="Grafik 11">
            <a:extLst>
              <a:ext uri="{FF2B5EF4-FFF2-40B4-BE49-F238E27FC236}">
                <a16:creationId xmlns:a16="http://schemas.microsoft.com/office/drawing/2014/main" id="{2233626B-E73E-6BA8-BC8D-ADB93B9E6D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14" name="Textfeld 13">
            <a:extLst>
              <a:ext uri="{FF2B5EF4-FFF2-40B4-BE49-F238E27FC236}">
                <a16:creationId xmlns:a16="http://schemas.microsoft.com/office/drawing/2014/main" id="{54D3086F-AD96-398D-7967-960258539723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  <xdr:twoCellAnchor>
    <xdr:from>
      <xdr:col>8</xdr:col>
      <xdr:colOff>44824</xdr:colOff>
      <xdr:row>23</xdr:row>
      <xdr:rowOff>67235</xdr:rowOff>
    </xdr:from>
    <xdr:to>
      <xdr:col>8</xdr:col>
      <xdr:colOff>885877</xdr:colOff>
      <xdr:row>24</xdr:row>
      <xdr:rowOff>119590</xdr:rowOff>
    </xdr:to>
    <xdr:grpSp>
      <xdr:nvGrpSpPr>
        <xdr:cNvPr id="18" name="Gruppieren 1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48DFC9E-88BF-4233-9C61-56517BB48709}"/>
            </a:ext>
          </a:extLst>
        </xdr:cNvPr>
        <xdr:cNvGrpSpPr/>
      </xdr:nvGrpSpPr>
      <xdr:grpSpPr>
        <a:xfrm>
          <a:off x="5827059" y="4198470"/>
          <a:ext cx="841053" cy="239120"/>
          <a:chOff x="4130444" y="3557713"/>
          <a:chExt cx="768976" cy="216568"/>
        </a:xfrm>
      </xdr:grpSpPr>
      <xdr:pic>
        <xdr:nvPicPr>
          <xdr:cNvPr id="19" name="Grafik 18">
            <a:extLst>
              <a:ext uri="{FF2B5EF4-FFF2-40B4-BE49-F238E27FC236}">
                <a16:creationId xmlns:a16="http://schemas.microsoft.com/office/drawing/2014/main" id="{F8EFDF37-7491-5513-47E4-E0DD5E99DA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20" name="Textfeld 19">
            <a:extLst>
              <a:ext uri="{FF2B5EF4-FFF2-40B4-BE49-F238E27FC236}">
                <a16:creationId xmlns:a16="http://schemas.microsoft.com/office/drawing/2014/main" id="{6B57FC95-B44B-F5B6-216D-F9EFECE7CF19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1.8</a:t>
            </a:r>
            <a:r>
              <a:rPr lang="de-CH" sz="9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Auftrag</a:t>
            </a: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161049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C70EC752-9B47-4F14-93B0-1602209FF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2108" y="7563944"/>
          <a:ext cx="342673" cy="331405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A0876982-3943-4AF3-A25D-4B92E1FCD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01663" y="7570514"/>
          <a:ext cx="370818" cy="370379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170795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05AFC7A3-69DF-44F4-9835-F825BE467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33930" y="7537670"/>
          <a:ext cx="364469" cy="361075"/>
        </a:xfrm>
        <a:prstGeom prst="rect">
          <a:avLst/>
        </a:prstGeom>
      </xdr:spPr>
    </xdr:pic>
    <xdr:clientData/>
  </xdr:twoCellAnchor>
  <xdr:twoCellAnchor editAs="oneCell">
    <xdr:from>
      <xdr:col>8</xdr:col>
      <xdr:colOff>710712</xdr:colOff>
      <xdr:row>12</xdr:row>
      <xdr:rowOff>29307</xdr:rowOff>
    </xdr:from>
    <xdr:to>
      <xdr:col>8</xdr:col>
      <xdr:colOff>1076699</xdr:colOff>
      <xdr:row>13</xdr:row>
      <xdr:rowOff>180636</xdr:rowOff>
    </xdr:to>
    <xdr:pic>
      <xdr:nvPicPr>
        <xdr:cNvPr id="12" name="Grafik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51FAAE-8A4A-48A0-A45C-720F000BF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9212" y="2289907"/>
          <a:ext cx="359637" cy="348179"/>
        </a:xfrm>
        <a:prstGeom prst="rect">
          <a:avLst/>
        </a:prstGeom>
      </xdr:spPr>
    </xdr:pic>
    <xdr:clientData/>
  </xdr:twoCellAnchor>
  <xdr:twoCellAnchor editAs="oneCell">
    <xdr:from>
      <xdr:col>8</xdr:col>
      <xdr:colOff>168520</xdr:colOff>
      <xdr:row>9</xdr:row>
      <xdr:rowOff>112773</xdr:rowOff>
    </xdr:from>
    <xdr:to>
      <xdr:col>8</xdr:col>
      <xdr:colOff>521807</xdr:colOff>
      <xdr:row>11</xdr:row>
      <xdr:rowOff>66275</xdr:rowOff>
    </xdr:to>
    <xdr:pic>
      <xdr:nvPicPr>
        <xdr:cNvPr id="14" name="Grafik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A41152E-92EA-4772-B153-5A718CC19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7020" y="1782823"/>
          <a:ext cx="359637" cy="347202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12</xdr:row>
      <xdr:rowOff>28575</xdr:rowOff>
    </xdr:from>
    <xdr:to>
      <xdr:col>8</xdr:col>
      <xdr:colOff>512037</xdr:colOff>
      <xdr:row>13</xdr:row>
      <xdr:rowOff>179904</xdr:rowOff>
    </xdr:to>
    <xdr:pic>
      <xdr:nvPicPr>
        <xdr:cNvPr id="16" name="Grafik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772FBE6-9B7A-409E-9790-F22A1C1C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2289175"/>
          <a:ext cx="359637" cy="348179"/>
        </a:xfrm>
        <a:prstGeom prst="rect">
          <a:avLst/>
        </a:prstGeom>
      </xdr:spPr>
    </xdr:pic>
    <xdr:clientData/>
  </xdr:twoCellAnchor>
  <xdr:oneCellAnchor>
    <xdr:from>
      <xdr:col>4</xdr:col>
      <xdr:colOff>40250</xdr:colOff>
      <xdr:row>47</xdr:row>
      <xdr:rowOff>138182</xdr:rowOff>
    </xdr:from>
    <xdr:ext cx="483811" cy="486986"/>
    <xdr:pic>
      <xdr:nvPicPr>
        <xdr:cNvPr id="28" name="Grafik 27" descr="Schneeflocke Silhouette">
          <a:extLst>
            <a:ext uri="{FF2B5EF4-FFF2-40B4-BE49-F238E27FC236}">
              <a16:creationId xmlns:a16="http://schemas.microsoft.com/office/drawing/2014/main" id="{D77473A7-C377-4F43-9368-7E7C23496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628809" y="8486564"/>
          <a:ext cx="483811" cy="486986"/>
        </a:xfrm>
        <a:prstGeom prst="rect">
          <a:avLst/>
        </a:prstGeom>
      </xdr:spPr>
    </xdr:pic>
    <xdr:clientData/>
  </xdr:oneCellAnchor>
  <xdr:oneCellAnchor>
    <xdr:from>
      <xdr:col>5</xdr:col>
      <xdr:colOff>281009</xdr:colOff>
      <xdr:row>47</xdr:row>
      <xdr:rowOff>190312</xdr:rowOff>
    </xdr:from>
    <xdr:ext cx="622645" cy="625476"/>
    <xdr:pic>
      <xdr:nvPicPr>
        <xdr:cNvPr id="34" name="Grafik 33" descr="Schneemann Silhouette">
          <a:extLst>
            <a:ext uri="{FF2B5EF4-FFF2-40B4-BE49-F238E27FC236}">
              <a16:creationId xmlns:a16="http://schemas.microsoft.com/office/drawing/2014/main" id="{544B72F9-6E44-4AE4-8766-24727626F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10862" y="8538694"/>
          <a:ext cx="622645" cy="625476"/>
        </a:xfrm>
        <a:prstGeom prst="rect">
          <a:avLst/>
        </a:prstGeom>
      </xdr:spPr>
    </xdr:pic>
    <xdr:clientData/>
  </xdr:oneCellAnchor>
  <xdr:twoCellAnchor>
    <xdr:from>
      <xdr:col>8</xdr:col>
      <xdr:colOff>102577</xdr:colOff>
      <xdr:row>22</xdr:row>
      <xdr:rowOff>84748</xdr:rowOff>
    </xdr:from>
    <xdr:to>
      <xdr:col>8</xdr:col>
      <xdr:colOff>1037248</xdr:colOff>
      <xdr:row>25</xdr:row>
      <xdr:rowOff>161442</xdr:rowOff>
    </xdr:to>
    <xdr:grpSp>
      <xdr:nvGrpSpPr>
        <xdr:cNvPr id="17" name="Gruppieren 16">
          <a:extLst>
            <a:ext uri="{FF2B5EF4-FFF2-40B4-BE49-F238E27FC236}">
              <a16:creationId xmlns:a16="http://schemas.microsoft.com/office/drawing/2014/main" id="{DAD34A8D-66F8-0671-4273-504A480DF517}"/>
            </a:ext>
          </a:extLst>
        </xdr:cNvPr>
        <xdr:cNvGrpSpPr/>
      </xdr:nvGrpSpPr>
      <xdr:grpSpPr>
        <a:xfrm>
          <a:off x="5884812" y="3969454"/>
          <a:ext cx="934671" cy="592164"/>
          <a:chOff x="5896018" y="4040424"/>
          <a:chExt cx="934671" cy="580959"/>
        </a:xfrm>
      </xdr:grpSpPr>
      <xdr:pic>
        <xdr:nvPicPr>
          <xdr:cNvPr id="52" name="Grafik 51" descr="Kiosk Silhouette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ADAAA708-D6B7-754D-776F-CDF2186465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5896018" y="4040424"/>
            <a:ext cx="490904" cy="484732"/>
          </a:xfrm>
          <a:prstGeom prst="rect">
            <a:avLst/>
          </a:prstGeom>
        </xdr:spPr>
      </xdr:pic>
      <xdr:pic>
        <xdr:nvPicPr>
          <xdr:cNvPr id="53" name="Grafik 52" descr="Kiosk Silhouette">
            <a:extLst>
              <a:ext uri="{FF2B5EF4-FFF2-40B4-BE49-F238E27FC236}">
                <a16:creationId xmlns:a16="http://schemas.microsoft.com/office/drawing/2014/main" id="{7735061C-1E4A-4BDD-B20F-F27475C088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6342960" y="4145746"/>
            <a:ext cx="487729" cy="475637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186822</xdr:colOff>
      <xdr:row>37</xdr:row>
      <xdr:rowOff>35617</xdr:rowOff>
    </xdr:from>
    <xdr:to>
      <xdr:col>8</xdr:col>
      <xdr:colOff>894588</xdr:colOff>
      <xdr:row>40</xdr:row>
      <xdr:rowOff>171694</xdr:rowOff>
    </xdr:to>
    <xdr:pic>
      <xdr:nvPicPr>
        <xdr:cNvPr id="5" name="Grafik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793C268-8A7F-DE6E-6F9E-7A3C3AC33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67764" y="6563905"/>
          <a:ext cx="707766" cy="714904"/>
        </a:xfrm>
        <a:prstGeom prst="rect">
          <a:avLst/>
        </a:prstGeom>
      </xdr:spPr>
    </xdr:pic>
    <xdr:clientData/>
  </xdr:twoCellAnchor>
  <xdr:twoCellAnchor>
    <xdr:from>
      <xdr:col>8</xdr:col>
      <xdr:colOff>123264</xdr:colOff>
      <xdr:row>18</xdr:row>
      <xdr:rowOff>67235</xdr:rowOff>
    </xdr:from>
    <xdr:to>
      <xdr:col>8</xdr:col>
      <xdr:colOff>964317</xdr:colOff>
      <xdr:row>19</xdr:row>
      <xdr:rowOff>142002</xdr:rowOff>
    </xdr:to>
    <xdr:grpSp>
      <xdr:nvGrpSpPr>
        <xdr:cNvPr id="10" name="Gruppieren 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A2FFD07-DD96-4AEE-AF7A-05358B06EB15}"/>
            </a:ext>
          </a:extLst>
        </xdr:cNvPr>
        <xdr:cNvGrpSpPr/>
      </xdr:nvGrpSpPr>
      <xdr:grpSpPr>
        <a:xfrm>
          <a:off x="5905499" y="3264647"/>
          <a:ext cx="841053" cy="246590"/>
          <a:chOff x="4130444" y="3557713"/>
          <a:chExt cx="768976" cy="216568"/>
        </a:xfrm>
      </xdr:grpSpPr>
      <xdr:pic>
        <xdr:nvPicPr>
          <xdr:cNvPr id="11" name="Grafik 10">
            <a:extLst>
              <a:ext uri="{FF2B5EF4-FFF2-40B4-BE49-F238E27FC236}">
                <a16:creationId xmlns:a16="http://schemas.microsoft.com/office/drawing/2014/main" id="{4F04F9D7-90A6-DC20-B93C-DBDF2B37E3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3" name="Textfeld 12">
            <a:extLst>
              <a:ext uri="{FF2B5EF4-FFF2-40B4-BE49-F238E27FC236}">
                <a16:creationId xmlns:a16="http://schemas.microsoft.com/office/drawing/2014/main" id="{9AD5AE6F-180F-4089-D0CE-8A2FEA304ED2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1.8</a:t>
            </a:r>
            <a:r>
              <a:rPr lang="de-CH" sz="9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Auftrag</a:t>
            </a:r>
          </a:p>
        </xdr:txBody>
      </xdr:sp>
    </xdr:grpSp>
    <xdr:clientData/>
  </xdr:twoCellAnchor>
  <xdr:twoCellAnchor>
    <xdr:from>
      <xdr:col>8</xdr:col>
      <xdr:colOff>83485</xdr:colOff>
      <xdr:row>26</xdr:row>
      <xdr:rowOff>56029</xdr:rowOff>
    </xdr:from>
    <xdr:to>
      <xdr:col>8</xdr:col>
      <xdr:colOff>923901</xdr:colOff>
      <xdr:row>27</xdr:row>
      <xdr:rowOff>123896</xdr:rowOff>
    </xdr:to>
    <xdr:grpSp>
      <xdr:nvGrpSpPr>
        <xdr:cNvPr id="18" name="Gruppieren 1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AA1E992-D6FD-420B-A9BC-6B022CCC2C9F}"/>
            </a:ext>
          </a:extLst>
        </xdr:cNvPr>
        <xdr:cNvGrpSpPr/>
      </xdr:nvGrpSpPr>
      <xdr:grpSpPr>
        <a:xfrm>
          <a:off x="5865720" y="4628029"/>
          <a:ext cx="840416" cy="239691"/>
          <a:chOff x="4130444" y="3557713"/>
          <a:chExt cx="768976" cy="216568"/>
        </a:xfrm>
      </xdr:grpSpPr>
      <xdr:pic>
        <xdr:nvPicPr>
          <xdr:cNvPr id="19" name="Grafik 18">
            <a:extLst>
              <a:ext uri="{FF2B5EF4-FFF2-40B4-BE49-F238E27FC236}">
                <a16:creationId xmlns:a16="http://schemas.microsoft.com/office/drawing/2014/main" id="{C587D05D-60AE-68A5-E988-AAED3D7FDF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20" name="Textfeld 19">
            <a:extLst>
              <a:ext uri="{FF2B5EF4-FFF2-40B4-BE49-F238E27FC236}">
                <a16:creationId xmlns:a16="http://schemas.microsoft.com/office/drawing/2014/main" id="{7C3231B4-8ADC-C3F9-5F9D-2B98831F0A01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  <xdr:twoCellAnchor>
    <xdr:from>
      <xdr:col>8</xdr:col>
      <xdr:colOff>56029</xdr:colOff>
      <xdr:row>28</xdr:row>
      <xdr:rowOff>21850</xdr:rowOff>
    </xdr:from>
    <xdr:to>
      <xdr:col>8</xdr:col>
      <xdr:colOff>943187</xdr:colOff>
      <xdr:row>29</xdr:row>
      <xdr:rowOff>118322</xdr:rowOff>
    </xdr:to>
    <xdr:grpSp>
      <xdr:nvGrpSpPr>
        <xdr:cNvPr id="21" name="Gruppieren 2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F50B1F2-83CF-45E0-B0A0-B4C4C8CD206F}"/>
            </a:ext>
          </a:extLst>
        </xdr:cNvPr>
        <xdr:cNvGrpSpPr/>
      </xdr:nvGrpSpPr>
      <xdr:grpSpPr>
        <a:xfrm>
          <a:off x="5838264" y="4937497"/>
          <a:ext cx="887158" cy="268296"/>
          <a:chOff x="6090843" y="7494984"/>
          <a:chExt cx="887158" cy="260524"/>
        </a:xfrm>
      </xdr:grpSpPr>
      <xdr:pic>
        <xdr:nvPicPr>
          <xdr:cNvPr id="22" name="Grafik 21">
            <a:extLst>
              <a:ext uri="{FF2B5EF4-FFF2-40B4-BE49-F238E27FC236}">
                <a16:creationId xmlns:a16="http://schemas.microsoft.com/office/drawing/2014/main" id="{F54BFE64-FDBB-E4E5-68B5-0536D1C330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23" name="Textfeld 22">
            <a:extLst>
              <a:ext uri="{FF2B5EF4-FFF2-40B4-BE49-F238E27FC236}">
                <a16:creationId xmlns:a16="http://schemas.microsoft.com/office/drawing/2014/main" id="{DFE6CFD4-F750-313A-7470-236ABCDCCAD2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1.2_LNW</a:t>
            </a:r>
          </a:p>
        </xdr:txBody>
      </xdr:sp>
    </xdr:grpSp>
    <xdr:clientData/>
  </xdr:twoCellAnchor>
  <xdr:twoCellAnchor>
    <xdr:from>
      <xdr:col>8</xdr:col>
      <xdr:colOff>145676</xdr:colOff>
      <xdr:row>33</xdr:row>
      <xdr:rowOff>134470</xdr:rowOff>
    </xdr:from>
    <xdr:to>
      <xdr:col>8</xdr:col>
      <xdr:colOff>986092</xdr:colOff>
      <xdr:row>34</xdr:row>
      <xdr:rowOff>168720</xdr:rowOff>
    </xdr:to>
    <xdr:grpSp>
      <xdr:nvGrpSpPr>
        <xdr:cNvPr id="24" name="Gruppieren 2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76D1A0D-7A7E-4205-9928-B608C05A4E63}"/>
            </a:ext>
          </a:extLst>
        </xdr:cNvPr>
        <xdr:cNvGrpSpPr/>
      </xdr:nvGrpSpPr>
      <xdr:grpSpPr>
        <a:xfrm>
          <a:off x="5927911" y="5894294"/>
          <a:ext cx="840416" cy="228485"/>
          <a:chOff x="4130444" y="3557713"/>
          <a:chExt cx="768976" cy="216568"/>
        </a:xfrm>
      </xdr:grpSpPr>
      <xdr:pic>
        <xdr:nvPicPr>
          <xdr:cNvPr id="25" name="Grafik 24">
            <a:extLst>
              <a:ext uri="{FF2B5EF4-FFF2-40B4-BE49-F238E27FC236}">
                <a16:creationId xmlns:a16="http://schemas.microsoft.com/office/drawing/2014/main" id="{0C8BBA86-D297-749B-64F9-1AD5CCD883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26" name="Textfeld 25">
            <a:extLst>
              <a:ext uri="{FF2B5EF4-FFF2-40B4-BE49-F238E27FC236}">
                <a16:creationId xmlns:a16="http://schemas.microsoft.com/office/drawing/2014/main" id="{916E0A48-99FF-6F57-FDFA-C225F9515C1F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  <xdr:twoCellAnchor editAs="oneCell">
    <xdr:from>
      <xdr:col>6</xdr:col>
      <xdr:colOff>495861</xdr:colOff>
      <xdr:row>33</xdr:row>
      <xdr:rowOff>179294</xdr:rowOff>
    </xdr:from>
    <xdr:to>
      <xdr:col>6</xdr:col>
      <xdr:colOff>752300</xdr:colOff>
      <xdr:row>35</xdr:row>
      <xdr:rowOff>27970</xdr:rowOff>
    </xdr:to>
    <xdr:pic>
      <xdr:nvPicPr>
        <xdr:cNvPr id="27" name="Grafik 2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79AD56B-7EC9-4D3B-A5BB-72A9A5FE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14" y="5983941"/>
          <a:ext cx="256439" cy="240882"/>
        </a:xfrm>
        <a:prstGeom prst="rect">
          <a:avLst/>
        </a:prstGeom>
      </xdr:spPr>
    </xdr:pic>
    <xdr:clientData/>
  </xdr:twoCellAnchor>
  <xdr:twoCellAnchor editAs="oneCell">
    <xdr:from>
      <xdr:col>8</xdr:col>
      <xdr:colOff>437031</xdr:colOff>
      <xdr:row>49</xdr:row>
      <xdr:rowOff>12886</xdr:rowOff>
    </xdr:from>
    <xdr:to>
      <xdr:col>8</xdr:col>
      <xdr:colOff>933836</xdr:colOff>
      <xdr:row>51</xdr:row>
      <xdr:rowOff>88440</xdr:rowOff>
    </xdr:to>
    <xdr:pic>
      <xdr:nvPicPr>
        <xdr:cNvPr id="29" name="Grafik 28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5E3A03E-5B4D-4894-9032-C7026CE0A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0472" y="8854327"/>
          <a:ext cx="496805" cy="47896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1113331</xdr:colOff>
      <xdr:row>43</xdr:row>
      <xdr:rowOff>161049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3651B601-E1DE-459B-BC9F-9A1AB73C4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2108" y="7563944"/>
          <a:ext cx="342673" cy="331405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4F062ABB-ADBB-4CE6-A708-92F135F81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01663" y="7570514"/>
          <a:ext cx="370818" cy="370379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1113549</xdr:colOff>
      <xdr:row>43</xdr:row>
      <xdr:rowOff>170795</xdr:rowOff>
    </xdr:to>
    <xdr:pic>
      <xdr:nvPicPr>
        <xdr:cNvPr id="4" name="Grafik 3" descr="Fernglas Silhouet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1FAB7A-6D14-4AB9-974C-EC6870A9F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533930" y="7537670"/>
          <a:ext cx="364469" cy="361075"/>
        </a:xfrm>
        <a:prstGeom prst="rect">
          <a:avLst/>
        </a:prstGeom>
      </xdr:spPr>
    </xdr:pic>
    <xdr:clientData/>
  </xdr:twoCellAnchor>
  <xdr:twoCellAnchor>
    <xdr:from>
      <xdr:col>8</xdr:col>
      <xdr:colOff>109978</xdr:colOff>
      <xdr:row>18</xdr:row>
      <xdr:rowOff>116780</xdr:rowOff>
    </xdr:from>
    <xdr:to>
      <xdr:col>8</xdr:col>
      <xdr:colOff>951031</xdr:colOff>
      <xdr:row>19</xdr:row>
      <xdr:rowOff>163507</xdr:rowOff>
    </xdr:to>
    <xdr:grpSp>
      <xdr:nvGrpSpPr>
        <xdr:cNvPr id="5" name="Gruppieren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C8E0A3C-7DC7-421E-81FB-787D53435190}"/>
            </a:ext>
          </a:extLst>
        </xdr:cNvPr>
        <xdr:cNvGrpSpPr/>
      </xdr:nvGrpSpPr>
      <xdr:grpSpPr>
        <a:xfrm>
          <a:off x="5892213" y="3314192"/>
          <a:ext cx="841053" cy="233491"/>
          <a:chOff x="4130444" y="3557713"/>
          <a:chExt cx="768976" cy="216568"/>
        </a:xfrm>
      </xdr:grpSpPr>
      <xdr:pic>
        <xdr:nvPicPr>
          <xdr:cNvPr id="6" name="Grafik 5">
            <a:extLst>
              <a:ext uri="{FF2B5EF4-FFF2-40B4-BE49-F238E27FC236}">
                <a16:creationId xmlns:a16="http://schemas.microsoft.com/office/drawing/2014/main" id="{45335BA2-8A70-0374-50B4-81CF5610D9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D2DF922A-A454-4359-534A-88D6C4F2C2E1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1.9</a:t>
            </a:r>
            <a:r>
              <a:rPr lang="de-CH" sz="9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Auftrag</a:t>
            </a:r>
          </a:p>
        </xdr:txBody>
      </xdr:sp>
    </xdr:grpSp>
    <xdr:clientData/>
  </xdr:twoCellAnchor>
  <xdr:twoCellAnchor editAs="oneCell">
    <xdr:from>
      <xdr:col>8</xdr:col>
      <xdr:colOff>710712</xdr:colOff>
      <xdr:row>12</xdr:row>
      <xdr:rowOff>29307</xdr:rowOff>
    </xdr:from>
    <xdr:to>
      <xdr:col>8</xdr:col>
      <xdr:colOff>1076699</xdr:colOff>
      <xdr:row>13</xdr:row>
      <xdr:rowOff>180636</xdr:rowOff>
    </xdr:to>
    <xdr:pic>
      <xdr:nvPicPr>
        <xdr:cNvPr id="12" name="Grafik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D9C501F-227D-4C08-AEDE-21EAC992C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9212" y="2289907"/>
          <a:ext cx="359637" cy="348179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12</xdr:row>
      <xdr:rowOff>28575</xdr:rowOff>
    </xdr:from>
    <xdr:to>
      <xdr:col>8</xdr:col>
      <xdr:colOff>512037</xdr:colOff>
      <xdr:row>13</xdr:row>
      <xdr:rowOff>179904</xdr:rowOff>
    </xdr:to>
    <xdr:pic>
      <xdr:nvPicPr>
        <xdr:cNvPr id="16" name="Grafik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E80A8F2-0505-497C-ABC5-0E724F033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2289175"/>
          <a:ext cx="359637" cy="348179"/>
        </a:xfrm>
        <a:prstGeom prst="rect">
          <a:avLst/>
        </a:prstGeom>
      </xdr:spPr>
    </xdr:pic>
    <xdr:clientData/>
  </xdr:twoCellAnchor>
  <xdr:twoCellAnchor editAs="oneCell">
    <xdr:from>
      <xdr:col>8</xdr:col>
      <xdr:colOff>69223</xdr:colOff>
      <xdr:row>21</xdr:row>
      <xdr:rowOff>180975</xdr:rowOff>
    </xdr:from>
    <xdr:to>
      <xdr:col>8</xdr:col>
      <xdr:colOff>428860</xdr:colOff>
      <xdr:row>23</xdr:row>
      <xdr:rowOff>151329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28B09449-7A3C-4479-8938-355CD0595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332" y="4007540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710712</xdr:colOff>
      <xdr:row>22</xdr:row>
      <xdr:rowOff>0</xdr:rowOff>
    </xdr:from>
    <xdr:to>
      <xdr:col>8</xdr:col>
      <xdr:colOff>1076699</xdr:colOff>
      <xdr:row>23</xdr:row>
      <xdr:rowOff>160854</xdr:rowOff>
    </xdr:to>
    <xdr:pic>
      <xdr:nvPicPr>
        <xdr:cNvPr id="28" name="Grafik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D9DC13C-7AD0-4F2B-A54C-8F0359354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0962" y="4000500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585545</xdr:colOff>
      <xdr:row>24</xdr:row>
      <xdr:rowOff>47339</xdr:rowOff>
    </xdr:from>
    <xdr:to>
      <xdr:col>8</xdr:col>
      <xdr:colOff>1142407</xdr:colOff>
      <xdr:row>25</xdr:row>
      <xdr:rowOff>83370</xdr:rowOff>
    </xdr:to>
    <xdr:pic>
      <xdr:nvPicPr>
        <xdr:cNvPr id="30" name="Grafik 2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3009841-BD42-8824-3A6B-A96DA07C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158861">
          <a:off x="6535316" y="4208722"/>
          <a:ext cx="219204" cy="556862"/>
        </a:xfrm>
        <a:prstGeom prst="rect">
          <a:avLst/>
        </a:prstGeom>
      </xdr:spPr>
    </xdr:pic>
    <xdr:clientData/>
  </xdr:twoCellAnchor>
  <xdr:twoCellAnchor>
    <xdr:from>
      <xdr:col>8</xdr:col>
      <xdr:colOff>82826</xdr:colOff>
      <xdr:row>38</xdr:row>
      <xdr:rowOff>182218</xdr:rowOff>
    </xdr:from>
    <xdr:to>
      <xdr:col>8</xdr:col>
      <xdr:colOff>1085021</xdr:colOff>
      <xdr:row>40</xdr:row>
      <xdr:rowOff>20233</xdr:rowOff>
    </xdr:to>
    <xdr:grpSp>
      <xdr:nvGrpSpPr>
        <xdr:cNvPr id="35" name="Gruppieren 3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48A3F15-5E09-4211-B7DA-7FFDF2723D60}"/>
            </a:ext>
          </a:extLst>
        </xdr:cNvPr>
        <xdr:cNvGrpSpPr/>
      </xdr:nvGrpSpPr>
      <xdr:grpSpPr>
        <a:xfrm>
          <a:off x="5865061" y="7085042"/>
          <a:ext cx="1002195" cy="226485"/>
          <a:chOff x="4130444" y="3557713"/>
          <a:chExt cx="768976" cy="216564"/>
        </a:xfrm>
      </xdr:grpSpPr>
      <xdr:pic>
        <xdr:nvPicPr>
          <xdr:cNvPr id="36" name="Grafik 35">
            <a:extLst>
              <a:ext uri="{FF2B5EF4-FFF2-40B4-BE49-F238E27FC236}">
                <a16:creationId xmlns:a16="http://schemas.microsoft.com/office/drawing/2014/main" id="{F73DC77E-ECEA-FA00-DB1E-1C4766DF4C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37" name="Textfeld 36">
            <a:extLst>
              <a:ext uri="{FF2B5EF4-FFF2-40B4-BE49-F238E27FC236}">
                <a16:creationId xmlns:a16="http://schemas.microsoft.com/office/drawing/2014/main" id="{4D73AFF1-4041-6A39-ECA5-0E3125B8FB2E}"/>
              </a:ext>
            </a:extLst>
          </xdr:cNvPr>
          <xdr:cNvSpPr txBox="1"/>
        </xdr:nvSpPr>
        <xdr:spPr>
          <a:xfrm>
            <a:off x="4226717" y="3571871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1.11 Auftrag</a:t>
            </a:r>
          </a:p>
        </xdr:txBody>
      </xdr:sp>
    </xdr:grpSp>
    <xdr:clientData/>
  </xdr:twoCellAnchor>
  <xdr:twoCellAnchor>
    <xdr:from>
      <xdr:col>8</xdr:col>
      <xdr:colOff>156883</xdr:colOff>
      <xdr:row>26</xdr:row>
      <xdr:rowOff>168089</xdr:rowOff>
    </xdr:from>
    <xdr:to>
      <xdr:col>8</xdr:col>
      <xdr:colOff>1044041</xdr:colOff>
      <xdr:row>28</xdr:row>
      <xdr:rowOff>51649</xdr:rowOff>
    </xdr:to>
    <xdr:grpSp>
      <xdr:nvGrpSpPr>
        <xdr:cNvPr id="8" name="Gruppieren 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D49E111-2A14-4624-9529-28FE103C3BF2}"/>
            </a:ext>
          </a:extLst>
        </xdr:cNvPr>
        <xdr:cNvGrpSpPr/>
      </xdr:nvGrpSpPr>
      <xdr:grpSpPr>
        <a:xfrm>
          <a:off x="5939118" y="4859618"/>
          <a:ext cx="887158" cy="257090"/>
          <a:chOff x="6090843" y="7494984"/>
          <a:chExt cx="887158" cy="260524"/>
        </a:xfrm>
      </xdr:grpSpPr>
      <xdr:pic>
        <xdr:nvPicPr>
          <xdr:cNvPr id="13" name="Grafik 12">
            <a:extLst>
              <a:ext uri="{FF2B5EF4-FFF2-40B4-BE49-F238E27FC236}">
                <a16:creationId xmlns:a16="http://schemas.microsoft.com/office/drawing/2014/main" id="{899FF78E-D5CC-CC19-5837-BBA123AB12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843" y="7510211"/>
            <a:ext cx="229529" cy="222840"/>
          </a:xfrm>
          <a:prstGeom prst="rect">
            <a:avLst/>
          </a:prstGeom>
        </xdr:spPr>
      </xdr:pic>
      <xdr:sp macro="" textlink="">
        <xdr:nvSpPr>
          <xdr:cNvPr id="14" name="Textfeld 13">
            <a:extLst>
              <a:ext uri="{FF2B5EF4-FFF2-40B4-BE49-F238E27FC236}">
                <a16:creationId xmlns:a16="http://schemas.microsoft.com/office/drawing/2014/main" id="{09AF6188-5502-AA8A-B7D5-AE72DC2C045E}"/>
              </a:ext>
            </a:extLst>
          </xdr:cNvPr>
          <xdr:cNvSpPr txBox="1"/>
        </xdr:nvSpPr>
        <xdr:spPr>
          <a:xfrm>
            <a:off x="6268640" y="7494984"/>
            <a:ext cx="709361" cy="260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1.9_LNW</a:t>
            </a:r>
          </a:p>
        </xdr:txBody>
      </xdr:sp>
    </xdr:grpSp>
    <xdr:clientData/>
  </xdr:twoCellAnchor>
  <xdr:twoCellAnchor>
    <xdr:from>
      <xdr:col>8</xdr:col>
      <xdr:colOff>78441</xdr:colOff>
      <xdr:row>37</xdr:row>
      <xdr:rowOff>44823</xdr:rowOff>
    </xdr:from>
    <xdr:to>
      <xdr:col>8</xdr:col>
      <xdr:colOff>918857</xdr:colOff>
      <xdr:row>38</xdr:row>
      <xdr:rowOff>90279</xdr:rowOff>
    </xdr:to>
    <xdr:grpSp>
      <xdr:nvGrpSpPr>
        <xdr:cNvPr id="15" name="Gruppieren 1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197C429-2D8B-45B5-85F2-67C15ED733C0}"/>
            </a:ext>
          </a:extLst>
        </xdr:cNvPr>
        <xdr:cNvGrpSpPr/>
      </xdr:nvGrpSpPr>
      <xdr:grpSpPr>
        <a:xfrm>
          <a:off x="5860676" y="6760882"/>
          <a:ext cx="840416" cy="232221"/>
          <a:chOff x="4130444" y="3557713"/>
          <a:chExt cx="768976" cy="216568"/>
        </a:xfrm>
      </xdr:grpSpPr>
      <xdr:pic>
        <xdr:nvPicPr>
          <xdr:cNvPr id="17" name="Grafik 16">
            <a:extLst>
              <a:ext uri="{FF2B5EF4-FFF2-40B4-BE49-F238E27FC236}">
                <a16:creationId xmlns:a16="http://schemas.microsoft.com/office/drawing/2014/main" id="{B8AFFFF8-92C3-862C-E4E3-6583D25FC7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8" name="Textfeld 17">
            <a:extLst>
              <a:ext uri="{FF2B5EF4-FFF2-40B4-BE49-F238E27FC236}">
                <a16:creationId xmlns:a16="http://schemas.microsoft.com/office/drawing/2014/main" id="{B2B94E5F-C7A6-2C30-1402-09EB13894084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1.2 Auftrag</a:t>
            </a:r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777008</xdr:colOff>
      <xdr:row>42</xdr:row>
      <xdr:rowOff>32844</xdr:rowOff>
    </xdr:from>
    <xdr:to>
      <xdr:col>3</xdr:col>
      <xdr:colOff>1119681</xdr:colOff>
      <xdr:row>43</xdr:row>
      <xdr:rowOff>167399</xdr:rowOff>
    </xdr:to>
    <xdr:pic>
      <xdr:nvPicPr>
        <xdr:cNvPr id="2" name="Grafik 1" descr="Klemmbrett abgehakt Silhouette">
          <a:extLst>
            <a:ext uri="{FF2B5EF4-FFF2-40B4-BE49-F238E27FC236}">
              <a16:creationId xmlns:a16="http://schemas.microsoft.com/office/drawing/2014/main" id="{EE6F5089-80D4-42C2-8198-F564AC615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283" y="7776669"/>
          <a:ext cx="342673" cy="334580"/>
        </a:xfrm>
        <a:prstGeom prst="rect">
          <a:avLst/>
        </a:prstGeom>
      </xdr:spPr>
    </xdr:pic>
    <xdr:clientData/>
  </xdr:twoCellAnchor>
  <xdr:twoCellAnchor editAs="oneCell">
    <xdr:from>
      <xdr:col>5</xdr:col>
      <xdr:colOff>558363</xdr:colOff>
      <xdr:row>42</xdr:row>
      <xdr:rowOff>39414</xdr:rowOff>
    </xdr:from>
    <xdr:to>
      <xdr:col>6</xdr:col>
      <xdr:colOff>2081</xdr:colOff>
      <xdr:row>44</xdr:row>
      <xdr:rowOff>16093</xdr:rowOff>
    </xdr:to>
    <xdr:pic>
      <xdr:nvPicPr>
        <xdr:cNvPr id="3" name="Grafik 2" descr="Kommentar (wichtig) Silhouette">
          <a:extLst>
            <a:ext uri="{FF2B5EF4-FFF2-40B4-BE49-F238E27FC236}">
              <a16:creationId xmlns:a16="http://schemas.microsoft.com/office/drawing/2014/main" id="{E324C72F-8C20-49CD-BE9D-F9E73908E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1188" y="7783239"/>
          <a:ext cx="377168" cy="376729"/>
        </a:xfrm>
        <a:prstGeom prst="rect">
          <a:avLst/>
        </a:prstGeom>
      </xdr:spPr>
    </xdr:pic>
    <xdr:clientData/>
  </xdr:twoCellAnchor>
  <xdr:twoCellAnchor editAs="oneCell">
    <xdr:from>
      <xdr:col>8</xdr:col>
      <xdr:colOff>755430</xdr:colOff>
      <xdr:row>42</xdr:row>
      <xdr:rowOff>6570</xdr:rowOff>
    </xdr:from>
    <xdr:to>
      <xdr:col>8</xdr:col>
      <xdr:colOff>1119899</xdr:colOff>
      <xdr:row>43</xdr:row>
      <xdr:rowOff>170795</xdr:rowOff>
    </xdr:to>
    <xdr:pic>
      <xdr:nvPicPr>
        <xdr:cNvPr id="4" name="Grafik 3" descr="Fernglas Silhouette">
          <a:extLst>
            <a:ext uri="{FF2B5EF4-FFF2-40B4-BE49-F238E27FC236}">
              <a16:creationId xmlns:a16="http://schemas.microsoft.com/office/drawing/2014/main" id="{AC4A3A1E-481C-45E8-B0AB-3D3C51A94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56155" y="7750395"/>
          <a:ext cx="364469" cy="364250"/>
        </a:xfrm>
        <a:prstGeom prst="rect">
          <a:avLst/>
        </a:prstGeom>
      </xdr:spPr>
    </xdr:pic>
    <xdr:clientData/>
  </xdr:twoCellAnchor>
  <xdr:twoCellAnchor editAs="oneCell">
    <xdr:from>
      <xdr:col>8</xdr:col>
      <xdr:colOff>710712</xdr:colOff>
      <xdr:row>12</xdr:row>
      <xdr:rowOff>29307</xdr:rowOff>
    </xdr:from>
    <xdr:to>
      <xdr:col>8</xdr:col>
      <xdr:colOff>1070349</xdr:colOff>
      <xdr:row>13</xdr:row>
      <xdr:rowOff>180636</xdr:rowOff>
    </xdr:to>
    <xdr:pic>
      <xdr:nvPicPr>
        <xdr:cNvPr id="12" name="Grafik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F889066-7424-4049-953F-C9E4F6F8E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1437" y="2315307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12</xdr:row>
      <xdr:rowOff>28575</xdr:rowOff>
    </xdr:from>
    <xdr:to>
      <xdr:col>8</xdr:col>
      <xdr:colOff>512037</xdr:colOff>
      <xdr:row>13</xdr:row>
      <xdr:rowOff>179904</xdr:rowOff>
    </xdr:to>
    <xdr:pic>
      <xdr:nvPicPr>
        <xdr:cNvPr id="14" name="Grafik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EC8051-AF5F-41FC-B140-D89EE15AE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2314575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69224</xdr:colOff>
      <xdr:row>20</xdr:row>
      <xdr:rowOff>7040</xdr:rowOff>
    </xdr:from>
    <xdr:to>
      <xdr:col>8</xdr:col>
      <xdr:colOff>428861</xdr:colOff>
      <xdr:row>21</xdr:row>
      <xdr:rowOff>167894</xdr:rowOff>
    </xdr:to>
    <xdr:pic>
      <xdr:nvPicPr>
        <xdr:cNvPr id="21" name="Grafik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EE66490-5085-4A97-9070-70AFCE06D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333" y="3643105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760408</xdr:colOff>
      <xdr:row>23</xdr:row>
      <xdr:rowOff>24847</xdr:rowOff>
    </xdr:from>
    <xdr:to>
      <xdr:col>8</xdr:col>
      <xdr:colOff>1120045</xdr:colOff>
      <xdr:row>25</xdr:row>
      <xdr:rowOff>3483</xdr:rowOff>
    </xdr:to>
    <xdr:pic>
      <xdr:nvPicPr>
        <xdr:cNvPr id="22" name="Grafik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C553FAC-3787-4FD3-8F11-5FA76B2D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6517" y="4232412"/>
          <a:ext cx="359637" cy="351354"/>
        </a:xfrm>
        <a:prstGeom prst="rect">
          <a:avLst/>
        </a:prstGeom>
      </xdr:spPr>
    </xdr:pic>
    <xdr:clientData/>
  </xdr:twoCellAnchor>
  <xdr:twoCellAnchor editAs="oneCell">
    <xdr:from>
      <xdr:col>8</xdr:col>
      <xdr:colOff>74544</xdr:colOff>
      <xdr:row>22</xdr:row>
      <xdr:rowOff>57980</xdr:rowOff>
    </xdr:from>
    <xdr:to>
      <xdr:col>8</xdr:col>
      <xdr:colOff>513522</xdr:colOff>
      <xdr:row>24</xdr:row>
      <xdr:rowOff>165326</xdr:rowOff>
    </xdr:to>
    <xdr:pic>
      <xdr:nvPicPr>
        <xdr:cNvPr id="30" name="Grafik 2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5E3E09C-3529-E218-9B77-23945372E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653" y="4075045"/>
          <a:ext cx="438978" cy="488346"/>
        </a:xfrm>
        <a:prstGeom prst="rect">
          <a:avLst/>
        </a:prstGeom>
      </xdr:spPr>
    </xdr:pic>
    <xdr:clientData/>
  </xdr:twoCellAnchor>
  <xdr:twoCellAnchor editAs="oneCell">
    <xdr:from>
      <xdr:col>8</xdr:col>
      <xdr:colOff>66261</xdr:colOff>
      <xdr:row>25</xdr:row>
      <xdr:rowOff>115956</xdr:rowOff>
    </xdr:from>
    <xdr:to>
      <xdr:col>8</xdr:col>
      <xdr:colOff>646043</xdr:colOff>
      <xdr:row>28</xdr:row>
      <xdr:rowOff>124238</xdr:rowOff>
    </xdr:to>
    <xdr:pic>
      <xdr:nvPicPr>
        <xdr:cNvPr id="32" name="Grafik 31" descr="Diplomrolle Silhouett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530C398-9E7E-7EE9-3341-753AC11CC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872370" y="4704521"/>
          <a:ext cx="579782" cy="579782"/>
        </a:xfrm>
        <a:prstGeom prst="rect">
          <a:avLst/>
        </a:prstGeom>
      </xdr:spPr>
    </xdr:pic>
    <xdr:clientData/>
  </xdr:twoCellAnchor>
  <xdr:twoCellAnchor editAs="oneCell">
    <xdr:from>
      <xdr:col>7</xdr:col>
      <xdr:colOff>82826</xdr:colOff>
      <xdr:row>44</xdr:row>
      <xdr:rowOff>107673</xdr:rowOff>
    </xdr:from>
    <xdr:to>
      <xdr:col>8</xdr:col>
      <xdr:colOff>778564</xdr:colOff>
      <xdr:row>49</xdr:row>
      <xdr:rowOff>174358</xdr:rowOff>
    </xdr:to>
    <xdr:pic>
      <xdr:nvPicPr>
        <xdr:cNvPr id="33" name="Grafik 32" descr="Skigondel Silhouette">
          <a:extLst>
            <a:ext uri="{FF2B5EF4-FFF2-40B4-BE49-F238E27FC236}">
              <a16:creationId xmlns:a16="http://schemas.microsoft.com/office/drawing/2014/main" id="{4B8F1ABB-BC43-4472-AF70-4988BACED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516217" y="8166651"/>
          <a:ext cx="1068456" cy="1060598"/>
        </a:xfrm>
        <a:prstGeom prst="rect">
          <a:avLst/>
        </a:prstGeom>
      </xdr:spPr>
    </xdr:pic>
    <xdr:clientData/>
  </xdr:twoCellAnchor>
  <xdr:twoCellAnchor>
    <xdr:from>
      <xdr:col>8</xdr:col>
      <xdr:colOff>82826</xdr:colOff>
      <xdr:row>33</xdr:row>
      <xdr:rowOff>91109</xdr:rowOff>
    </xdr:from>
    <xdr:to>
      <xdr:col>8</xdr:col>
      <xdr:colOff>1085021</xdr:colOff>
      <xdr:row>34</xdr:row>
      <xdr:rowOff>138556</xdr:rowOff>
    </xdr:to>
    <xdr:grpSp>
      <xdr:nvGrpSpPr>
        <xdr:cNvPr id="9" name="Gruppieren 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2FC4FBD-37DC-4FE8-A0CB-9B2BB1B2E4DE}"/>
            </a:ext>
          </a:extLst>
        </xdr:cNvPr>
        <xdr:cNvGrpSpPr/>
      </xdr:nvGrpSpPr>
      <xdr:grpSpPr>
        <a:xfrm>
          <a:off x="5858565" y="6065631"/>
          <a:ext cx="1002195" cy="246229"/>
          <a:chOff x="4130444" y="3557713"/>
          <a:chExt cx="768976" cy="216564"/>
        </a:xfrm>
      </xdr:grpSpPr>
      <xdr:pic>
        <xdr:nvPicPr>
          <xdr:cNvPr id="10" name="Grafik 9">
            <a:extLst>
              <a:ext uri="{FF2B5EF4-FFF2-40B4-BE49-F238E27FC236}">
                <a16:creationId xmlns:a16="http://schemas.microsoft.com/office/drawing/2014/main" id="{AA05B9B2-1C4F-2C54-FF11-673863BC7B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4758B9C2-BF43-A05F-E384-7E79777CFA93}"/>
              </a:ext>
            </a:extLst>
          </xdr:cNvPr>
          <xdr:cNvSpPr txBox="1"/>
        </xdr:nvSpPr>
        <xdr:spPr>
          <a:xfrm>
            <a:off x="4226717" y="3571871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1.11 Auftrag</a:t>
            </a:r>
          </a:p>
        </xdr:txBody>
      </xdr:sp>
    </xdr:grpSp>
    <xdr:clientData/>
  </xdr:twoCellAnchor>
  <xdr:twoCellAnchor>
    <xdr:from>
      <xdr:col>8</xdr:col>
      <xdr:colOff>74543</xdr:colOff>
      <xdr:row>18</xdr:row>
      <xdr:rowOff>91108</xdr:rowOff>
    </xdr:from>
    <xdr:to>
      <xdr:col>8</xdr:col>
      <xdr:colOff>915596</xdr:colOff>
      <xdr:row>19</xdr:row>
      <xdr:rowOff>137835</xdr:rowOff>
    </xdr:to>
    <xdr:grpSp>
      <xdr:nvGrpSpPr>
        <xdr:cNvPr id="8" name="Gruppieren 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580E0BA-FFFB-4837-AC19-C281F3D7FE20}"/>
            </a:ext>
          </a:extLst>
        </xdr:cNvPr>
        <xdr:cNvGrpSpPr/>
      </xdr:nvGrpSpPr>
      <xdr:grpSpPr>
        <a:xfrm>
          <a:off x="5850282" y="3348934"/>
          <a:ext cx="841053" cy="228944"/>
          <a:chOff x="4130444" y="3557713"/>
          <a:chExt cx="768976" cy="216568"/>
        </a:xfrm>
      </xdr:grpSpPr>
      <xdr:pic>
        <xdr:nvPicPr>
          <xdr:cNvPr id="13" name="Grafik 12">
            <a:extLst>
              <a:ext uri="{FF2B5EF4-FFF2-40B4-BE49-F238E27FC236}">
                <a16:creationId xmlns:a16="http://schemas.microsoft.com/office/drawing/2014/main" id="{8513A695-F2A2-6427-6231-86405BDFE3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0444" y="3557713"/>
            <a:ext cx="159350" cy="19871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Textfeld 14">
            <a:extLst>
              <a:ext uri="{FF2B5EF4-FFF2-40B4-BE49-F238E27FC236}">
                <a16:creationId xmlns:a16="http://schemas.microsoft.com/office/drawing/2014/main" id="{18A7F1E4-2F0E-F46A-EEFE-69670C55F6B3}"/>
              </a:ext>
            </a:extLst>
          </xdr:cNvPr>
          <xdr:cNvSpPr txBox="1"/>
        </xdr:nvSpPr>
        <xdr:spPr>
          <a:xfrm>
            <a:off x="4226717" y="3571875"/>
            <a:ext cx="672703" cy="2024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1.9</a:t>
            </a:r>
            <a:r>
              <a:rPr lang="de-CH" sz="9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de-CH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Auftrag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BEEDD4-7BA0-45E9-94B6-763B1F022B64}">
  <we:reference id="a3b40b4f-8edf-490e-9df1-7e66f93912bf" version="1.2.0.0" store="EXCatalog" storeType="EXCatalog"/>
  <we:alternateReferences>
    <we:reference id="WA104380526" version="1.2.0.0" store="de-CH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anitaerlernen.ch/0_Datenbank/2_Uebungen/1.Semester/1.1_Uebungen_1.pdf" TargetMode="External"/><Relationship Id="rId1" Type="http://schemas.openxmlformats.org/officeDocument/2006/relationships/hyperlink" Target="https://edu.suissetec.ch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du.suissetec.ch/" TargetMode="External"/><Relationship Id="rId1" Type="http://schemas.openxmlformats.org/officeDocument/2006/relationships/hyperlink" Target="../../../../marcel_item_gbssg_ch/_layouts/15/onedrive.aspx?id=%2Fpersonal%2Fmarcel%5Fitem%5Fgbssg%5Fch%2FDocuments%2F1%5FSanit%C3%A4rinstallateure%2F2%5FUnterrichtsmaterial%5FEFZ%2F3%5FNormen%5FRichtlinien%2FW3%20A%2D2013%2Epdf&amp;parent=%2Fpersonal%2Fmarcel%5Fitem%5Fgbssg%5Fch%2FDocuments%2F1%5FSanit%C3%A4rinstallateure%2F2%5FUnterrichtsmaterial%5FEFZ%2F3%5FNormen%5FRichtlinien&amp;ga=1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du.suissetec.ch/" TargetMode="External"/><Relationship Id="rId1" Type="http://schemas.openxmlformats.org/officeDocument/2006/relationships/hyperlink" Target="https://edu.suissetec.ch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2_Uebungen/1.Semester/1.1_Uebungen_2.pdf" TargetMode="External"/><Relationship Id="rId2" Type="http://schemas.openxmlformats.org/officeDocument/2006/relationships/hyperlink" Target="https://edu.suissetec.ch/" TargetMode="External"/><Relationship Id="rId1" Type="http://schemas.openxmlformats.org/officeDocument/2006/relationships/hyperlink" Target="https://edu.suissetec.ch/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2_Uebungen/1.Semester/1.1_Uebungen_3.pdf" TargetMode="External"/><Relationship Id="rId2" Type="http://schemas.openxmlformats.org/officeDocument/2006/relationships/hyperlink" Target="https://sanitaerlernen.ch/0_Datenbank/2_Uebungen/1.Semester/1.1_Uebungen_2.pdf" TargetMode="External"/><Relationship Id="rId1" Type="http://schemas.openxmlformats.org/officeDocument/2006/relationships/hyperlink" Target="https://edu.suissetec.ch/" TargetMode="Externa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bldsg.sharepoint.com/:b:/r/teams/SAIb_25-29/Freigegebene%20Dokumente/BKU/Berufskenntnisse/1.Semester/05_Diverses/1.3_PSA_%C3%9Cbersicht.pdf?csf=1&amp;web=1&amp;e=tE8QmP" TargetMode="External"/><Relationship Id="rId1" Type="http://schemas.openxmlformats.org/officeDocument/2006/relationships/hyperlink" Target="https://sanitaerlernen.ch/0_Datenbank/4_LM_Zusatz/1.3_Bericht_Baustelle_SUVA.pdf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edu.suissetec.ch/" TargetMode="External"/><Relationship Id="rId1" Type="http://schemas.openxmlformats.org/officeDocument/2006/relationships/hyperlink" Target="https://edu.suissetec.ch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2_Uebungen/1.Semester/1.2_Uebungen_1.pdf" TargetMode="External"/><Relationship Id="rId2" Type="http://schemas.openxmlformats.org/officeDocument/2006/relationships/hyperlink" Target="https://edu.suissetec.ch/" TargetMode="External"/><Relationship Id="rId1" Type="http://schemas.openxmlformats.org/officeDocument/2006/relationships/hyperlink" Target="https://sanitaerlernen.ch/0_Datenbank/2_Uebungen/1.Semester/1.2_Uebungen_2.pdf" TargetMode="External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sanitaerlernen.ch/0_Datenbank/2_Uebungen/1.Semester/1.2_Uebungen_4.pdf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sanitaerlernen.ch/0_Datenbank/2_Uebungen/1.Semester/1.2_Uebungen_4.pdf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sanitaerlernen.ch/0_Datenbank/2_Uebungen/1.Semester/1.2_Uebungen_4.pdf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2_Uebungen/1.Semester/1.2_Uebungen_4.pdf" TargetMode="External"/><Relationship Id="rId2" Type="http://schemas.openxmlformats.org/officeDocument/2006/relationships/hyperlink" Target="https://edu.suissetec.ch/" TargetMode="External"/><Relationship Id="rId1" Type="http://schemas.openxmlformats.org/officeDocument/2006/relationships/hyperlink" Target="https://edu.suissetec.ch/" TargetMode="External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sanitaerlernen.ch/0_Datenbank/2_Uebungen/1.Semester/1.6_Uebungen_1.pdf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bldsg.sharepoint.com/:b:/r/teams/SAIb_25-29/Freigegebene%20Dokumente/BKU/Berufskenntnisse/1.Semester/05_Diverses/1.8_Einstiegs%C3%BCbung_Gruppierungs%C3%BCbung.pdf?csf=1&amp;web=1&amp;e=3YWCXx" TargetMode="External"/><Relationship Id="rId1" Type="http://schemas.openxmlformats.org/officeDocument/2006/relationships/hyperlink" Target="https://edu.suissetec.ch/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du.suissetec.ch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hyperlink" Target="https://sanitaerlernen.ch/0_Datenbank/4_LM_Zusatz/1.9_Abfall_visualisiert.pdf" TargetMode="External"/><Relationship Id="rId1" Type="http://schemas.openxmlformats.org/officeDocument/2006/relationships/hyperlink" Target="https://edu.suissetec.ch/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bldsg.sharepoint.com/:b:/r/teams/SAIb_23-27/Freigegebene%20Dokumente/BKU/Berufskenntnisse/1.Semester/05_Diverses/3.9_Kontrollierter%20Abbruch%20Faserzementrohre.pdf?csf=1&amp;web=1&amp;e=Qgusw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F602-9A8D-4D6A-BB52-414164CD81F4}">
  <dimension ref="A1:V44"/>
  <sheetViews>
    <sheetView showWhiteSpace="0" view="pageLayout" topLeftCell="B1" zoomScaleNormal="100" workbookViewId="0">
      <selection activeCell="J1" sqref="J1"/>
    </sheetView>
  </sheetViews>
  <sheetFormatPr baseColWidth="10" defaultColWidth="11.453125" defaultRowHeight="15" customHeight="1" x14ac:dyDescent="0.25"/>
  <cols>
    <col min="1" max="1" width="1.453125" style="1" customWidth="1"/>
    <col min="2" max="2" width="8.26953125" style="1" customWidth="1"/>
    <col min="3" max="3" width="9.81640625" style="1" customWidth="1"/>
    <col min="4" max="4" width="10.7265625" style="1" customWidth="1"/>
    <col min="5" max="11" width="13.26953125" style="1" customWidth="1"/>
    <col min="12" max="12" width="3.26953125" style="1" customWidth="1"/>
    <col min="13" max="13" width="13.26953125" style="1" customWidth="1"/>
    <col min="14" max="15" width="4.81640625" style="1" customWidth="1"/>
    <col min="16" max="16" width="2.81640625" style="1" customWidth="1"/>
    <col min="17" max="17" width="3.26953125" style="1" customWidth="1"/>
    <col min="18" max="18" width="10.26953125" style="13" customWidth="1"/>
    <col min="19" max="21" width="7.453125" style="1" customWidth="1"/>
    <col min="22" max="22" width="16.81640625" style="1" customWidth="1"/>
    <col min="23" max="16384" width="11.453125" style="1"/>
  </cols>
  <sheetData>
    <row r="1" spans="1:22" ht="28.4" customHeight="1" thickBot="1" x14ac:dyDescent="0.3">
      <c r="B1" s="23" t="s">
        <v>0</v>
      </c>
      <c r="C1" s="24"/>
      <c r="D1" s="24"/>
      <c r="E1" s="24"/>
      <c r="F1" s="24"/>
      <c r="G1" s="24"/>
      <c r="H1" s="24"/>
      <c r="I1" s="25" t="s">
        <v>1</v>
      </c>
      <c r="J1" s="26">
        <v>45879</v>
      </c>
      <c r="K1" s="25" t="s">
        <v>2</v>
      </c>
      <c r="L1" s="27" t="s">
        <v>493</v>
      </c>
      <c r="M1" s="27"/>
      <c r="N1" s="27"/>
      <c r="O1" s="28"/>
      <c r="P1" s="28"/>
      <c r="Q1" s="24"/>
      <c r="R1" s="453" t="s">
        <v>492</v>
      </c>
      <c r="S1" s="454"/>
      <c r="T1" s="454"/>
      <c r="U1" s="454"/>
      <c r="V1" s="455"/>
    </row>
    <row r="2" spans="1:22" ht="17.149999999999999" customHeight="1" thickBot="1" x14ac:dyDescent="0.4">
      <c r="C2" s="5"/>
      <c r="D2"/>
      <c r="E2"/>
      <c r="F2"/>
      <c r="G2"/>
      <c r="H2" s="12"/>
      <c r="I2" s="12"/>
      <c r="J2" s="12"/>
      <c r="K2" s="12"/>
    </row>
    <row r="3" spans="1:22" ht="19.5" customHeight="1" thickBot="1" x14ac:dyDescent="0.3">
      <c r="B3" s="456" t="s">
        <v>3</v>
      </c>
      <c r="C3" s="457"/>
      <c r="D3" s="457"/>
      <c r="E3" s="457"/>
      <c r="F3" s="457"/>
      <c r="G3" s="457"/>
      <c r="H3" s="458"/>
      <c r="I3" s="458"/>
      <c r="J3" s="458"/>
      <c r="K3" s="459"/>
      <c r="L3" s="9"/>
      <c r="M3" s="210" t="s">
        <v>4</v>
      </c>
      <c r="N3" s="209"/>
      <c r="O3" s="208"/>
      <c r="P3" s="12"/>
      <c r="Q3" s="9"/>
      <c r="R3" s="17" t="s">
        <v>5</v>
      </c>
      <c r="S3" s="18"/>
      <c r="T3" s="19"/>
      <c r="U3" s="19"/>
      <c r="V3" s="20"/>
    </row>
    <row r="4" spans="1:22" ht="8.5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M4" s="207"/>
      <c r="N4" s="207"/>
      <c r="O4" s="207"/>
      <c r="R4" s="15"/>
      <c r="S4" s="8"/>
      <c r="T4" s="8"/>
      <c r="U4" s="7"/>
    </row>
    <row r="5" spans="1:22" ht="19" customHeight="1" x14ac:dyDescent="0.25">
      <c r="B5" s="460" t="s">
        <v>319</v>
      </c>
      <c r="C5" s="461"/>
      <c r="D5" s="462"/>
      <c r="E5" s="466" t="s">
        <v>6</v>
      </c>
      <c r="F5" s="467"/>
      <c r="G5" s="466" t="s">
        <v>7</v>
      </c>
      <c r="H5" s="468"/>
      <c r="I5" s="467"/>
      <c r="J5" s="468" t="s">
        <v>8</v>
      </c>
      <c r="K5" s="467"/>
      <c r="M5" s="469" t="s">
        <v>58</v>
      </c>
      <c r="N5" s="470"/>
      <c r="O5" s="471"/>
      <c r="P5" s="361"/>
      <c r="Q5" s="656">
        <v>1</v>
      </c>
      <c r="R5" s="21">
        <f>J1+4</f>
        <v>45883</v>
      </c>
      <c r="S5" s="472" t="s">
        <v>9</v>
      </c>
      <c r="T5" s="472"/>
      <c r="U5" s="472"/>
      <c r="V5" s="473"/>
    </row>
    <row r="6" spans="1:22" ht="19" customHeight="1" thickBot="1" x14ac:dyDescent="0.35">
      <c r="B6" s="463"/>
      <c r="C6" s="464"/>
      <c r="D6" s="465"/>
      <c r="E6" s="476" t="s">
        <v>10</v>
      </c>
      <c r="F6" s="477"/>
      <c r="G6" s="478" t="s">
        <v>11</v>
      </c>
      <c r="H6" s="479"/>
      <c r="I6" s="480"/>
      <c r="J6" s="481" t="s">
        <v>12</v>
      </c>
      <c r="K6" s="482"/>
      <c r="M6" s="483" t="s">
        <v>320</v>
      </c>
      <c r="N6" s="484"/>
      <c r="O6" s="485"/>
      <c r="P6" s="362"/>
      <c r="Q6" s="657"/>
      <c r="R6" s="22">
        <v>1.1200000000000001</v>
      </c>
      <c r="S6" s="474"/>
      <c r="T6" s="474"/>
      <c r="U6" s="474"/>
      <c r="V6" s="475"/>
    </row>
    <row r="7" spans="1:22" ht="19" customHeight="1" x14ac:dyDescent="0.25">
      <c r="B7" s="495" t="s">
        <v>316</v>
      </c>
      <c r="C7" s="496"/>
      <c r="D7" s="497"/>
      <c r="E7" s="504" t="s">
        <v>13</v>
      </c>
      <c r="F7" s="507" t="s">
        <v>14</v>
      </c>
      <c r="G7" s="504" t="s">
        <v>15</v>
      </c>
      <c r="H7" s="511" t="s">
        <v>16</v>
      </c>
      <c r="I7" s="507" t="s">
        <v>17</v>
      </c>
      <c r="J7" s="515" t="s">
        <v>18</v>
      </c>
      <c r="K7" s="507" t="s">
        <v>19</v>
      </c>
      <c r="L7" s="10"/>
      <c r="M7" s="486"/>
      <c r="N7" s="487"/>
      <c r="O7" s="488"/>
      <c r="P7" s="362"/>
      <c r="Q7" s="658">
        <v>2</v>
      </c>
      <c r="R7" s="354">
        <f>R5+7</f>
        <v>45890</v>
      </c>
      <c r="S7" s="519" t="s">
        <v>20</v>
      </c>
      <c r="T7" s="519"/>
      <c r="U7" s="519"/>
      <c r="V7" s="520"/>
    </row>
    <row r="8" spans="1:22" ht="19" customHeight="1" thickBot="1" x14ac:dyDescent="0.3">
      <c r="B8" s="498"/>
      <c r="C8" s="499"/>
      <c r="D8" s="500"/>
      <c r="E8" s="505"/>
      <c r="F8" s="508"/>
      <c r="G8" s="505"/>
      <c r="H8" s="512"/>
      <c r="I8" s="508"/>
      <c r="J8" s="516"/>
      <c r="K8" s="517"/>
      <c r="L8" s="10"/>
      <c r="M8" s="486"/>
      <c r="N8" s="487"/>
      <c r="O8" s="488"/>
      <c r="P8" s="362"/>
      <c r="Q8" s="659"/>
      <c r="R8" s="355" t="s">
        <v>21</v>
      </c>
      <c r="S8" s="521" t="s">
        <v>22</v>
      </c>
      <c r="T8" s="521"/>
      <c r="U8" s="521"/>
      <c r="V8" s="522"/>
    </row>
    <row r="9" spans="1:22" ht="19" customHeight="1" x14ac:dyDescent="0.35">
      <c r="B9" s="498"/>
      <c r="C9" s="499"/>
      <c r="D9" s="500"/>
      <c r="E9" s="506"/>
      <c r="F9" s="509"/>
      <c r="G9" s="505"/>
      <c r="H9" s="512"/>
      <c r="I9" s="508"/>
      <c r="J9" s="515" t="s">
        <v>23</v>
      </c>
      <c r="K9" s="518"/>
      <c r="L9" s="10"/>
      <c r="M9" s="489"/>
      <c r="N9" s="490"/>
      <c r="O9" s="491"/>
      <c r="P9" s="363"/>
      <c r="Q9" s="658">
        <v>3</v>
      </c>
      <c r="R9" s="356">
        <f>R7+7</f>
        <v>45897</v>
      </c>
      <c r="S9" s="523" t="s">
        <v>20</v>
      </c>
      <c r="T9" s="523"/>
      <c r="U9" s="523"/>
      <c r="V9" s="524"/>
    </row>
    <row r="10" spans="1:22" ht="19" customHeight="1" thickBot="1" x14ac:dyDescent="0.4">
      <c r="A10" s="6"/>
      <c r="B10" s="498"/>
      <c r="C10" s="499"/>
      <c r="D10" s="500"/>
      <c r="E10" s="504" t="s">
        <v>24</v>
      </c>
      <c r="F10" s="507" t="s">
        <v>25</v>
      </c>
      <c r="G10" s="505"/>
      <c r="H10" s="512"/>
      <c r="I10" s="508"/>
      <c r="J10" s="516"/>
      <c r="K10" s="525" t="s">
        <v>26</v>
      </c>
      <c r="L10" s="10"/>
      <c r="M10" s="489"/>
      <c r="N10" s="490"/>
      <c r="O10" s="491"/>
      <c r="P10" s="363"/>
      <c r="Q10" s="659"/>
      <c r="R10" s="355" t="s">
        <v>28</v>
      </c>
      <c r="S10" s="528" t="s">
        <v>22</v>
      </c>
      <c r="T10" s="528"/>
      <c r="U10" s="528"/>
      <c r="V10" s="529"/>
    </row>
    <row r="11" spans="1:22" ht="19" customHeight="1" x14ac:dyDescent="0.35">
      <c r="A11" s="6"/>
      <c r="B11" s="498"/>
      <c r="C11" s="499"/>
      <c r="D11" s="500"/>
      <c r="E11" s="505"/>
      <c r="F11" s="508"/>
      <c r="G11" s="505"/>
      <c r="H11" s="512"/>
      <c r="I11" s="508"/>
      <c r="J11" s="530" t="s">
        <v>29</v>
      </c>
      <c r="K11" s="526"/>
      <c r="L11" s="10"/>
      <c r="M11" s="489"/>
      <c r="N11" s="490"/>
      <c r="O11" s="491"/>
      <c r="P11" s="363"/>
      <c r="Q11" s="656">
        <v>4</v>
      </c>
      <c r="R11" s="354">
        <f>R9+7</f>
        <v>45904</v>
      </c>
      <c r="S11" s="523" t="s">
        <v>20</v>
      </c>
      <c r="T11" s="523"/>
      <c r="U11" s="523"/>
      <c r="V11" s="524"/>
    </row>
    <row r="12" spans="1:22" ht="19" customHeight="1" thickBot="1" x14ac:dyDescent="0.4">
      <c r="B12" s="501"/>
      <c r="C12" s="502"/>
      <c r="D12" s="503"/>
      <c r="E12" s="510"/>
      <c r="F12" s="514"/>
      <c r="G12" s="510"/>
      <c r="H12" s="513"/>
      <c r="I12" s="514"/>
      <c r="J12" s="531"/>
      <c r="K12" s="527"/>
      <c r="L12" s="10"/>
      <c r="M12" s="492"/>
      <c r="N12" s="493"/>
      <c r="O12" s="494"/>
      <c r="P12" s="363"/>
      <c r="Q12" s="657"/>
      <c r="R12" s="355" t="s">
        <v>28</v>
      </c>
      <c r="S12" s="528" t="s">
        <v>22</v>
      </c>
      <c r="T12" s="528"/>
      <c r="U12" s="528"/>
      <c r="V12" s="529"/>
    </row>
    <row r="13" spans="1:22" ht="19" customHeight="1" thickBot="1" x14ac:dyDescent="0.35">
      <c r="C13" s="3"/>
      <c r="D13" s="4"/>
      <c r="E13" s="532"/>
      <c r="F13" s="532"/>
      <c r="G13" s="533"/>
      <c r="H13" s="534"/>
      <c r="I13" s="534"/>
      <c r="J13" s="14"/>
      <c r="K13" s="15"/>
      <c r="Q13" s="658">
        <v>5</v>
      </c>
      <c r="R13" s="354">
        <f>R11+7</f>
        <v>45911</v>
      </c>
      <c r="S13" s="523" t="s">
        <v>20</v>
      </c>
      <c r="T13" s="523"/>
      <c r="U13" s="523"/>
      <c r="V13" s="524"/>
    </row>
    <row r="14" spans="1:22" ht="19" customHeight="1" thickBot="1" x14ac:dyDescent="0.4">
      <c r="B14" s="460" t="s">
        <v>319</v>
      </c>
      <c r="C14" s="461"/>
      <c r="D14" s="462"/>
      <c r="E14" s="535" t="s">
        <v>44</v>
      </c>
      <c r="F14" s="536"/>
      <c r="L14" s="9"/>
      <c r="M14" s="537" t="s">
        <v>318</v>
      </c>
      <c r="N14" s="538"/>
      <c r="O14" s="539"/>
      <c r="P14"/>
      <c r="Q14" s="659"/>
      <c r="R14" s="355" t="s">
        <v>28</v>
      </c>
      <c r="S14" s="528" t="s">
        <v>22</v>
      </c>
      <c r="T14" s="528"/>
      <c r="U14" s="528"/>
      <c r="V14" s="529"/>
    </row>
    <row r="15" spans="1:22" ht="19" customHeight="1" x14ac:dyDescent="0.3">
      <c r="B15" s="463"/>
      <c r="C15" s="464"/>
      <c r="D15" s="465"/>
      <c r="E15" s="476" t="s">
        <v>65</v>
      </c>
      <c r="F15" s="540"/>
      <c r="M15" s="541" t="s">
        <v>317</v>
      </c>
      <c r="N15" s="542"/>
      <c r="O15" s="543"/>
      <c r="P15" s="35"/>
      <c r="Q15" s="658">
        <v>6</v>
      </c>
      <c r="R15" s="354">
        <f>R13+7</f>
        <v>45918</v>
      </c>
      <c r="S15" s="523" t="s">
        <v>34</v>
      </c>
      <c r="T15" s="523"/>
      <c r="U15" s="523"/>
      <c r="V15" s="524"/>
    </row>
    <row r="16" spans="1:22" ht="19" customHeight="1" thickBot="1" x14ac:dyDescent="0.35">
      <c r="B16" s="495" t="s">
        <v>316</v>
      </c>
      <c r="C16" s="496"/>
      <c r="D16" s="497"/>
      <c r="E16" s="566" t="s">
        <v>68</v>
      </c>
      <c r="F16" s="567"/>
      <c r="M16" s="544"/>
      <c r="N16" s="542"/>
      <c r="O16" s="543"/>
      <c r="P16" s="35"/>
      <c r="Q16" s="659"/>
      <c r="R16" s="355" t="s">
        <v>41</v>
      </c>
      <c r="S16" s="528" t="s">
        <v>42</v>
      </c>
      <c r="T16" s="528"/>
      <c r="U16" s="528"/>
      <c r="V16" s="529"/>
    </row>
    <row r="17" spans="2:22" ht="19" customHeight="1" thickBot="1" x14ac:dyDescent="0.35">
      <c r="B17" s="498"/>
      <c r="C17" s="499"/>
      <c r="D17" s="500"/>
      <c r="E17" s="568"/>
      <c r="F17" s="569"/>
      <c r="M17" s="545"/>
      <c r="N17" s="546"/>
      <c r="O17" s="547"/>
      <c r="P17" s="35"/>
      <c r="Q17" s="656">
        <v>7</v>
      </c>
      <c r="R17" s="354">
        <f>R15+7</f>
        <v>45925</v>
      </c>
      <c r="S17" s="523" t="s">
        <v>34</v>
      </c>
      <c r="T17" s="523"/>
      <c r="U17" s="523"/>
      <c r="V17" s="524"/>
    </row>
    <row r="18" spans="2:22" ht="19" customHeight="1" thickBot="1" x14ac:dyDescent="0.4">
      <c r="B18" s="498"/>
      <c r="C18" s="499"/>
      <c r="D18" s="500"/>
      <c r="E18" s="568"/>
      <c r="F18" s="569"/>
      <c r="L18"/>
      <c r="Q18" s="657"/>
      <c r="R18" s="355" t="s">
        <v>45</v>
      </c>
      <c r="S18" s="528" t="s">
        <v>42</v>
      </c>
      <c r="T18" s="528"/>
      <c r="U18" s="528"/>
      <c r="V18" s="529"/>
    </row>
    <row r="19" spans="2:22" ht="19" customHeight="1" x14ac:dyDescent="0.35">
      <c r="B19" s="498"/>
      <c r="C19" s="499"/>
      <c r="D19" s="500"/>
      <c r="E19" s="568"/>
      <c r="F19" s="569"/>
      <c r="M19" s="572" t="s">
        <v>315</v>
      </c>
      <c r="N19" s="573"/>
      <c r="O19" s="574"/>
      <c r="P19"/>
      <c r="Q19" s="658">
        <v>8</v>
      </c>
      <c r="R19" s="354">
        <f>R17+28</f>
        <v>45953</v>
      </c>
      <c r="S19" s="523" t="s">
        <v>34</v>
      </c>
      <c r="T19" s="523"/>
      <c r="U19" s="523"/>
      <c r="V19" s="524"/>
    </row>
    <row r="20" spans="2:22" ht="19" customHeight="1" thickBot="1" x14ac:dyDescent="0.4">
      <c r="B20" s="498"/>
      <c r="C20" s="499"/>
      <c r="D20" s="500"/>
      <c r="E20" s="568"/>
      <c r="F20" s="569"/>
      <c r="M20" s="206" t="s">
        <v>27</v>
      </c>
      <c r="N20" s="575">
        <v>2</v>
      </c>
      <c r="O20" s="576"/>
      <c r="P20" s="363"/>
      <c r="Q20" s="659"/>
      <c r="R20" s="355" t="s">
        <v>45</v>
      </c>
      <c r="S20" s="528" t="s">
        <v>42</v>
      </c>
      <c r="T20" s="528"/>
      <c r="U20" s="528"/>
      <c r="V20" s="529"/>
    </row>
    <row r="21" spans="2:22" ht="19" customHeight="1" thickBot="1" x14ac:dyDescent="0.4">
      <c r="B21" s="501"/>
      <c r="C21" s="502"/>
      <c r="D21" s="503"/>
      <c r="E21" s="570"/>
      <c r="F21" s="571"/>
      <c r="M21" s="205" t="s">
        <v>7</v>
      </c>
      <c r="N21" s="548">
        <v>3</v>
      </c>
      <c r="O21" s="549"/>
      <c r="P21" s="363"/>
      <c r="Q21" s="658">
        <v>9</v>
      </c>
      <c r="R21" s="354">
        <f>R19+7</f>
        <v>45960</v>
      </c>
      <c r="S21" s="523" t="s">
        <v>34</v>
      </c>
      <c r="T21" s="523"/>
      <c r="U21" s="523"/>
      <c r="V21" s="524"/>
    </row>
    <row r="22" spans="2:22" ht="19" customHeight="1" thickBot="1" x14ac:dyDescent="0.4">
      <c r="M22" s="205" t="s">
        <v>8</v>
      </c>
      <c r="N22" s="548">
        <v>1</v>
      </c>
      <c r="O22" s="549"/>
      <c r="P22" s="363"/>
      <c r="Q22" s="659"/>
      <c r="R22" s="355" t="s">
        <v>49</v>
      </c>
      <c r="S22" s="528" t="s">
        <v>50</v>
      </c>
      <c r="T22" s="528"/>
      <c r="U22" s="528"/>
      <c r="V22" s="529"/>
    </row>
    <row r="23" spans="2:22" ht="19" customHeight="1" x14ac:dyDescent="0.35">
      <c r="B23" s="550" t="s">
        <v>314</v>
      </c>
      <c r="C23" s="551"/>
      <c r="D23" s="552"/>
      <c r="E23" s="556" t="s">
        <v>30</v>
      </c>
      <c r="F23" s="557"/>
      <c r="G23" s="556" t="s">
        <v>31</v>
      </c>
      <c r="H23" s="557"/>
      <c r="I23" s="558"/>
      <c r="L23" s="9"/>
      <c r="M23" s="204" t="s">
        <v>44</v>
      </c>
      <c r="N23" s="559">
        <v>1.5</v>
      </c>
      <c r="O23" s="560"/>
      <c r="P23" s="363"/>
      <c r="Q23" s="656">
        <v>10</v>
      </c>
      <c r="R23" s="354">
        <f>R21+7</f>
        <v>45967</v>
      </c>
      <c r="S23" s="523" t="s">
        <v>51</v>
      </c>
      <c r="T23" s="523"/>
      <c r="U23" s="523"/>
      <c r="V23" s="524"/>
    </row>
    <row r="24" spans="2:22" ht="19" customHeight="1" thickBot="1" x14ac:dyDescent="0.4">
      <c r="B24" s="553"/>
      <c r="C24" s="554"/>
      <c r="D24" s="555"/>
      <c r="E24" s="561" t="s">
        <v>32</v>
      </c>
      <c r="F24" s="562"/>
      <c r="G24" s="563" t="s">
        <v>32</v>
      </c>
      <c r="H24" s="564"/>
      <c r="I24" s="565"/>
      <c r="M24" s="203" t="s">
        <v>312</v>
      </c>
      <c r="N24" s="577">
        <f>SUM(N20:O23)</f>
        <v>7.5</v>
      </c>
      <c r="O24" s="578"/>
      <c r="P24" s="363"/>
      <c r="Q24" s="657"/>
      <c r="R24" s="355" t="s">
        <v>53</v>
      </c>
      <c r="S24" s="528" t="s">
        <v>50</v>
      </c>
      <c r="T24" s="528"/>
      <c r="U24" s="528"/>
      <c r="V24" s="529"/>
    </row>
    <row r="25" spans="2:22" s="9" customFormat="1" ht="19" customHeight="1" thickBot="1" x14ac:dyDescent="0.35">
      <c r="B25" s="579" t="s">
        <v>311</v>
      </c>
      <c r="C25" s="624"/>
      <c r="D25" s="625"/>
      <c r="E25" s="597" t="s">
        <v>35</v>
      </c>
      <c r="F25" s="606" t="s">
        <v>36</v>
      </c>
      <c r="G25" s="585" t="s">
        <v>37</v>
      </c>
      <c r="H25" s="634" t="s">
        <v>38</v>
      </c>
      <c r="I25" s="637" t="s">
        <v>39</v>
      </c>
      <c r="L25" s="11"/>
      <c r="Q25" s="658">
        <v>11</v>
      </c>
      <c r="R25" s="354">
        <f>R23+7</f>
        <v>45974</v>
      </c>
      <c r="S25" s="523" t="s">
        <v>51</v>
      </c>
      <c r="T25" s="523"/>
      <c r="U25" s="523"/>
      <c r="V25" s="524"/>
    </row>
    <row r="26" spans="2:22" s="9" customFormat="1" ht="19" customHeight="1" thickBot="1" x14ac:dyDescent="0.4">
      <c r="B26" s="626"/>
      <c r="C26" s="627"/>
      <c r="D26" s="628"/>
      <c r="E26" s="598"/>
      <c r="F26" s="632"/>
      <c r="G26" s="633"/>
      <c r="H26" s="635"/>
      <c r="I26" s="638"/>
      <c r="L26" s="11"/>
      <c r="M26" s="202" t="s">
        <v>311</v>
      </c>
      <c r="N26" s="201"/>
      <c r="O26" s="200"/>
      <c r="P26"/>
      <c r="Q26" s="659"/>
      <c r="R26" s="355" t="s">
        <v>53</v>
      </c>
      <c r="S26" s="528" t="s">
        <v>50</v>
      </c>
      <c r="T26" s="528"/>
      <c r="U26" s="528"/>
      <c r="V26" s="529"/>
    </row>
    <row r="27" spans="2:22" s="9" customFormat="1" ht="19" customHeight="1" x14ac:dyDescent="0.3">
      <c r="B27" s="626"/>
      <c r="C27" s="627"/>
      <c r="D27" s="628"/>
      <c r="E27" s="598"/>
      <c r="F27" s="632"/>
      <c r="G27" s="633"/>
      <c r="H27" s="635"/>
      <c r="I27" s="638"/>
      <c r="L27" s="11"/>
      <c r="M27" s="199" t="s">
        <v>30</v>
      </c>
      <c r="N27" s="603">
        <v>1.5</v>
      </c>
      <c r="O27" s="604"/>
      <c r="P27" s="364"/>
      <c r="Q27" s="658">
        <v>12</v>
      </c>
      <c r="R27" s="354">
        <f>R25+7</f>
        <v>45981</v>
      </c>
      <c r="S27" s="523" t="s">
        <v>51</v>
      </c>
      <c r="T27" s="523"/>
      <c r="U27" s="523"/>
      <c r="V27" s="524"/>
    </row>
    <row r="28" spans="2:22" s="9" customFormat="1" ht="19" customHeight="1" thickBot="1" x14ac:dyDescent="0.35">
      <c r="B28" s="626"/>
      <c r="C28" s="627"/>
      <c r="D28" s="628"/>
      <c r="E28" s="597" t="s">
        <v>46</v>
      </c>
      <c r="F28" s="606" t="s">
        <v>47</v>
      </c>
      <c r="G28" s="609" t="s">
        <v>48</v>
      </c>
      <c r="H28" s="635"/>
      <c r="I28" s="638"/>
      <c r="L28" s="11"/>
      <c r="M28" s="198" t="s">
        <v>31</v>
      </c>
      <c r="N28" s="612">
        <v>1.5</v>
      </c>
      <c r="O28" s="613"/>
      <c r="P28" s="364"/>
      <c r="Q28" s="659"/>
      <c r="R28" s="355" t="s">
        <v>53</v>
      </c>
      <c r="S28" s="528" t="s">
        <v>50</v>
      </c>
      <c r="T28" s="528"/>
      <c r="U28" s="528"/>
      <c r="V28" s="529"/>
    </row>
    <row r="29" spans="2:22" s="9" customFormat="1" ht="19" customHeight="1" x14ac:dyDescent="0.3">
      <c r="B29" s="626"/>
      <c r="C29" s="627"/>
      <c r="D29" s="628"/>
      <c r="E29" s="598"/>
      <c r="F29" s="607"/>
      <c r="G29" s="610"/>
      <c r="H29" s="635"/>
      <c r="I29" s="638"/>
      <c r="L29" s="11"/>
      <c r="M29" s="198" t="s">
        <v>33</v>
      </c>
      <c r="N29" s="612">
        <v>1.5</v>
      </c>
      <c r="O29" s="613"/>
      <c r="P29" s="364"/>
      <c r="Q29" s="656">
        <v>13</v>
      </c>
      <c r="R29" s="354">
        <f>R27+7</f>
        <v>45988</v>
      </c>
      <c r="S29" s="523" t="s">
        <v>51</v>
      </c>
      <c r="T29" s="523"/>
      <c r="U29" s="523"/>
      <c r="V29" s="524"/>
    </row>
    <row r="30" spans="2:22" s="9" customFormat="1" ht="19" customHeight="1" thickBot="1" x14ac:dyDescent="0.35">
      <c r="B30" s="629"/>
      <c r="C30" s="630"/>
      <c r="D30" s="631"/>
      <c r="E30" s="605"/>
      <c r="F30" s="608"/>
      <c r="G30" s="611"/>
      <c r="H30" s="636"/>
      <c r="I30" s="639"/>
      <c r="L30" s="11"/>
      <c r="M30" s="198" t="s">
        <v>40</v>
      </c>
      <c r="N30" s="612">
        <v>2</v>
      </c>
      <c r="O30" s="613"/>
      <c r="P30" s="364"/>
      <c r="Q30" s="657"/>
      <c r="R30" s="355" t="s">
        <v>53</v>
      </c>
      <c r="S30" s="528" t="s">
        <v>50</v>
      </c>
      <c r="T30" s="528"/>
      <c r="U30" s="528"/>
      <c r="V30" s="529"/>
    </row>
    <row r="31" spans="2:22" s="9" customFormat="1" ht="19" customHeight="1" thickBot="1" x14ac:dyDescent="0.35">
      <c r="M31" s="197" t="s">
        <v>43</v>
      </c>
      <c r="N31" s="614">
        <v>2</v>
      </c>
      <c r="O31" s="615"/>
      <c r="P31" s="364"/>
      <c r="Q31" s="658">
        <v>14</v>
      </c>
      <c r="R31" s="354">
        <f>R29+7</f>
        <v>45995</v>
      </c>
      <c r="S31" s="523" t="s">
        <v>62</v>
      </c>
      <c r="T31" s="523"/>
      <c r="U31" s="523"/>
      <c r="V31" s="524"/>
    </row>
    <row r="32" spans="2:22" s="9" customFormat="1" ht="19" customHeight="1" thickBot="1" x14ac:dyDescent="0.4">
      <c r="B32" s="550" t="s">
        <v>313</v>
      </c>
      <c r="C32" s="551"/>
      <c r="D32" s="551"/>
      <c r="E32" s="616" t="s">
        <v>33</v>
      </c>
      <c r="F32" s="617"/>
      <c r="G32" s="618"/>
      <c r="H32" s="557" t="s">
        <v>40</v>
      </c>
      <c r="I32" s="619"/>
      <c r="J32" s="556" t="s">
        <v>43</v>
      </c>
      <c r="K32" s="558"/>
      <c r="L32"/>
      <c r="M32" s="196" t="s">
        <v>312</v>
      </c>
      <c r="N32" s="620">
        <f>SUM(N27:O31)</f>
        <v>8.5</v>
      </c>
      <c r="O32" s="621"/>
      <c r="P32" s="365"/>
      <c r="Q32" s="659"/>
      <c r="R32" s="355" t="s">
        <v>63</v>
      </c>
      <c r="S32" s="528" t="s">
        <v>50</v>
      </c>
      <c r="T32" s="528"/>
      <c r="U32" s="528"/>
      <c r="V32" s="529"/>
    </row>
    <row r="33" spans="2:22" ht="19" customHeight="1" x14ac:dyDescent="0.3">
      <c r="B33" s="553"/>
      <c r="C33" s="554"/>
      <c r="D33" s="554"/>
      <c r="E33" s="600" t="s">
        <v>32</v>
      </c>
      <c r="F33" s="601"/>
      <c r="G33" s="602"/>
      <c r="H33" s="561" t="s">
        <v>52</v>
      </c>
      <c r="I33" s="622"/>
      <c r="J33" s="623" t="s">
        <v>64</v>
      </c>
      <c r="K33" s="622"/>
      <c r="L33" s="38"/>
      <c r="Q33" s="658">
        <v>15</v>
      </c>
      <c r="R33" s="354">
        <f>R31+7</f>
        <v>46002</v>
      </c>
      <c r="S33" s="523" t="s">
        <v>62</v>
      </c>
      <c r="T33" s="523"/>
      <c r="U33" s="523"/>
      <c r="V33" s="524"/>
    </row>
    <row r="34" spans="2:22" ht="19" customHeight="1" thickBot="1" x14ac:dyDescent="0.35">
      <c r="B34" s="579" t="s">
        <v>311</v>
      </c>
      <c r="C34" s="580"/>
      <c r="D34" s="580"/>
      <c r="E34" s="585" t="s">
        <v>54</v>
      </c>
      <c r="F34" s="587" t="s">
        <v>55</v>
      </c>
      <c r="G34" s="589" t="s">
        <v>56</v>
      </c>
      <c r="H34" s="591" t="s">
        <v>57</v>
      </c>
      <c r="I34" s="592"/>
      <c r="J34" s="597" t="s">
        <v>66</v>
      </c>
      <c r="K34" s="653" t="s">
        <v>67</v>
      </c>
      <c r="L34" s="38"/>
      <c r="Q34" s="659"/>
      <c r="R34" s="355" t="s">
        <v>63</v>
      </c>
      <c r="S34" s="528" t="s">
        <v>50</v>
      </c>
      <c r="T34" s="528"/>
      <c r="U34" s="528"/>
      <c r="V34" s="529"/>
    </row>
    <row r="35" spans="2:22" ht="19" customHeight="1" x14ac:dyDescent="0.3">
      <c r="B35" s="581"/>
      <c r="C35" s="582"/>
      <c r="D35" s="582"/>
      <c r="E35" s="586"/>
      <c r="F35" s="588"/>
      <c r="G35" s="590"/>
      <c r="H35" s="593"/>
      <c r="I35" s="594"/>
      <c r="J35" s="598"/>
      <c r="K35" s="654"/>
      <c r="L35" s="38"/>
      <c r="Q35" s="656">
        <v>16</v>
      </c>
      <c r="R35" s="354">
        <f>R33+7</f>
        <v>46009</v>
      </c>
      <c r="S35" s="523" t="s">
        <v>62</v>
      </c>
      <c r="T35" s="523"/>
      <c r="U35" s="523"/>
      <c r="V35" s="524"/>
    </row>
    <row r="36" spans="2:22" ht="19" customHeight="1" thickBot="1" x14ac:dyDescent="0.4">
      <c r="B36" s="581"/>
      <c r="C36" s="582"/>
      <c r="D36" s="582"/>
      <c r="E36" s="586"/>
      <c r="F36" s="588"/>
      <c r="G36" s="590"/>
      <c r="H36" s="593"/>
      <c r="I36" s="594"/>
      <c r="J36" s="599"/>
      <c r="K36" s="654"/>
      <c r="L36" s="39"/>
      <c r="Q36" s="657"/>
      <c r="R36" s="355" t="s">
        <v>63</v>
      </c>
      <c r="S36" s="528" t="s">
        <v>50</v>
      </c>
      <c r="T36" s="528"/>
      <c r="U36" s="528"/>
      <c r="V36" s="529"/>
    </row>
    <row r="37" spans="2:22" ht="19" customHeight="1" x14ac:dyDescent="0.35">
      <c r="B37" s="581"/>
      <c r="C37" s="582"/>
      <c r="D37" s="582"/>
      <c r="E37" s="585" t="s">
        <v>59</v>
      </c>
      <c r="F37" s="587" t="s">
        <v>60</v>
      </c>
      <c r="G37" s="589" t="s">
        <v>61</v>
      </c>
      <c r="H37" s="593"/>
      <c r="I37" s="594"/>
      <c r="J37" s="597" t="s">
        <v>69</v>
      </c>
      <c r="K37" s="654"/>
      <c r="L37" s="39"/>
      <c r="Q37" s="658">
        <v>17</v>
      </c>
      <c r="R37" s="354">
        <f>R35+21</f>
        <v>46030</v>
      </c>
      <c r="S37" s="523" t="s">
        <v>70</v>
      </c>
      <c r="T37" s="523"/>
      <c r="U37" s="523"/>
      <c r="V37" s="524"/>
    </row>
    <row r="38" spans="2:22" ht="19" customHeight="1" thickBot="1" x14ac:dyDescent="0.4">
      <c r="B38" s="581"/>
      <c r="C38" s="582"/>
      <c r="D38" s="582"/>
      <c r="E38" s="586"/>
      <c r="F38" s="647"/>
      <c r="G38" s="649"/>
      <c r="H38" s="593"/>
      <c r="I38" s="594"/>
      <c r="J38" s="651"/>
      <c r="K38" s="654"/>
      <c r="L38" s="39"/>
      <c r="Q38" s="659"/>
      <c r="R38" s="357" t="s">
        <v>71</v>
      </c>
      <c r="S38" s="523" t="s">
        <v>50</v>
      </c>
      <c r="T38" s="523"/>
      <c r="U38" s="523"/>
      <c r="V38" s="524"/>
    </row>
    <row r="39" spans="2:22" ht="19" customHeight="1" thickBot="1" x14ac:dyDescent="0.4">
      <c r="B39" s="583"/>
      <c r="C39" s="584"/>
      <c r="D39" s="584"/>
      <c r="E39" s="646"/>
      <c r="F39" s="648"/>
      <c r="G39" s="650"/>
      <c r="H39" s="595"/>
      <c r="I39" s="596"/>
      <c r="J39" s="652"/>
      <c r="K39" s="655"/>
      <c r="L39" s="39"/>
      <c r="Q39" s="658">
        <v>18</v>
      </c>
      <c r="R39" s="358">
        <f>R37+7</f>
        <v>46037</v>
      </c>
      <c r="S39" s="36" t="s">
        <v>72</v>
      </c>
      <c r="T39" s="36"/>
      <c r="U39" s="36"/>
      <c r="V39" s="37"/>
    </row>
    <row r="40" spans="2:22" ht="19" customHeight="1" thickBot="1" x14ac:dyDescent="0.4">
      <c r="B40" s="16"/>
      <c r="C40" s="16"/>
      <c r="D40" s="16"/>
      <c r="E40" s="34"/>
      <c r="F40" s="35"/>
      <c r="G40" s="35"/>
      <c r="H40" s="35"/>
      <c r="I40"/>
      <c r="L40"/>
      <c r="Q40" s="659"/>
      <c r="R40" s="357" t="s">
        <v>73</v>
      </c>
      <c r="S40" s="523" t="s">
        <v>74</v>
      </c>
      <c r="T40" s="523"/>
      <c r="U40" s="523"/>
      <c r="V40" s="524"/>
    </row>
    <row r="41" spans="2:22" ht="19" customHeight="1" x14ac:dyDescent="0.25">
      <c r="Q41" s="656">
        <v>19</v>
      </c>
      <c r="R41" s="359">
        <f>R39+7</f>
        <v>46044</v>
      </c>
      <c r="S41" s="640" t="s">
        <v>285</v>
      </c>
      <c r="T41" s="641"/>
      <c r="U41" s="641"/>
      <c r="V41" s="642"/>
    </row>
    <row r="42" spans="2:22" ht="19" customHeight="1" thickBot="1" x14ac:dyDescent="0.4">
      <c r="M42"/>
      <c r="N42"/>
      <c r="O42"/>
      <c r="P42"/>
      <c r="Q42" s="657"/>
      <c r="R42" s="360"/>
      <c r="S42" s="643"/>
      <c r="T42" s="644"/>
      <c r="U42" s="644"/>
      <c r="V42" s="645"/>
    </row>
    <row r="43" spans="2:22" ht="19" customHeight="1" thickBot="1" x14ac:dyDescent="0.35">
      <c r="C43" s="2"/>
      <c r="D43" s="2"/>
      <c r="E43" s="2"/>
      <c r="F43" s="2"/>
      <c r="G43" s="2"/>
      <c r="H43" s="2"/>
      <c r="I43" s="2"/>
      <c r="J43" s="2"/>
      <c r="K43" s="2"/>
      <c r="R43" s="15"/>
      <c r="S43" s="8"/>
      <c r="T43" s="8"/>
      <c r="U43" s="7"/>
    </row>
    <row r="44" spans="2:22" ht="19" customHeight="1" thickBot="1" x14ac:dyDescent="0.35">
      <c r="B44" s="29" t="s">
        <v>75</v>
      </c>
      <c r="C44" s="30"/>
      <c r="D44" s="30"/>
      <c r="E44" s="30"/>
      <c r="F44" s="30"/>
      <c r="G44" s="31"/>
      <c r="H44" s="30"/>
      <c r="I44" s="30"/>
      <c r="J44" s="32"/>
      <c r="K44" s="30" t="s">
        <v>362</v>
      </c>
      <c r="L44" s="31"/>
      <c r="M44" s="30"/>
      <c r="N44" s="30"/>
      <c r="O44" s="30"/>
      <c r="P44" s="30"/>
      <c r="Q44" s="30"/>
      <c r="R44" s="195" t="s">
        <v>76</v>
      </c>
      <c r="S44" s="30"/>
      <c r="T44" s="30"/>
      <c r="U44" s="30"/>
      <c r="V44" s="33"/>
    </row>
  </sheetData>
  <mergeCells count="133">
    <mergeCell ref="Q5:Q6"/>
    <mergeCell ref="Q41:Q42"/>
    <mergeCell ref="Q39:Q40"/>
    <mergeCell ref="Q37:Q38"/>
    <mergeCell ref="Q35:Q36"/>
    <mergeCell ref="Q33:Q34"/>
    <mergeCell ref="Q31:Q32"/>
    <mergeCell ref="Q29:Q30"/>
    <mergeCell ref="Q27:Q28"/>
    <mergeCell ref="Q25:Q26"/>
    <mergeCell ref="Q23:Q24"/>
    <mergeCell ref="Q21:Q22"/>
    <mergeCell ref="Q19:Q20"/>
    <mergeCell ref="Q17:Q18"/>
    <mergeCell ref="Q15:Q16"/>
    <mergeCell ref="Q13:Q14"/>
    <mergeCell ref="Q11:Q12"/>
    <mergeCell ref="Q9:Q10"/>
    <mergeCell ref="Q7:Q8"/>
    <mergeCell ref="S41:V42"/>
    <mergeCell ref="S40:V40"/>
    <mergeCell ref="S34:V34"/>
    <mergeCell ref="S35:V35"/>
    <mergeCell ref="S36:V36"/>
    <mergeCell ref="E37:E39"/>
    <mergeCell ref="F37:F39"/>
    <mergeCell ref="G37:G39"/>
    <mergeCell ref="J37:J39"/>
    <mergeCell ref="S37:V37"/>
    <mergeCell ref="K34:K39"/>
    <mergeCell ref="S38:V38"/>
    <mergeCell ref="N32:O32"/>
    <mergeCell ref="S32:V32"/>
    <mergeCell ref="H33:I33"/>
    <mergeCell ref="J33:K33"/>
    <mergeCell ref="S33:V33"/>
    <mergeCell ref="B25:D30"/>
    <mergeCell ref="E25:E27"/>
    <mergeCell ref="F25:F27"/>
    <mergeCell ref="G25:G27"/>
    <mergeCell ref="H25:H30"/>
    <mergeCell ref="I25:I30"/>
    <mergeCell ref="S25:V25"/>
    <mergeCell ref="S26:V26"/>
    <mergeCell ref="B34:D39"/>
    <mergeCell ref="E34:E36"/>
    <mergeCell ref="F34:F36"/>
    <mergeCell ref="G34:G36"/>
    <mergeCell ref="H34:I39"/>
    <mergeCell ref="J34:J36"/>
    <mergeCell ref="E33:G33"/>
    <mergeCell ref="N27:O27"/>
    <mergeCell ref="S27:V27"/>
    <mergeCell ref="E28:E30"/>
    <mergeCell ref="F28:F30"/>
    <mergeCell ref="G28:G30"/>
    <mergeCell ref="N28:O28"/>
    <mergeCell ref="S28:V28"/>
    <mergeCell ref="N29:O29"/>
    <mergeCell ref="S29:V29"/>
    <mergeCell ref="N30:O30"/>
    <mergeCell ref="S30:V30"/>
    <mergeCell ref="N31:O31"/>
    <mergeCell ref="S31:V31"/>
    <mergeCell ref="B32:D33"/>
    <mergeCell ref="E32:G32"/>
    <mergeCell ref="H32:I32"/>
    <mergeCell ref="J32:K32"/>
    <mergeCell ref="B23:D24"/>
    <mergeCell ref="E23:F23"/>
    <mergeCell ref="G23:I23"/>
    <mergeCell ref="N23:O23"/>
    <mergeCell ref="S23:V23"/>
    <mergeCell ref="E24:F24"/>
    <mergeCell ref="G24:I24"/>
    <mergeCell ref="B16:D21"/>
    <mergeCell ref="E16:F21"/>
    <mergeCell ref="S16:V16"/>
    <mergeCell ref="S17:V17"/>
    <mergeCell ref="S18:V18"/>
    <mergeCell ref="M19:O19"/>
    <mergeCell ref="S19:V19"/>
    <mergeCell ref="N20:O20"/>
    <mergeCell ref="S20:V20"/>
    <mergeCell ref="N21:O21"/>
    <mergeCell ref="N24:O24"/>
    <mergeCell ref="S24:V24"/>
    <mergeCell ref="B14:D15"/>
    <mergeCell ref="E14:F14"/>
    <mergeCell ref="M14:O14"/>
    <mergeCell ref="S14:V14"/>
    <mergeCell ref="E15:F15"/>
    <mergeCell ref="M15:O17"/>
    <mergeCell ref="S21:V21"/>
    <mergeCell ref="N22:O22"/>
    <mergeCell ref="S22:V22"/>
    <mergeCell ref="J9:J10"/>
    <mergeCell ref="S9:V9"/>
    <mergeCell ref="S15:V15"/>
    <mergeCell ref="E10:E12"/>
    <mergeCell ref="F10:F12"/>
    <mergeCell ref="K10:K12"/>
    <mergeCell ref="S10:V10"/>
    <mergeCell ref="J11:J12"/>
    <mergeCell ref="S11:V11"/>
    <mergeCell ref="S12:V12"/>
    <mergeCell ref="E13:G13"/>
    <mergeCell ref="H13:I13"/>
    <mergeCell ref="S13:V13"/>
    <mergeCell ref="R1:V1"/>
    <mergeCell ref="B3:G3"/>
    <mergeCell ref="H3:I3"/>
    <mergeCell ref="J3:K3"/>
    <mergeCell ref="B5:D6"/>
    <mergeCell ref="E5:F5"/>
    <mergeCell ref="G5:I5"/>
    <mergeCell ref="J5:K5"/>
    <mergeCell ref="M5:O5"/>
    <mergeCell ref="S5:V6"/>
    <mergeCell ref="E6:F6"/>
    <mergeCell ref="G6:I6"/>
    <mergeCell ref="J6:K6"/>
    <mergeCell ref="M6:O12"/>
    <mergeCell ref="B7:D12"/>
    <mergeCell ref="E7:E9"/>
    <mergeCell ref="F7:F9"/>
    <mergeCell ref="G7:G12"/>
    <mergeCell ref="H7:H12"/>
    <mergeCell ref="I7:I12"/>
    <mergeCell ref="J7:J8"/>
    <mergeCell ref="K7:K9"/>
    <mergeCell ref="S7:V7"/>
    <mergeCell ref="S8:V8"/>
  </mergeCells>
  <conditionalFormatting sqref="R7:V38 R40:V40">
    <cfRule type="expression" dxfId="0" priority="1">
      <formula>$R$7=#REF!</formula>
    </cfRule>
  </conditionalFormatting>
  <pageMargins left="3.937007874015748E-2" right="3.937007874015748E-2" top="0.19685039370078741" bottom="0.19685039370078741" header="0" footer="0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70BD-D265-4642-9DE0-DE3E56D9FAD6}">
  <dimension ref="A1:Q55"/>
  <sheetViews>
    <sheetView view="pageLayout" zoomScaleNormal="100" workbookViewId="0">
      <selection activeCell="E48" sqref="E48:F48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6.453125" customWidth="1"/>
  </cols>
  <sheetData>
    <row r="1" spans="1:17" ht="15" customHeight="1" x14ac:dyDescent="0.35">
      <c r="A1" s="432" t="s">
        <v>96</v>
      </c>
      <c r="B1" s="433"/>
      <c r="C1" s="433"/>
      <c r="D1" s="433"/>
      <c r="E1" s="434"/>
      <c r="F1" s="438">
        <f>Kompetenzraster!R5</f>
        <v>45883</v>
      </c>
      <c r="G1" s="439"/>
      <c r="H1" s="440"/>
      <c r="I1" s="444">
        <v>1</v>
      </c>
      <c r="J1" s="324"/>
      <c r="K1" s="324"/>
      <c r="L1" s="324"/>
      <c r="M1" s="324"/>
      <c r="N1" s="324"/>
      <c r="O1" s="324"/>
      <c r="P1" s="324"/>
      <c r="Q1" s="324"/>
    </row>
    <row r="2" spans="1:17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  <c r="J2" s="324"/>
      <c r="K2" s="324"/>
      <c r="L2" s="324"/>
      <c r="M2" s="324"/>
      <c r="N2" s="324"/>
      <c r="O2" s="324"/>
      <c r="P2" s="324"/>
      <c r="Q2" s="324"/>
    </row>
    <row r="3" spans="1:17" ht="15.75" customHeight="1" x14ac:dyDescent="0.35">
      <c r="A3" s="41"/>
      <c r="B3" s="60"/>
      <c r="C3" s="60"/>
      <c r="D3" s="60"/>
      <c r="E3" s="60"/>
      <c r="F3" s="61"/>
      <c r="G3" s="61"/>
      <c r="H3" s="61"/>
      <c r="I3" s="61"/>
      <c r="J3" s="324"/>
      <c r="K3" s="324"/>
      <c r="L3" s="324"/>
      <c r="M3" s="324"/>
      <c r="N3" s="324"/>
      <c r="O3" s="324"/>
      <c r="P3" s="324"/>
      <c r="Q3" s="324"/>
    </row>
    <row r="4" spans="1:17" ht="15.75" customHeight="1" x14ac:dyDescent="0.35">
      <c r="A4" s="445" t="s">
        <v>84</v>
      </c>
      <c r="B4" s="445"/>
      <c r="C4" s="60"/>
      <c r="D4" s="60"/>
      <c r="E4" s="60"/>
      <c r="F4" s="61"/>
      <c r="G4" s="61"/>
      <c r="H4" s="61"/>
      <c r="I4" s="61"/>
      <c r="J4" s="324"/>
      <c r="K4" s="324"/>
      <c r="L4" s="324"/>
      <c r="M4" s="324"/>
      <c r="N4" s="324"/>
      <c r="O4" s="324"/>
      <c r="P4" s="324"/>
      <c r="Q4" s="324"/>
    </row>
    <row r="5" spans="1:17" ht="15.75" customHeight="1" x14ac:dyDescent="0.35">
      <c r="A5" s="666" t="s">
        <v>77</v>
      </c>
      <c r="B5" s="667"/>
      <c r="C5" s="667"/>
      <c r="D5" s="667"/>
      <c r="E5" s="667"/>
      <c r="F5" s="667"/>
      <c r="G5" s="667"/>
      <c r="H5" s="668"/>
      <c r="I5" s="698">
        <v>1.1200000000000001</v>
      </c>
      <c r="J5" s="324"/>
      <c r="K5" s="324"/>
      <c r="L5" s="324"/>
      <c r="M5" s="324"/>
      <c r="N5" s="324"/>
      <c r="O5" s="324"/>
      <c r="P5" s="324"/>
      <c r="Q5" s="324"/>
    </row>
    <row r="6" spans="1:17" ht="15.75" customHeight="1" x14ac:dyDescent="0.35">
      <c r="A6" s="669"/>
      <c r="B6" s="670"/>
      <c r="C6" s="670"/>
      <c r="D6" s="670"/>
      <c r="E6" s="670"/>
      <c r="F6" s="670"/>
      <c r="G6" s="670"/>
      <c r="H6" s="671"/>
      <c r="I6" s="698"/>
      <c r="J6" s="324"/>
      <c r="K6" s="324"/>
      <c r="L6" s="324"/>
      <c r="M6" s="324"/>
      <c r="N6" s="324"/>
      <c r="O6" s="324"/>
      <c r="P6" s="324"/>
      <c r="Q6" s="324"/>
    </row>
    <row r="7" spans="1:17" ht="7" customHeight="1" x14ac:dyDescent="0.35">
      <c r="A7" s="41"/>
      <c r="B7" s="76"/>
      <c r="C7" s="76"/>
      <c r="D7" s="76"/>
      <c r="E7" s="76"/>
      <c r="F7" s="76"/>
      <c r="G7" s="76"/>
      <c r="H7" s="76"/>
      <c r="I7" s="61"/>
      <c r="J7" s="324"/>
      <c r="K7" s="324"/>
      <c r="L7" s="324"/>
      <c r="M7" s="324"/>
      <c r="N7" s="324"/>
      <c r="O7" s="324"/>
      <c r="P7" s="324"/>
      <c r="Q7" s="324"/>
    </row>
    <row r="8" spans="1:17" ht="15.75" customHeight="1" x14ac:dyDescent="0.35">
      <c r="A8" s="73" t="s">
        <v>80</v>
      </c>
      <c r="B8" s="74"/>
      <c r="C8" s="74"/>
      <c r="D8" s="74"/>
      <c r="E8" s="74"/>
      <c r="F8" s="74"/>
      <c r="G8" s="74"/>
      <c r="H8" s="74"/>
      <c r="I8" s="75"/>
      <c r="J8" s="324"/>
      <c r="K8" s="324"/>
      <c r="L8" s="324"/>
      <c r="M8" s="324"/>
      <c r="N8" s="324"/>
      <c r="O8" s="324"/>
      <c r="P8" s="324"/>
      <c r="Q8" s="324"/>
    </row>
    <row r="9" spans="1:17" ht="15.75" customHeight="1" x14ac:dyDescent="0.35">
      <c r="A9" s="77"/>
      <c r="B9" s="41" t="s">
        <v>92</v>
      </c>
      <c r="C9" s="41"/>
      <c r="D9" s="41"/>
      <c r="E9" s="41"/>
      <c r="F9" s="41"/>
      <c r="G9" s="41"/>
      <c r="H9" s="41"/>
      <c r="I9" s="42"/>
      <c r="J9" s="324"/>
      <c r="K9" s="324"/>
      <c r="L9" s="324"/>
      <c r="M9" s="324"/>
      <c r="N9" s="324"/>
      <c r="O9" s="324"/>
      <c r="P9" s="324"/>
      <c r="Q9" s="324"/>
    </row>
    <row r="10" spans="1:17" ht="15.75" customHeight="1" x14ac:dyDescent="0.35">
      <c r="A10" s="77"/>
      <c r="B10" s="41" t="s">
        <v>93</v>
      </c>
      <c r="C10" s="41"/>
      <c r="D10" s="41"/>
      <c r="E10" s="41"/>
      <c r="F10" s="41"/>
      <c r="G10" s="41"/>
      <c r="H10" s="41"/>
      <c r="I10" s="42"/>
      <c r="J10" s="324"/>
      <c r="K10" s="324"/>
      <c r="L10" s="324"/>
      <c r="M10" s="324"/>
      <c r="N10" s="324"/>
      <c r="O10" s="324"/>
      <c r="P10" s="324"/>
      <c r="Q10" s="324"/>
    </row>
    <row r="11" spans="1:17" ht="15.75" customHeight="1" x14ac:dyDescent="0.35">
      <c r="A11" s="77"/>
      <c r="B11" s="41" t="s">
        <v>94</v>
      </c>
      <c r="C11" s="41"/>
      <c r="D11" s="41"/>
      <c r="E11" s="41"/>
      <c r="F11" s="41"/>
      <c r="G11" s="41"/>
      <c r="H11" s="41"/>
      <c r="I11" s="42"/>
      <c r="J11" s="324"/>
      <c r="K11" s="324"/>
      <c r="L11" s="324"/>
      <c r="M11" s="324"/>
      <c r="N11" s="324"/>
      <c r="O11" s="324"/>
      <c r="P11" s="324"/>
      <c r="Q11" s="324"/>
    </row>
    <row r="12" spans="1:17" ht="15.75" customHeight="1" x14ac:dyDescent="0.35">
      <c r="A12" s="78"/>
      <c r="B12" s="50" t="s">
        <v>95</v>
      </c>
      <c r="C12" s="50"/>
      <c r="D12" s="50"/>
      <c r="E12" s="50"/>
      <c r="F12" s="50"/>
      <c r="G12" s="50"/>
      <c r="H12" s="50"/>
      <c r="I12" s="45"/>
      <c r="J12" s="324"/>
      <c r="K12" s="324"/>
      <c r="L12" s="324"/>
      <c r="M12" s="324"/>
      <c r="N12" s="324"/>
      <c r="O12" s="324"/>
      <c r="P12" s="324"/>
      <c r="Q12" s="324"/>
    </row>
    <row r="13" spans="1:17" ht="11.25" customHeight="1" x14ac:dyDescent="0.35">
      <c r="A13" s="41"/>
      <c r="B13" s="53"/>
      <c r="C13" s="53"/>
      <c r="D13" s="53"/>
      <c r="E13" s="53"/>
      <c r="F13" s="53"/>
      <c r="G13" s="53"/>
      <c r="H13" s="41"/>
      <c r="I13" s="41"/>
      <c r="J13" s="324"/>
      <c r="K13" s="324"/>
      <c r="L13" s="324"/>
      <c r="M13" s="324"/>
      <c r="N13" s="324"/>
      <c r="O13" s="324"/>
      <c r="P13" s="324"/>
      <c r="Q13" s="324"/>
    </row>
    <row r="14" spans="1:17" ht="15.75" customHeight="1" x14ac:dyDescent="0.35">
      <c r="A14" s="430" t="s">
        <v>85</v>
      </c>
      <c r="B14" s="430"/>
      <c r="C14" s="430" t="s">
        <v>86</v>
      </c>
      <c r="D14" s="430" t="s">
        <v>88</v>
      </c>
      <c r="E14" s="430"/>
      <c r="F14" s="430"/>
      <c r="G14" s="430"/>
      <c r="H14" s="431" t="s">
        <v>106</v>
      </c>
      <c r="I14" s="430" t="s">
        <v>87</v>
      </c>
      <c r="J14" s="324"/>
      <c r="K14" s="324"/>
      <c r="L14" s="324"/>
      <c r="M14" s="324"/>
      <c r="N14" s="324"/>
      <c r="O14" s="324"/>
      <c r="P14" s="324"/>
      <c r="Q14" s="324"/>
    </row>
    <row r="15" spans="1:17" x14ac:dyDescent="0.35">
      <c r="A15" s="430"/>
      <c r="B15" s="430"/>
      <c r="C15" s="430"/>
      <c r="D15" s="430"/>
      <c r="E15" s="430"/>
      <c r="F15" s="430"/>
      <c r="G15" s="430"/>
      <c r="H15" s="431"/>
      <c r="I15" s="430"/>
      <c r="J15" s="324"/>
      <c r="K15" s="324"/>
      <c r="L15" s="324"/>
      <c r="M15" s="324"/>
      <c r="N15" s="324"/>
      <c r="O15" s="324"/>
      <c r="P15" s="324"/>
      <c r="Q15" s="324"/>
    </row>
    <row r="16" spans="1:17" ht="9.75" customHeight="1" x14ac:dyDescent="0.35">
      <c r="A16" s="660"/>
      <c r="B16" s="661"/>
      <c r="C16" s="661"/>
      <c r="D16" s="661"/>
      <c r="E16" s="661"/>
      <c r="F16" s="661"/>
      <c r="G16" s="661"/>
      <c r="H16" s="661"/>
      <c r="I16" s="662"/>
      <c r="J16" s="324"/>
      <c r="K16" s="324"/>
      <c r="L16" s="324"/>
      <c r="M16" s="324"/>
      <c r="N16" s="324"/>
      <c r="O16" s="324"/>
      <c r="P16" s="324"/>
      <c r="Q16" s="324"/>
    </row>
    <row r="17" spans="1:17" x14ac:dyDescent="0.35">
      <c r="A17" s="77"/>
      <c r="B17" s="327" t="s">
        <v>89</v>
      </c>
      <c r="C17" s="54" t="s">
        <v>119</v>
      </c>
      <c r="D17" s="48" t="s">
        <v>322</v>
      </c>
      <c r="E17" s="49"/>
      <c r="F17" s="49"/>
      <c r="G17" s="40"/>
      <c r="H17" s="211" t="s">
        <v>114</v>
      </c>
      <c r="I17" s="326"/>
      <c r="J17" s="324"/>
      <c r="K17" s="324"/>
      <c r="L17" s="324"/>
      <c r="M17" s="324"/>
      <c r="N17" s="324"/>
      <c r="O17" s="324"/>
      <c r="P17" s="324"/>
      <c r="Q17" s="324"/>
    </row>
    <row r="18" spans="1:17" x14ac:dyDescent="0.35">
      <c r="A18" s="77"/>
      <c r="B18" s="62" t="s">
        <v>495</v>
      </c>
      <c r="C18" s="55" t="s">
        <v>115</v>
      </c>
      <c r="D18" s="43" t="s">
        <v>323</v>
      </c>
      <c r="E18" s="41"/>
      <c r="F18" s="41"/>
      <c r="G18" s="42"/>
      <c r="H18" s="193" t="s">
        <v>207</v>
      </c>
      <c r="I18" s="44"/>
      <c r="J18" s="324"/>
      <c r="K18" s="324"/>
      <c r="L18" s="324"/>
      <c r="M18" s="324"/>
      <c r="N18" s="324"/>
      <c r="O18" s="324"/>
      <c r="P18" s="324"/>
      <c r="Q18" s="324"/>
    </row>
    <row r="19" spans="1:17" x14ac:dyDescent="0.35">
      <c r="A19" s="77"/>
      <c r="B19" s="71"/>
      <c r="C19" s="55" t="s">
        <v>144</v>
      </c>
      <c r="D19" s="212" t="s">
        <v>327</v>
      </c>
      <c r="E19" s="41"/>
      <c r="F19" s="41"/>
      <c r="G19" s="85"/>
      <c r="H19" s="193" t="s">
        <v>114</v>
      </c>
      <c r="I19" s="44"/>
      <c r="J19" s="324"/>
      <c r="K19" s="324"/>
      <c r="L19" s="324"/>
      <c r="M19" s="324"/>
      <c r="N19" s="324"/>
      <c r="O19" s="324"/>
      <c r="P19" s="324"/>
      <c r="Q19" s="324"/>
    </row>
    <row r="20" spans="1:17" x14ac:dyDescent="0.35">
      <c r="A20" s="77"/>
      <c r="B20" s="328"/>
      <c r="C20" s="63"/>
      <c r="D20" s="43"/>
      <c r="E20" s="41"/>
      <c r="F20" s="41"/>
      <c r="G20" s="42"/>
      <c r="H20" s="194"/>
      <c r="I20" s="47"/>
      <c r="J20" s="324"/>
      <c r="K20" s="324"/>
      <c r="L20" s="324"/>
      <c r="M20" s="324"/>
      <c r="N20" s="324"/>
      <c r="O20" s="324"/>
      <c r="P20" s="324"/>
      <c r="Q20" s="324"/>
    </row>
    <row r="21" spans="1:17" x14ac:dyDescent="0.35">
      <c r="A21" s="77"/>
      <c r="B21" s="327" t="s">
        <v>90</v>
      </c>
      <c r="C21" s="56" t="s">
        <v>115</v>
      </c>
      <c r="D21" s="49" t="s">
        <v>324</v>
      </c>
      <c r="E21" s="49"/>
      <c r="F21" s="49"/>
      <c r="G21" s="213"/>
      <c r="H21" s="69" t="s">
        <v>114</v>
      </c>
      <c r="I21" s="52"/>
      <c r="J21" s="324"/>
      <c r="K21" s="324"/>
      <c r="L21" s="324"/>
      <c r="M21" s="324"/>
      <c r="N21" s="324"/>
      <c r="O21" s="324"/>
      <c r="P21" s="324"/>
      <c r="Q21" s="324"/>
    </row>
    <row r="22" spans="1:17" x14ac:dyDescent="0.35">
      <c r="A22" s="77"/>
      <c r="B22" s="62" t="s">
        <v>496</v>
      </c>
      <c r="C22" s="64" t="s">
        <v>115</v>
      </c>
      <c r="D22" s="41" t="s">
        <v>79</v>
      </c>
      <c r="E22" s="41"/>
      <c r="F22" s="41"/>
      <c r="G22" s="41"/>
      <c r="H22" s="70"/>
      <c r="I22" s="44"/>
      <c r="J22" s="324"/>
      <c r="K22" s="324"/>
      <c r="L22" s="324"/>
      <c r="M22" s="324"/>
      <c r="N22" s="324"/>
      <c r="O22" s="324"/>
      <c r="P22" s="324"/>
      <c r="Q22" s="324"/>
    </row>
    <row r="23" spans="1:17" x14ac:dyDescent="0.35">
      <c r="A23" s="77"/>
      <c r="B23" s="71"/>
      <c r="C23" s="64" t="s">
        <v>99</v>
      </c>
      <c r="D23" s="41" t="s">
        <v>78</v>
      </c>
      <c r="E23" s="41"/>
      <c r="F23" s="41"/>
      <c r="G23" s="41"/>
      <c r="H23" s="70"/>
      <c r="I23" s="44"/>
      <c r="J23" s="324"/>
      <c r="K23" s="324"/>
      <c r="L23" s="324"/>
      <c r="M23" s="324"/>
      <c r="N23" s="324"/>
      <c r="O23" s="324"/>
      <c r="P23" s="324"/>
      <c r="Q23" s="324"/>
    </row>
    <row r="24" spans="1:17" x14ac:dyDescent="0.35">
      <c r="A24" s="77"/>
      <c r="B24" s="328"/>
      <c r="C24" s="57"/>
      <c r="D24" s="50"/>
      <c r="E24" s="50"/>
      <c r="F24" s="50"/>
      <c r="G24" s="50"/>
      <c r="H24" s="88"/>
      <c r="I24" s="47"/>
      <c r="J24" s="324"/>
      <c r="K24" s="324"/>
      <c r="L24" s="324"/>
      <c r="M24" s="324"/>
      <c r="N24" s="324"/>
      <c r="O24" s="324"/>
      <c r="P24" s="324"/>
      <c r="Q24" s="324"/>
    </row>
    <row r="25" spans="1:17" x14ac:dyDescent="0.35">
      <c r="A25" s="77"/>
      <c r="B25" s="72" t="s">
        <v>91</v>
      </c>
      <c r="C25" s="56" t="s">
        <v>98</v>
      </c>
      <c r="D25" s="43" t="s">
        <v>325</v>
      </c>
      <c r="E25" s="41"/>
      <c r="F25" s="41"/>
      <c r="G25" s="42"/>
      <c r="H25" s="69" t="s">
        <v>207</v>
      </c>
      <c r="I25" s="52"/>
      <c r="J25" s="324"/>
      <c r="K25" s="324"/>
      <c r="L25" s="324"/>
      <c r="M25" s="324"/>
      <c r="N25" s="324"/>
      <c r="O25" s="324"/>
      <c r="P25" s="324"/>
      <c r="Q25" s="324"/>
    </row>
    <row r="26" spans="1:17" x14ac:dyDescent="0.35">
      <c r="A26" s="77"/>
      <c r="B26" s="62" t="s">
        <v>497</v>
      </c>
      <c r="C26" s="64" t="s">
        <v>115</v>
      </c>
      <c r="D26" s="43" t="s">
        <v>326</v>
      </c>
      <c r="E26" s="41"/>
      <c r="F26" s="41"/>
      <c r="G26" s="42"/>
      <c r="H26" s="70" t="s">
        <v>207</v>
      </c>
      <c r="I26" s="44"/>
      <c r="J26" s="324"/>
      <c r="K26" s="324"/>
      <c r="L26" s="324"/>
      <c r="M26" s="324"/>
      <c r="N26" s="324"/>
      <c r="O26" s="324"/>
      <c r="P26" s="324"/>
      <c r="Q26" s="324"/>
    </row>
    <row r="27" spans="1:17" x14ac:dyDescent="0.35">
      <c r="A27" s="77"/>
      <c r="B27" s="71"/>
      <c r="C27" s="64" t="s">
        <v>129</v>
      </c>
      <c r="D27" s="43" t="s">
        <v>328</v>
      </c>
      <c r="E27" s="41"/>
      <c r="F27" s="41"/>
      <c r="G27" s="42"/>
      <c r="H27" s="70" t="s">
        <v>118</v>
      </c>
      <c r="I27" s="44"/>
      <c r="J27" s="324"/>
      <c r="K27" s="324"/>
      <c r="L27" s="324"/>
      <c r="M27" s="324"/>
      <c r="N27" s="324"/>
      <c r="O27" s="324"/>
      <c r="P27" s="324"/>
      <c r="Q27" s="324"/>
    </row>
    <row r="28" spans="1:17" ht="15" customHeight="1" x14ac:dyDescent="0.35">
      <c r="A28" s="77"/>
      <c r="B28" s="329"/>
      <c r="C28" s="70"/>
      <c r="D28" s="43"/>
      <c r="E28" s="41"/>
      <c r="F28" s="41"/>
      <c r="G28" s="42"/>
      <c r="H28" s="70"/>
      <c r="I28" s="44"/>
      <c r="J28" s="324"/>
      <c r="K28" s="324"/>
      <c r="L28" s="324"/>
      <c r="M28" s="324"/>
      <c r="N28" s="324"/>
      <c r="O28" s="324"/>
      <c r="P28" s="324"/>
      <c r="Q28" s="324"/>
    </row>
    <row r="29" spans="1:17" ht="15" customHeight="1" x14ac:dyDescent="0.35">
      <c r="A29" s="407" t="s">
        <v>500</v>
      </c>
      <c r="B29" s="408"/>
      <c r="C29" s="408"/>
      <c r="D29" s="408"/>
      <c r="E29" s="408"/>
      <c r="F29" s="408"/>
      <c r="G29" s="408"/>
      <c r="H29" s="408"/>
      <c r="I29" s="409"/>
      <c r="J29" s="324"/>
      <c r="K29" s="324"/>
      <c r="L29" s="324"/>
      <c r="M29" s="324"/>
      <c r="N29" s="324"/>
      <c r="O29" s="324"/>
      <c r="P29" s="324"/>
      <c r="Q29" s="324"/>
    </row>
    <row r="30" spans="1:17" x14ac:dyDescent="0.35">
      <c r="A30" s="410"/>
      <c r="B30" s="411"/>
      <c r="C30" s="411"/>
      <c r="D30" s="411"/>
      <c r="E30" s="411"/>
      <c r="F30" s="411"/>
      <c r="G30" s="411"/>
      <c r="H30" s="411"/>
      <c r="I30" s="412"/>
      <c r="J30" s="324"/>
      <c r="K30" s="324"/>
      <c r="L30" s="324"/>
      <c r="M30" s="324"/>
      <c r="N30" s="324"/>
      <c r="O30" s="324"/>
      <c r="P30" s="324"/>
      <c r="Q30" s="324"/>
    </row>
    <row r="31" spans="1:17" ht="9.75" customHeight="1" x14ac:dyDescent="0.35">
      <c r="A31" s="663"/>
      <c r="B31" s="664"/>
      <c r="C31" s="664"/>
      <c r="D31" s="664"/>
      <c r="E31" s="664"/>
      <c r="F31" s="664"/>
      <c r="G31" s="664"/>
      <c r="H31" s="664"/>
      <c r="I31" s="665"/>
      <c r="J31" s="324"/>
      <c r="K31" s="324"/>
      <c r="L31" s="324"/>
      <c r="M31" s="324"/>
      <c r="N31" s="324"/>
      <c r="O31" s="324"/>
      <c r="P31" s="324"/>
      <c r="Q31" s="324"/>
    </row>
    <row r="32" spans="1:17" ht="15.75" customHeight="1" x14ac:dyDescent="0.35">
      <c r="A32" s="77"/>
      <c r="B32" s="90" t="s">
        <v>107</v>
      </c>
      <c r="C32" s="95" t="s">
        <v>99</v>
      </c>
      <c r="D32" s="48" t="s">
        <v>81</v>
      </c>
      <c r="E32" s="49"/>
      <c r="F32" s="49"/>
      <c r="G32" s="51"/>
      <c r="H32" s="211" t="s">
        <v>207</v>
      </c>
      <c r="I32" s="52"/>
      <c r="J32" s="324"/>
      <c r="K32" s="324"/>
      <c r="L32" s="324"/>
      <c r="M32" s="324"/>
      <c r="N32" s="324"/>
      <c r="O32" s="324"/>
      <c r="P32" s="324"/>
      <c r="Q32" s="324"/>
    </row>
    <row r="33" spans="1:17" x14ac:dyDescent="0.35">
      <c r="A33" s="77"/>
      <c r="B33" s="62" t="s">
        <v>498</v>
      </c>
      <c r="C33" s="55" t="s">
        <v>115</v>
      </c>
      <c r="D33" s="43" t="s">
        <v>321</v>
      </c>
      <c r="E33" s="41"/>
      <c r="F33" s="41"/>
      <c r="G33" s="42"/>
      <c r="H33" s="193" t="s">
        <v>118</v>
      </c>
      <c r="I33" s="44"/>
      <c r="J33" s="324"/>
      <c r="K33" s="324"/>
      <c r="L33" s="324"/>
      <c r="M33" s="324"/>
      <c r="N33" s="324"/>
      <c r="O33" s="324"/>
      <c r="P33" s="324"/>
      <c r="Q33" s="324"/>
    </row>
    <row r="34" spans="1:17" ht="15.75" customHeight="1" x14ac:dyDescent="0.35">
      <c r="A34" s="77"/>
      <c r="B34" s="91"/>
      <c r="C34" s="55" t="s">
        <v>115</v>
      </c>
      <c r="D34" s="43" t="s">
        <v>329</v>
      </c>
      <c r="E34" s="41"/>
      <c r="F34" s="41"/>
      <c r="G34" s="42"/>
      <c r="H34" s="193" t="s">
        <v>114</v>
      </c>
      <c r="I34" s="44"/>
      <c r="J34" s="324"/>
      <c r="K34" s="324"/>
      <c r="L34" s="324"/>
      <c r="M34" s="324"/>
      <c r="N34" s="324"/>
      <c r="O34" s="324"/>
      <c r="P34" s="324"/>
      <c r="Q34" s="324"/>
    </row>
    <row r="35" spans="1:17" ht="15.75" customHeight="1" x14ac:dyDescent="0.35">
      <c r="A35" s="77"/>
      <c r="B35" s="92"/>
      <c r="C35" s="63"/>
      <c r="D35" s="46"/>
      <c r="E35" s="50"/>
      <c r="F35" s="50"/>
      <c r="G35" s="45"/>
      <c r="H35" s="194"/>
      <c r="I35" s="47"/>
      <c r="J35" s="324"/>
      <c r="K35" s="324"/>
      <c r="L35" s="324"/>
      <c r="M35" s="324"/>
      <c r="N35" s="324"/>
      <c r="O35" s="324"/>
      <c r="P35" s="324"/>
      <c r="Q35" s="324"/>
    </row>
    <row r="36" spans="1:17" x14ac:dyDescent="0.35">
      <c r="A36" s="77"/>
      <c r="B36" s="89" t="s">
        <v>108</v>
      </c>
      <c r="C36" s="56" t="s">
        <v>97</v>
      </c>
      <c r="D36" s="43" t="s">
        <v>82</v>
      </c>
      <c r="E36" s="41"/>
      <c r="F36" s="41"/>
      <c r="G36" s="42"/>
      <c r="H36" s="69" t="s">
        <v>118</v>
      </c>
      <c r="I36" s="117"/>
      <c r="J36" s="324"/>
      <c r="K36" s="324"/>
      <c r="L36" s="324"/>
      <c r="M36" s="324"/>
      <c r="N36" s="324"/>
      <c r="O36" s="324"/>
      <c r="P36" s="324"/>
      <c r="Q36" s="324"/>
    </row>
    <row r="37" spans="1:17" ht="15.75" customHeight="1" x14ac:dyDescent="0.35">
      <c r="A37" s="77"/>
      <c r="B37" s="68" t="s">
        <v>499</v>
      </c>
      <c r="C37" s="64"/>
      <c r="D37" s="43"/>
      <c r="E37" s="41"/>
      <c r="F37" s="41"/>
      <c r="G37" s="42"/>
      <c r="H37" s="70"/>
      <c r="I37" s="44"/>
      <c r="J37" s="324"/>
      <c r="K37" s="324"/>
      <c r="L37" s="324"/>
      <c r="M37" s="324"/>
      <c r="N37" s="324"/>
      <c r="O37" s="324"/>
      <c r="P37" s="324"/>
      <c r="Q37" s="324"/>
    </row>
    <row r="38" spans="1:17" ht="15.75" customHeight="1" x14ac:dyDescent="0.35">
      <c r="A38" s="77"/>
      <c r="B38" s="91"/>
      <c r="C38" s="64"/>
      <c r="D38" s="43"/>
      <c r="E38" s="41"/>
      <c r="F38" s="41"/>
      <c r="G38" s="42"/>
      <c r="H38" s="70"/>
      <c r="I38" s="44"/>
      <c r="J38" s="324"/>
      <c r="K38" s="324"/>
      <c r="L38" s="324"/>
      <c r="M38" s="324"/>
      <c r="N38" s="324"/>
      <c r="O38" s="324"/>
      <c r="P38" s="324"/>
      <c r="Q38" s="324"/>
    </row>
    <row r="39" spans="1:17" ht="15.75" customHeight="1" x14ac:dyDescent="0.35">
      <c r="A39" s="78"/>
      <c r="B39" s="79"/>
      <c r="C39" s="88"/>
      <c r="D39" s="46"/>
      <c r="E39" s="50"/>
      <c r="F39" s="50"/>
      <c r="G39" s="45"/>
      <c r="H39" s="88"/>
      <c r="I39" s="47"/>
      <c r="J39" s="324"/>
      <c r="K39" s="324"/>
      <c r="L39" s="324"/>
      <c r="M39" s="324"/>
      <c r="N39" s="324"/>
      <c r="O39" s="324"/>
      <c r="P39" s="324"/>
      <c r="Q39" s="324"/>
    </row>
    <row r="40" spans="1:17" ht="15" customHeight="1" x14ac:dyDescent="0.35">
      <c r="A40" s="41"/>
      <c r="B40" s="58"/>
      <c r="C40" s="59"/>
      <c r="D40" s="41"/>
      <c r="E40" s="41"/>
      <c r="F40" s="41"/>
      <c r="G40" s="41"/>
      <c r="H40" s="41"/>
      <c r="I40" s="41"/>
      <c r="J40" s="324"/>
      <c r="K40" s="324"/>
      <c r="L40" s="324"/>
      <c r="M40" s="324"/>
      <c r="N40" s="324"/>
      <c r="O40" s="324"/>
      <c r="P40" s="324"/>
      <c r="Q40" s="324"/>
    </row>
    <row r="41" spans="1:17" ht="15.75" customHeight="1" x14ac:dyDescent="0.35">
      <c r="A41" s="416" t="s">
        <v>102</v>
      </c>
      <c r="B41" s="417"/>
      <c r="C41" s="417"/>
      <c r="D41" s="418"/>
      <c r="E41" s="416" t="s">
        <v>101</v>
      </c>
      <c r="F41" s="417"/>
      <c r="G41" s="416" t="s">
        <v>100</v>
      </c>
      <c r="H41" s="417"/>
      <c r="I41" s="418"/>
      <c r="J41" s="324"/>
      <c r="K41" s="324"/>
      <c r="L41" s="324"/>
      <c r="M41" s="324"/>
      <c r="N41" s="324"/>
      <c r="O41" s="324"/>
      <c r="P41" s="324"/>
      <c r="Q41" s="324"/>
    </row>
    <row r="42" spans="1:17" ht="15.75" customHeight="1" x14ac:dyDescent="0.35">
      <c r="A42" s="687"/>
      <c r="B42" s="688"/>
      <c r="C42" s="688"/>
      <c r="D42" s="689"/>
      <c r="E42" s="419"/>
      <c r="F42" s="420"/>
      <c r="G42" s="687"/>
      <c r="H42" s="688"/>
      <c r="I42" s="689"/>
      <c r="J42" s="324"/>
      <c r="K42" s="324"/>
      <c r="L42" s="324"/>
      <c r="M42" s="324"/>
      <c r="N42" s="324"/>
      <c r="O42" s="324"/>
      <c r="P42" s="324"/>
      <c r="Q42" s="324"/>
    </row>
    <row r="43" spans="1:17" ht="15.75" customHeight="1" x14ac:dyDescent="0.35">
      <c r="A43" s="690" t="s">
        <v>494</v>
      </c>
      <c r="B43" s="691"/>
      <c r="C43" s="691"/>
      <c r="D43" s="692"/>
      <c r="E43" s="693" t="s">
        <v>103</v>
      </c>
      <c r="F43" s="694"/>
      <c r="G43" s="695" t="s">
        <v>104</v>
      </c>
      <c r="H43" s="696"/>
      <c r="I43" s="697"/>
      <c r="J43" s="324"/>
      <c r="K43" s="324"/>
      <c r="L43" s="324"/>
      <c r="M43" s="324"/>
      <c r="N43" s="324"/>
      <c r="O43" s="324"/>
      <c r="P43" s="324"/>
      <c r="Q43" s="324"/>
    </row>
    <row r="44" spans="1:17" ht="15.75" customHeight="1" x14ac:dyDescent="0.35">
      <c r="A44" s="663"/>
      <c r="B44" s="664"/>
      <c r="C44" s="664"/>
      <c r="D44" s="665"/>
      <c r="E44" s="675"/>
      <c r="F44" s="387"/>
      <c r="G44" s="677" t="s">
        <v>105</v>
      </c>
      <c r="H44" s="678"/>
      <c r="I44" s="679"/>
      <c r="J44" s="324"/>
      <c r="K44" s="324"/>
      <c r="L44" s="324"/>
      <c r="M44" s="324"/>
      <c r="N44" s="324"/>
      <c r="O44" s="324"/>
      <c r="P44" s="324"/>
      <c r="Q44" s="324"/>
    </row>
    <row r="45" spans="1:17" ht="15.75" customHeight="1" x14ac:dyDescent="0.35">
      <c r="A45" s="311"/>
      <c r="B45" s="325"/>
      <c r="C45" s="325"/>
      <c r="D45" s="312"/>
      <c r="E45" s="686"/>
      <c r="F45" s="368"/>
      <c r="G45" s="314"/>
      <c r="H45" s="315"/>
      <c r="I45" s="316"/>
      <c r="J45" s="324"/>
      <c r="K45" s="324"/>
      <c r="L45" s="324"/>
      <c r="M45" s="324"/>
      <c r="N45" s="324"/>
      <c r="O45" s="324"/>
      <c r="P45" s="324"/>
      <c r="Q45" s="324"/>
    </row>
    <row r="46" spans="1:17" ht="15.75" customHeight="1" x14ac:dyDescent="0.35">
      <c r="A46" s="672"/>
      <c r="B46" s="673"/>
      <c r="C46" s="673"/>
      <c r="D46" s="674"/>
      <c r="E46" s="675"/>
      <c r="F46" s="387"/>
      <c r="G46" s="680"/>
      <c r="H46" s="681"/>
      <c r="I46" s="682"/>
      <c r="J46" s="324"/>
      <c r="K46" s="324"/>
      <c r="L46" s="324"/>
      <c r="M46" s="324"/>
      <c r="N46" s="324"/>
      <c r="O46" s="324"/>
      <c r="P46" s="324"/>
      <c r="Q46" s="324"/>
    </row>
    <row r="47" spans="1:17" ht="15.75" customHeight="1" x14ac:dyDescent="0.35">
      <c r="A47" s="660"/>
      <c r="B47" s="661"/>
      <c r="C47" s="661"/>
      <c r="D47" s="662"/>
      <c r="E47" s="675"/>
      <c r="F47" s="387"/>
      <c r="G47" s="683" t="s">
        <v>330</v>
      </c>
      <c r="H47" s="684"/>
      <c r="I47" s="685"/>
      <c r="J47" s="324"/>
      <c r="K47" s="324"/>
      <c r="L47" s="324"/>
      <c r="M47" s="324"/>
      <c r="N47" s="324"/>
      <c r="O47" s="324"/>
      <c r="P47" s="324"/>
      <c r="Q47" s="324"/>
    </row>
    <row r="48" spans="1:17" ht="15.75" customHeight="1" x14ac:dyDescent="0.35">
      <c r="A48" s="311"/>
      <c r="B48" s="325"/>
      <c r="C48" s="325"/>
      <c r="D48" s="312"/>
      <c r="E48" s="686"/>
      <c r="F48" s="368"/>
      <c r="G48" s="148"/>
      <c r="H48" s="149"/>
      <c r="I48" s="150"/>
      <c r="J48" s="324"/>
      <c r="K48" s="324"/>
      <c r="L48" s="324"/>
      <c r="M48" s="324"/>
      <c r="N48" s="324"/>
      <c r="O48" s="324"/>
      <c r="P48" s="324"/>
      <c r="Q48" s="324"/>
    </row>
    <row r="49" spans="1:17" ht="15.75" customHeight="1" x14ac:dyDescent="0.35">
      <c r="A49" s="663"/>
      <c r="B49" s="664"/>
      <c r="C49" s="664"/>
      <c r="D49" s="665"/>
      <c r="E49" s="675"/>
      <c r="F49" s="387"/>
      <c r="G49" s="388"/>
      <c r="H49" s="389"/>
      <c r="I49" s="390"/>
      <c r="J49" s="324"/>
      <c r="K49" s="324"/>
      <c r="L49" s="324"/>
      <c r="M49" s="324"/>
      <c r="N49" s="324"/>
      <c r="O49" s="324"/>
      <c r="P49" s="324"/>
      <c r="Q49" s="324"/>
    </row>
    <row r="50" spans="1:17" ht="15.75" customHeight="1" x14ac:dyDescent="0.35">
      <c r="A50" s="672"/>
      <c r="B50" s="673"/>
      <c r="C50" s="673"/>
      <c r="D50" s="674"/>
      <c r="E50" s="676"/>
      <c r="F50" s="373"/>
      <c r="G50" s="374"/>
      <c r="H50" s="375"/>
      <c r="I50" s="376"/>
      <c r="J50" s="324"/>
      <c r="K50" s="324"/>
      <c r="L50" s="324"/>
      <c r="M50" s="324"/>
      <c r="N50" s="324"/>
      <c r="O50" s="324"/>
      <c r="P50" s="324"/>
      <c r="Q50" s="324"/>
    </row>
    <row r="51" spans="1:17" ht="15.75" customHeight="1" x14ac:dyDescent="0.35"/>
    <row r="52" spans="1:17" ht="15.75" customHeight="1" x14ac:dyDescent="0.35"/>
    <row r="53" spans="1:17" ht="15.75" customHeight="1" x14ac:dyDescent="0.35"/>
    <row r="54" spans="1:17" ht="15.75" customHeight="1" x14ac:dyDescent="0.35"/>
    <row r="55" spans="1:17" ht="15.75" customHeight="1" x14ac:dyDescent="0.35"/>
  </sheetData>
  <mergeCells count="37">
    <mergeCell ref="I1:I2"/>
    <mergeCell ref="F1:H2"/>
    <mergeCell ref="I5:I6"/>
    <mergeCell ref="A1:E2"/>
    <mergeCell ref="A14:B15"/>
    <mergeCell ref="E41:F42"/>
    <mergeCell ref="G41:I42"/>
    <mergeCell ref="A43:D43"/>
    <mergeCell ref="E43:F43"/>
    <mergeCell ref="E44:F44"/>
    <mergeCell ref="A41:D42"/>
    <mergeCell ref="G43:I43"/>
    <mergeCell ref="G50:I50"/>
    <mergeCell ref="A44:D44"/>
    <mergeCell ref="A46:D46"/>
    <mergeCell ref="A47:D47"/>
    <mergeCell ref="A49:D49"/>
    <mergeCell ref="E46:F46"/>
    <mergeCell ref="A50:D50"/>
    <mergeCell ref="E47:F47"/>
    <mergeCell ref="E49:F49"/>
    <mergeCell ref="E50:F50"/>
    <mergeCell ref="G44:I44"/>
    <mergeCell ref="G46:I46"/>
    <mergeCell ref="G47:I47"/>
    <mergeCell ref="G49:I49"/>
    <mergeCell ref="E48:F48"/>
    <mergeCell ref="E45:F45"/>
    <mergeCell ref="A16:I16"/>
    <mergeCell ref="A29:I30"/>
    <mergeCell ref="A31:I31"/>
    <mergeCell ref="A5:H6"/>
    <mergeCell ref="A4:B4"/>
    <mergeCell ref="C14:C15"/>
    <mergeCell ref="D14:G15"/>
    <mergeCell ref="I14:I15"/>
    <mergeCell ref="H14:H15"/>
  </mergeCells>
  <phoneticPr fontId="24" type="noConversion"/>
  <pageMargins left="0.25" right="0.25" top="0.75" bottom="0.75" header="0.3" footer="0.3"/>
  <pageSetup paperSize="9" orientation="portrait" r:id="rId1"/>
  <headerFooter>
    <oddHeader>&amp;LGBS SG&amp;CSAIa25-29&amp;RBKU</oddHeader>
    <oddFooter>&amp;R&amp;"Century Gothic,Standard"&amp;9ART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135C-FDBE-4450-BC8C-54FDEBCDFE64}">
  <dimension ref="A1:O56"/>
  <sheetViews>
    <sheetView view="pageLayout" zoomScaleNormal="100" workbookViewId="0">
      <selection activeCell="E48" sqref="E48:F48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6.179687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Kompetenzraster!R7</f>
        <v>45890</v>
      </c>
      <c r="G1" s="439"/>
      <c r="H1" s="440"/>
      <c r="I1" s="444">
        <v>2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7" customHeight="1" x14ac:dyDescent="0.35">
      <c r="A3" s="41"/>
      <c r="B3" s="60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5" t="s">
        <v>84</v>
      </c>
      <c r="B4" s="445"/>
      <c r="C4" s="60"/>
      <c r="D4" s="60"/>
      <c r="E4" s="60"/>
      <c r="F4" s="61"/>
      <c r="G4" s="61"/>
      <c r="H4" s="61"/>
      <c r="I4" s="61"/>
    </row>
    <row r="5" spans="1:11" ht="15.75" customHeight="1" x14ac:dyDescent="0.35">
      <c r="A5" s="721" t="s">
        <v>20</v>
      </c>
      <c r="B5" s="722"/>
      <c r="C5" s="722"/>
      <c r="D5" s="722"/>
      <c r="E5" s="722"/>
      <c r="F5" s="722"/>
      <c r="G5" s="722"/>
      <c r="H5" s="723"/>
      <c r="I5" s="727">
        <v>1.4</v>
      </c>
    </row>
    <row r="6" spans="1:11" ht="15.75" customHeight="1" x14ac:dyDescent="0.35">
      <c r="A6" s="724"/>
      <c r="B6" s="725"/>
      <c r="C6" s="725"/>
      <c r="D6" s="725"/>
      <c r="E6" s="725"/>
      <c r="F6" s="725"/>
      <c r="G6" s="725"/>
      <c r="H6" s="726"/>
      <c r="I6" s="727"/>
    </row>
    <row r="7" spans="1:11" ht="15.75" customHeight="1" x14ac:dyDescent="0.35">
      <c r="A7" s="422" t="s">
        <v>22</v>
      </c>
      <c r="B7" s="423"/>
      <c r="C7" s="423"/>
      <c r="D7" s="423"/>
      <c r="E7" s="423"/>
      <c r="F7" s="423"/>
      <c r="G7" s="423"/>
      <c r="H7" s="424"/>
      <c r="I7" s="428">
        <v>1.1000000000000001</v>
      </c>
    </row>
    <row r="8" spans="1:11" ht="15.75" customHeight="1" x14ac:dyDescent="0.35">
      <c r="A8" s="425"/>
      <c r="B8" s="426"/>
      <c r="C8" s="426"/>
      <c r="D8" s="426"/>
      <c r="E8" s="426"/>
      <c r="F8" s="426"/>
      <c r="G8" s="426"/>
      <c r="H8" s="427"/>
      <c r="I8" s="429"/>
    </row>
    <row r="9" spans="1:11" ht="7" customHeight="1" x14ac:dyDescent="0.35">
      <c r="A9" s="41"/>
      <c r="B9" s="76"/>
      <c r="C9" s="76"/>
      <c r="D9" s="76"/>
      <c r="E9" s="76"/>
      <c r="F9" s="76"/>
      <c r="G9" s="76"/>
      <c r="H9" s="76"/>
      <c r="I9" s="61"/>
    </row>
    <row r="10" spans="1:11" ht="15.75" customHeight="1" x14ac:dyDescent="0.35">
      <c r="A10" s="73" t="s">
        <v>80</v>
      </c>
      <c r="B10" s="74"/>
      <c r="C10" s="74"/>
      <c r="D10" s="74"/>
      <c r="E10" s="74"/>
      <c r="F10" s="74"/>
      <c r="G10" s="74"/>
      <c r="H10" s="74"/>
      <c r="I10" s="75"/>
    </row>
    <row r="11" spans="1:11" ht="15.75" customHeight="1" x14ac:dyDescent="0.35">
      <c r="A11" s="135"/>
      <c r="B11" s="48" t="s">
        <v>109</v>
      </c>
      <c r="C11" s="49"/>
      <c r="D11" s="49"/>
      <c r="E11" s="49"/>
      <c r="F11" s="49"/>
      <c r="G11" s="49"/>
      <c r="H11" s="49"/>
      <c r="I11" s="51"/>
    </row>
    <row r="12" spans="1:11" ht="15.75" customHeight="1" x14ac:dyDescent="0.35">
      <c r="A12" s="137"/>
      <c r="B12" s="46" t="s">
        <v>83</v>
      </c>
      <c r="C12" s="50"/>
      <c r="D12" s="50"/>
      <c r="E12" s="50"/>
      <c r="F12" s="50"/>
      <c r="G12" s="50"/>
      <c r="H12" s="50"/>
      <c r="I12" s="45"/>
    </row>
    <row r="13" spans="1:11" ht="15.75" customHeight="1" x14ac:dyDescent="0.35">
      <c r="A13" s="81"/>
      <c r="B13" s="43" t="s">
        <v>110</v>
      </c>
      <c r="C13" s="41"/>
      <c r="D13" s="41"/>
      <c r="E13" s="41"/>
      <c r="F13" s="41"/>
      <c r="G13" s="41"/>
      <c r="H13" s="41"/>
      <c r="I13" s="42"/>
      <c r="K13" s="84"/>
    </row>
    <row r="14" spans="1:11" ht="15.75" customHeight="1" x14ac:dyDescent="0.35">
      <c r="A14" s="82"/>
      <c r="B14" s="46" t="s">
        <v>111</v>
      </c>
      <c r="C14" s="50"/>
      <c r="D14" s="50"/>
      <c r="E14" s="50"/>
      <c r="F14" s="50"/>
      <c r="G14" s="50"/>
      <c r="H14" s="50"/>
      <c r="I14" s="45"/>
    </row>
    <row r="15" spans="1:11" ht="7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718"/>
      <c r="B18" s="719"/>
      <c r="C18" s="719"/>
      <c r="D18" s="719"/>
      <c r="E18" s="719"/>
      <c r="F18" s="719"/>
      <c r="G18" s="719"/>
      <c r="H18" s="719"/>
      <c r="I18" s="720"/>
    </row>
    <row r="19" spans="1:15" x14ac:dyDescent="0.35">
      <c r="A19" s="80"/>
      <c r="B19" s="327" t="s">
        <v>89</v>
      </c>
      <c r="C19" s="54" t="s">
        <v>98</v>
      </c>
      <c r="D19" s="48" t="s">
        <v>331</v>
      </c>
      <c r="E19" s="49"/>
      <c r="F19" s="49"/>
      <c r="G19" s="40"/>
      <c r="H19" s="65" t="s">
        <v>114</v>
      </c>
      <c r="I19" s="86"/>
    </row>
    <row r="20" spans="1:15" x14ac:dyDescent="0.35">
      <c r="A20" s="80"/>
      <c r="B20" s="62" t="s">
        <v>495</v>
      </c>
      <c r="C20" s="55"/>
      <c r="D20" s="157"/>
      <c r="E20" s="41"/>
      <c r="F20" s="41"/>
      <c r="G20" s="85"/>
      <c r="H20" s="66" t="s">
        <v>114</v>
      </c>
      <c r="I20" s="64"/>
    </row>
    <row r="21" spans="1:15" x14ac:dyDescent="0.35">
      <c r="A21" s="80"/>
      <c r="B21" s="71"/>
      <c r="C21" s="55" t="s">
        <v>129</v>
      </c>
      <c r="D21" s="43" t="s">
        <v>112</v>
      </c>
      <c r="E21" s="41"/>
      <c r="F21" s="41"/>
      <c r="G21" s="85"/>
      <c r="H21" s="66" t="s">
        <v>118</v>
      </c>
      <c r="I21" s="97"/>
    </row>
    <row r="22" spans="1:15" x14ac:dyDescent="0.35">
      <c r="A22" s="80"/>
      <c r="B22" s="328"/>
      <c r="C22" s="63" t="s">
        <v>115</v>
      </c>
      <c r="D22" s="43" t="s">
        <v>116</v>
      </c>
      <c r="E22" s="41"/>
      <c r="F22" s="41"/>
      <c r="G22" s="42"/>
      <c r="H22" s="67" t="s">
        <v>118</v>
      </c>
      <c r="I22" s="57"/>
    </row>
    <row r="23" spans="1:15" x14ac:dyDescent="0.35">
      <c r="A23" s="80"/>
      <c r="B23" s="327" t="s">
        <v>90</v>
      </c>
      <c r="C23" s="95" t="s">
        <v>119</v>
      </c>
      <c r="D23" s="48" t="s">
        <v>113</v>
      </c>
      <c r="E23" s="49"/>
      <c r="F23" s="49"/>
      <c r="G23" s="51"/>
      <c r="H23" s="65"/>
      <c r="I23" s="56"/>
    </row>
    <row r="24" spans="1:15" x14ac:dyDescent="0.35">
      <c r="A24" s="80"/>
      <c r="B24" s="62" t="s">
        <v>496</v>
      </c>
      <c r="C24" s="55"/>
      <c r="D24" s="43"/>
      <c r="E24" s="41"/>
      <c r="F24" s="41"/>
      <c r="G24" s="42"/>
      <c r="H24" s="66" t="s">
        <v>118</v>
      </c>
      <c r="I24" s="64"/>
    </row>
    <row r="25" spans="1:15" x14ac:dyDescent="0.35">
      <c r="A25" s="80"/>
      <c r="B25" s="71"/>
      <c r="C25" s="55" t="s">
        <v>120</v>
      </c>
      <c r="D25" s="43" t="s">
        <v>121</v>
      </c>
      <c r="E25" s="41"/>
      <c r="F25" s="41"/>
      <c r="G25" s="42"/>
      <c r="H25" s="66" t="s">
        <v>118</v>
      </c>
      <c r="I25" s="153"/>
    </row>
    <row r="26" spans="1:15" x14ac:dyDescent="0.35">
      <c r="A26" s="80"/>
      <c r="B26" s="328"/>
      <c r="C26" s="63"/>
      <c r="D26" s="46"/>
      <c r="E26" s="50"/>
      <c r="F26" s="50"/>
      <c r="G26" s="45"/>
      <c r="H26" s="67"/>
      <c r="I26" s="57"/>
    </row>
    <row r="27" spans="1:15" x14ac:dyDescent="0.35">
      <c r="A27" s="80"/>
      <c r="B27" s="72" t="s">
        <v>91</v>
      </c>
      <c r="C27" s="56" t="s">
        <v>119</v>
      </c>
      <c r="D27" s="43" t="s">
        <v>83</v>
      </c>
      <c r="E27" s="41"/>
      <c r="F27" s="41"/>
      <c r="G27" s="42"/>
      <c r="H27" s="56" t="s">
        <v>114</v>
      </c>
      <c r="I27" s="56"/>
    </row>
    <row r="28" spans="1:15" x14ac:dyDescent="0.35">
      <c r="A28" s="80"/>
      <c r="B28" s="62" t="s">
        <v>497</v>
      </c>
      <c r="C28" s="64" t="s">
        <v>120</v>
      </c>
      <c r="D28" s="43" t="s">
        <v>122</v>
      </c>
      <c r="E28" s="41"/>
      <c r="F28" s="41"/>
      <c r="G28" s="42"/>
      <c r="H28" s="64" t="s">
        <v>118</v>
      </c>
      <c r="I28" s="64"/>
    </row>
    <row r="29" spans="1:15" x14ac:dyDescent="0.35">
      <c r="A29" s="80"/>
      <c r="B29" s="71"/>
      <c r="C29" s="64"/>
      <c r="D29" s="43"/>
      <c r="E29" s="41"/>
      <c r="F29" s="41"/>
      <c r="G29" s="42"/>
      <c r="H29" s="64"/>
      <c r="I29" s="64"/>
    </row>
    <row r="30" spans="1:15" ht="15" customHeight="1" x14ac:dyDescent="0.35">
      <c r="A30" s="80"/>
      <c r="B30" s="329"/>
      <c r="C30" s="70"/>
      <c r="D30" s="43"/>
      <c r="E30" s="41"/>
      <c r="F30" s="41"/>
      <c r="G30" s="42"/>
      <c r="H30" s="64"/>
      <c r="I30" s="64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56" t="s">
        <v>115</v>
      </c>
      <c r="D34" s="48" t="s">
        <v>124</v>
      </c>
      <c r="E34" s="49"/>
      <c r="F34" s="49"/>
      <c r="G34" s="51"/>
      <c r="H34" s="56" t="s">
        <v>114</v>
      </c>
      <c r="I34" s="69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64" t="s">
        <v>117</v>
      </c>
      <c r="D35" s="43" t="s">
        <v>125</v>
      </c>
      <c r="E35" s="41"/>
      <c r="F35" s="41"/>
      <c r="G35" s="42"/>
      <c r="H35" s="64" t="s">
        <v>118</v>
      </c>
      <c r="I35" s="70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64"/>
      <c r="D36" s="43"/>
      <c r="E36" s="41"/>
      <c r="F36" s="41"/>
      <c r="G36" s="42"/>
      <c r="H36" s="64"/>
      <c r="I36" s="87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7"/>
      <c r="D37" s="46"/>
      <c r="E37" s="50"/>
      <c r="F37" s="50"/>
      <c r="G37" s="45"/>
      <c r="H37" s="57"/>
      <c r="I37" s="87"/>
    </row>
    <row r="38" spans="1:15" x14ac:dyDescent="0.35">
      <c r="A38" s="81"/>
      <c r="B38" s="89" t="s">
        <v>108</v>
      </c>
      <c r="C38" s="56" t="s">
        <v>115</v>
      </c>
      <c r="D38" s="48" t="s">
        <v>126</v>
      </c>
      <c r="E38" s="49"/>
      <c r="F38" s="49"/>
      <c r="G38" s="51"/>
      <c r="H38" s="56" t="s">
        <v>207</v>
      </c>
      <c r="I38" s="117" t="s">
        <v>123</v>
      </c>
    </row>
    <row r="39" spans="1:15" ht="15.75" customHeight="1" x14ac:dyDescent="0.35">
      <c r="A39" s="81"/>
      <c r="B39" s="68" t="s">
        <v>499</v>
      </c>
      <c r="C39" s="64" t="s">
        <v>98</v>
      </c>
      <c r="D39" s="43" t="s">
        <v>128</v>
      </c>
      <c r="E39" s="41"/>
      <c r="F39" s="41"/>
      <c r="G39" s="42"/>
      <c r="H39" s="64" t="s">
        <v>118</v>
      </c>
      <c r="I39" s="233" t="s">
        <v>127</v>
      </c>
    </row>
    <row r="40" spans="1:15" ht="15.75" customHeight="1" x14ac:dyDescent="0.35">
      <c r="A40" s="81"/>
      <c r="B40" s="91"/>
      <c r="C40" s="64" t="s">
        <v>129</v>
      </c>
      <c r="D40" s="43" t="s">
        <v>130</v>
      </c>
      <c r="E40" s="41"/>
      <c r="F40" s="41"/>
      <c r="G40" s="42"/>
      <c r="H40" s="64" t="s">
        <v>114</v>
      </c>
      <c r="I40" s="70"/>
    </row>
    <row r="41" spans="1:15" ht="15.75" customHeight="1" x14ac:dyDescent="0.35">
      <c r="A41" s="82"/>
      <c r="B41" s="79"/>
      <c r="C41" s="88"/>
      <c r="D41" s="46"/>
      <c r="E41" s="50"/>
      <c r="F41" s="50"/>
      <c r="G41" s="45"/>
      <c r="H41" s="57"/>
      <c r="I41" s="88"/>
    </row>
    <row r="42" spans="1:15" ht="7" customHeight="1" x14ac:dyDescent="0.35">
      <c r="A42" s="41"/>
      <c r="B42" s="58"/>
      <c r="C42" s="59"/>
      <c r="D42" s="41"/>
      <c r="E42" s="41"/>
      <c r="F42" s="41"/>
      <c r="G42" s="41"/>
      <c r="H42" s="41"/>
      <c r="I42" s="41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687"/>
      <c r="B44" s="688"/>
      <c r="C44" s="688"/>
      <c r="D44" s="689"/>
      <c r="E44" s="419"/>
      <c r="F44" s="420"/>
      <c r="G44" s="687"/>
      <c r="H44" s="688"/>
      <c r="I44" s="689"/>
    </row>
    <row r="45" spans="1:15" ht="15.75" customHeight="1" x14ac:dyDescent="0.35">
      <c r="A45" s="713" t="s">
        <v>137</v>
      </c>
      <c r="B45" s="714"/>
      <c r="C45" s="714"/>
      <c r="D45" s="715"/>
      <c r="E45" s="716" t="s">
        <v>103</v>
      </c>
      <c r="F45" s="717"/>
      <c r="G45" s="695" t="s">
        <v>134</v>
      </c>
      <c r="H45" s="696"/>
      <c r="I45" s="697"/>
    </row>
    <row r="46" spans="1:15" ht="15.75" customHeight="1" x14ac:dyDescent="0.35">
      <c r="A46" s="710"/>
      <c r="B46" s="711"/>
      <c r="C46" s="711"/>
      <c r="D46" s="712"/>
      <c r="E46" s="675"/>
      <c r="F46" s="387"/>
      <c r="G46" s="677" t="s">
        <v>135</v>
      </c>
      <c r="H46" s="678"/>
      <c r="I46" s="679"/>
    </row>
    <row r="47" spans="1:15" ht="15.75" customHeight="1" x14ac:dyDescent="0.35">
      <c r="A47" s="710"/>
      <c r="B47" s="711"/>
      <c r="C47" s="711"/>
      <c r="D47" s="712"/>
      <c r="E47" s="675"/>
      <c r="F47" s="387"/>
      <c r="G47" s="677" t="s">
        <v>136</v>
      </c>
      <c r="H47" s="678"/>
      <c r="I47" s="679"/>
    </row>
    <row r="48" spans="1:15" ht="15.75" customHeight="1" x14ac:dyDescent="0.35">
      <c r="A48" s="317"/>
      <c r="B48" s="318"/>
      <c r="C48" s="318"/>
      <c r="D48" s="319"/>
      <c r="E48" s="313"/>
      <c r="F48" s="118"/>
      <c r="G48" s="314"/>
      <c r="H48" s="315"/>
      <c r="I48" s="316"/>
    </row>
    <row r="49" spans="1:9" ht="15.75" customHeight="1" x14ac:dyDescent="0.35">
      <c r="A49" s="707"/>
      <c r="B49" s="708"/>
      <c r="C49" s="708"/>
      <c r="D49" s="709"/>
      <c r="E49" s="675"/>
      <c r="F49" s="387"/>
      <c r="G49" s="683"/>
      <c r="H49" s="684"/>
      <c r="I49" s="685"/>
    </row>
    <row r="50" spans="1:9" ht="15.75" customHeight="1" x14ac:dyDescent="0.35">
      <c r="A50" s="413"/>
      <c r="B50" s="414"/>
      <c r="C50" s="414"/>
      <c r="D50" s="415"/>
      <c r="E50" s="675"/>
      <c r="F50" s="387"/>
      <c r="G50" s="388"/>
      <c r="H50" s="389"/>
      <c r="I50" s="390"/>
    </row>
    <row r="51" spans="1:9" ht="15.75" customHeight="1" x14ac:dyDescent="0.35">
      <c r="A51" s="699"/>
      <c r="B51" s="700"/>
      <c r="C51" s="700"/>
      <c r="D51" s="701"/>
      <c r="E51" s="702"/>
      <c r="F51" s="703"/>
      <c r="G51" s="704"/>
      <c r="H51" s="705"/>
      <c r="I51" s="706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37">
    <mergeCell ref="A18:I18"/>
    <mergeCell ref="A1:E2"/>
    <mergeCell ref="F1:H2"/>
    <mergeCell ref="I1:I2"/>
    <mergeCell ref="A4:B4"/>
    <mergeCell ref="A5:H6"/>
    <mergeCell ref="I5:I6"/>
    <mergeCell ref="A16:B17"/>
    <mergeCell ref="C16:C17"/>
    <mergeCell ref="D16:G17"/>
    <mergeCell ref="H16:H17"/>
    <mergeCell ref="I16:I17"/>
    <mergeCell ref="G47:I47"/>
    <mergeCell ref="A31:I32"/>
    <mergeCell ref="A33:I33"/>
    <mergeCell ref="A43:D44"/>
    <mergeCell ref="E43:F44"/>
    <mergeCell ref="G43:I44"/>
    <mergeCell ref="A45:D45"/>
    <mergeCell ref="E45:F45"/>
    <mergeCell ref="G45:I45"/>
    <mergeCell ref="A51:D51"/>
    <mergeCell ref="E51:F51"/>
    <mergeCell ref="G51:I51"/>
    <mergeCell ref="A7:H8"/>
    <mergeCell ref="I7:I8"/>
    <mergeCell ref="A49:D49"/>
    <mergeCell ref="E49:F49"/>
    <mergeCell ref="G49:I49"/>
    <mergeCell ref="A50:D50"/>
    <mergeCell ref="E50:F50"/>
    <mergeCell ref="G50:I50"/>
    <mergeCell ref="A46:D46"/>
    <mergeCell ref="E46:F46"/>
    <mergeCell ref="G46:I46"/>
    <mergeCell ref="A47:D47"/>
    <mergeCell ref="E47:F47"/>
  </mergeCells>
  <hyperlinks>
    <hyperlink ref="I38" r:id="rId1" location="doc/26821/14" display="https://edu.suissetec.ch/ - doc/26821/14" xr:uid="{90869611-8A87-41F7-A777-F633A2F4A42A}"/>
    <hyperlink ref="I39" r:id="rId2" xr:uid="{2603A59E-B01F-45ED-A98D-831DA31368B7}"/>
  </hyperlinks>
  <pageMargins left="0.25" right="0.25" top="0.75" bottom="0.75" header="0.3" footer="0.3"/>
  <pageSetup paperSize="9" orientation="portrait" r:id="rId3"/>
  <headerFooter>
    <oddHeader>&amp;LGBS SG&amp;CSAIa25-29&amp;RBKU</oddHeader>
    <oddFooter>&amp;R&amp;"Century Gothic,Standard"&amp;9ART &amp;D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C4A2-6845-4B14-A854-62C63C90D7AC}">
  <dimension ref="A1:O56"/>
  <sheetViews>
    <sheetView view="pageLayout" topLeftCell="A32" zoomScaleNormal="100" workbookViewId="0">
      <selection activeCell="E48" sqref="E48:F48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7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Kompetenzraster!R9</f>
        <v>45897</v>
      </c>
      <c r="G1" s="439"/>
      <c r="H1" s="440"/>
      <c r="I1" s="444">
        <v>3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7" customHeight="1" x14ac:dyDescent="0.35">
      <c r="A3" s="41"/>
      <c r="B3" s="60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5" t="s">
        <v>84</v>
      </c>
      <c r="B4" s="445"/>
      <c r="C4" s="60"/>
      <c r="D4" s="60"/>
      <c r="E4" s="60"/>
      <c r="F4" s="61"/>
      <c r="G4" s="61"/>
      <c r="H4" s="61"/>
      <c r="I4" s="61"/>
    </row>
    <row r="5" spans="1:11" ht="15.75" customHeight="1" x14ac:dyDescent="0.35">
      <c r="A5" s="721" t="s">
        <v>20</v>
      </c>
      <c r="B5" s="722"/>
      <c r="C5" s="722"/>
      <c r="D5" s="722"/>
      <c r="E5" s="722"/>
      <c r="F5" s="722"/>
      <c r="G5" s="722"/>
      <c r="H5" s="723"/>
      <c r="I5" s="727">
        <v>1.4</v>
      </c>
    </row>
    <row r="6" spans="1:11" ht="15.75" customHeight="1" x14ac:dyDescent="0.35">
      <c r="A6" s="724"/>
      <c r="B6" s="725"/>
      <c r="C6" s="725"/>
      <c r="D6" s="725"/>
      <c r="E6" s="725"/>
      <c r="F6" s="725"/>
      <c r="G6" s="725"/>
      <c r="H6" s="726"/>
      <c r="I6" s="727"/>
    </row>
    <row r="7" spans="1:11" ht="15.75" customHeight="1" x14ac:dyDescent="0.35">
      <c r="A7" s="422" t="s">
        <v>22</v>
      </c>
      <c r="B7" s="423"/>
      <c r="C7" s="423"/>
      <c r="D7" s="423"/>
      <c r="E7" s="423"/>
      <c r="F7" s="423"/>
      <c r="G7" s="423"/>
      <c r="H7" s="424"/>
      <c r="I7" s="428">
        <v>1.1000000000000001</v>
      </c>
    </row>
    <row r="8" spans="1:11" ht="15.75" customHeight="1" x14ac:dyDescent="0.35">
      <c r="A8" s="425"/>
      <c r="B8" s="426"/>
      <c r="C8" s="426"/>
      <c r="D8" s="426"/>
      <c r="E8" s="426"/>
      <c r="F8" s="426"/>
      <c r="G8" s="426"/>
      <c r="H8" s="427"/>
      <c r="I8" s="429"/>
    </row>
    <row r="9" spans="1:11" ht="7" customHeight="1" x14ac:dyDescent="0.35">
      <c r="A9" s="41"/>
      <c r="B9" s="76"/>
      <c r="C9" s="76"/>
      <c r="D9" s="76"/>
      <c r="E9" s="76"/>
      <c r="F9" s="76"/>
      <c r="G9" s="76"/>
      <c r="H9" s="76"/>
      <c r="I9" s="61"/>
    </row>
    <row r="10" spans="1:11" ht="15.75" customHeight="1" x14ac:dyDescent="0.35">
      <c r="A10" s="73" t="s">
        <v>80</v>
      </c>
      <c r="B10" s="74"/>
      <c r="C10" s="74"/>
      <c r="D10" s="74"/>
      <c r="E10" s="74"/>
      <c r="F10" s="74"/>
      <c r="G10" s="74"/>
      <c r="H10" s="74"/>
      <c r="I10" s="75"/>
    </row>
    <row r="11" spans="1:11" ht="15.75" customHeight="1" x14ac:dyDescent="0.35">
      <c r="A11" s="135"/>
      <c r="B11" s="83" t="s">
        <v>131</v>
      </c>
      <c r="C11" s="216"/>
      <c r="D11" s="216"/>
      <c r="E11" s="216"/>
      <c r="F11" s="216"/>
      <c r="G11" s="216"/>
      <c r="H11" s="216"/>
      <c r="I11" s="217"/>
    </row>
    <row r="12" spans="1:11" ht="15.75" customHeight="1" x14ac:dyDescent="0.35">
      <c r="A12" s="137"/>
      <c r="B12" s="80" t="s">
        <v>132</v>
      </c>
      <c r="C12" s="218"/>
      <c r="D12" s="218"/>
      <c r="E12" s="218"/>
      <c r="F12" s="218"/>
      <c r="G12" s="218"/>
      <c r="H12" s="218"/>
      <c r="I12" s="219"/>
    </row>
    <row r="13" spans="1:11" ht="15.75" customHeight="1" x14ac:dyDescent="0.35">
      <c r="A13" s="81"/>
      <c r="B13" s="220" t="s">
        <v>133</v>
      </c>
      <c r="C13" s="221"/>
      <c r="D13" s="221"/>
      <c r="E13" s="221"/>
      <c r="F13" s="221"/>
      <c r="G13" s="221"/>
      <c r="H13" s="221"/>
      <c r="I13" s="222"/>
      <c r="K13" s="84"/>
    </row>
    <row r="14" spans="1:11" ht="15.75" customHeight="1" x14ac:dyDescent="0.35">
      <c r="A14" s="82"/>
      <c r="B14" s="82" t="s">
        <v>111</v>
      </c>
      <c r="C14" s="223"/>
      <c r="D14" s="223"/>
      <c r="E14" s="223"/>
      <c r="F14" s="223"/>
      <c r="G14" s="223"/>
      <c r="H14" s="223"/>
      <c r="I14" s="224"/>
    </row>
    <row r="15" spans="1:11" ht="7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718"/>
      <c r="B18" s="719"/>
      <c r="C18" s="719"/>
      <c r="D18" s="719"/>
      <c r="E18" s="719"/>
      <c r="F18" s="719"/>
      <c r="G18" s="719"/>
      <c r="H18" s="719"/>
      <c r="I18" s="720"/>
    </row>
    <row r="19" spans="1:15" x14ac:dyDescent="0.35">
      <c r="A19" s="80"/>
      <c r="B19" s="327" t="s">
        <v>89</v>
      </c>
      <c r="C19" s="54" t="s">
        <v>115</v>
      </c>
      <c r="D19" s="48" t="s">
        <v>112</v>
      </c>
      <c r="E19" s="49"/>
      <c r="F19" s="49"/>
      <c r="G19" s="40"/>
      <c r="H19" s="65" t="s">
        <v>114</v>
      </c>
      <c r="I19" s="86"/>
    </row>
    <row r="20" spans="1:15" x14ac:dyDescent="0.35">
      <c r="A20" s="80"/>
      <c r="B20" s="62" t="s">
        <v>495</v>
      </c>
      <c r="C20" s="55" t="s">
        <v>129</v>
      </c>
      <c r="D20" s="43" t="s">
        <v>332</v>
      </c>
      <c r="E20" s="41"/>
      <c r="F20" s="41"/>
      <c r="G20" s="85"/>
      <c r="H20" s="66" t="s">
        <v>114</v>
      </c>
      <c r="I20" s="64"/>
    </row>
    <row r="21" spans="1:15" x14ac:dyDescent="0.35">
      <c r="A21" s="80"/>
      <c r="B21" s="71"/>
      <c r="C21" s="55" t="s">
        <v>98</v>
      </c>
      <c r="D21" s="43" t="s">
        <v>333</v>
      </c>
      <c r="E21" s="41"/>
      <c r="F21" s="41"/>
      <c r="G21" s="85"/>
      <c r="H21" s="66" t="s">
        <v>207</v>
      </c>
      <c r="I21" s="97"/>
    </row>
    <row r="22" spans="1:15" x14ac:dyDescent="0.35">
      <c r="A22" s="80"/>
      <c r="B22" s="328"/>
      <c r="C22" s="63"/>
      <c r="D22" s="43"/>
      <c r="E22" s="41"/>
      <c r="F22" s="41"/>
      <c r="G22" s="42"/>
      <c r="H22" s="67"/>
      <c r="I22" s="57"/>
    </row>
    <row r="23" spans="1:15" x14ac:dyDescent="0.35">
      <c r="A23" s="80"/>
      <c r="B23" s="327" t="s">
        <v>90</v>
      </c>
      <c r="C23" s="95" t="s">
        <v>115</v>
      </c>
      <c r="D23" s="48" t="s">
        <v>334</v>
      </c>
      <c r="E23" s="49"/>
      <c r="F23" s="49"/>
      <c r="G23" s="51"/>
      <c r="H23" s="65" t="s">
        <v>118</v>
      </c>
      <c r="I23" s="56"/>
    </row>
    <row r="24" spans="1:15" x14ac:dyDescent="0.35">
      <c r="A24" s="80"/>
      <c r="B24" s="62" t="s">
        <v>496</v>
      </c>
      <c r="C24" s="55" t="s">
        <v>119</v>
      </c>
      <c r="D24" s="43" t="s">
        <v>335</v>
      </c>
      <c r="E24" s="41"/>
      <c r="F24" s="41"/>
      <c r="G24" s="42"/>
      <c r="H24" s="66" t="s">
        <v>114</v>
      </c>
      <c r="I24" s="64"/>
    </row>
    <row r="25" spans="1:15" x14ac:dyDescent="0.35">
      <c r="A25" s="80"/>
      <c r="B25" s="71"/>
      <c r="C25" s="55" t="s">
        <v>144</v>
      </c>
      <c r="D25" s="43" t="s">
        <v>336</v>
      </c>
      <c r="E25" s="41"/>
      <c r="F25" s="41"/>
      <c r="G25" s="42"/>
      <c r="H25" s="66" t="s">
        <v>118</v>
      </c>
      <c r="I25" s="153"/>
    </row>
    <row r="26" spans="1:15" x14ac:dyDescent="0.35">
      <c r="A26" s="80"/>
      <c r="B26" s="328"/>
      <c r="C26" s="63"/>
      <c r="D26" s="46"/>
      <c r="E26" s="50"/>
      <c r="F26" s="50"/>
      <c r="G26" s="45"/>
      <c r="H26" s="67"/>
      <c r="I26" s="57"/>
    </row>
    <row r="27" spans="1:15" x14ac:dyDescent="0.35">
      <c r="A27" s="80"/>
      <c r="B27" s="72" t="s">
        <v>91</v>
      </c>
      <c r="C27" s="56" t="s">
        <v>115</v>
      </c>
      <c r="D27" s="43" t="s">
        <v>337</v>
      </c>
      <c r="E27" s="41"/>
      <c r="F27" s="41"/>
      <c r="G27" s="42"/>
      <c r="H27" s="56" t="s">
        <v>207</v>
      </c>
      <c r="I27" s="215" t="s">
        <v>341</v>
      </c>
    </row>
    <row r="28" spans="1:15" x14ac:dyDescent="0.35">
      <c r="A28" s="80"/>
      <c r="B28" s="62" t="s">
        <v>497</v>
      </c>
      <c r="C28" s="64" t="s">
        <v>98</v>
      </c>
      <c r="D28" s="43" t="s">
        <v>338</v>
      </c>
      <c r="E28" s="41"/>
      <c r="F28" s="41"/>
      <c r="G28" s="42"/>
      <c r="H28" s="64" t="s">
        <v>118</v>
      </c>
      <c r="I28" s="64"/>
    </row>
    <row r="29" spans="1:15" x14ac:dyDescent="0.35">
      <c r="A29" s="80"/>
      <c r="B29" s="71"/>
      <c r="C29" s="64" t="s">
        <v>115</v>
      </c>
      <c r="D29" s="43" t="s">
        <v>339</v>
      </c>
      <c r="E29" s="41"/>
      <c r="F29" s="41"/>
      <c r="G29" s="42"/>
      <c r="H29" s="64" t="s">
        <v>118</v>
      </c>
      <c r="I29" s="93" t="s">
        <v>123</v>
      </c>
    </row>
    <row r="30" spans="1:15" ht="15" customHeight="1" x14ac:dyDescent="0.35">
      <c r="A30" s="80"/>
      <c r="B30" s="329"/>
      <c r="C30" s="70" t="s">
        <v>119</v>
      </c>
      <c r="D30" s="43" t="s">
        <v>340</v>
      </c>
      <c r="E30" s="41"/>
      <c r="F30" s="41"/>
      <c r="G30" s="42"/>
      <c r="H30" s="64" t="s">
        <v>118</v>
      </c>
      <c r="I30" s="57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56" t="s">
        <v>115</v>
      </c>
      <c r="D34" s="48" t="s">
        <v>124</v>
      </c>
      <c r="E34" s="49"/>
      <c r="F34" s="49"/>
      <c r="G34" s="51"/>
      <c r="H34" s="56" t="s">
        <v>114</v>
      </c>
      <c r="I34" s="69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64" t="s">
        <v>129</v>
      </c>
      <c r="D35" s="43" t="s">
        <v>350</v>
      </c>
      <c r="E35" s="41"/>
      <c r="F35" s="41"/>
      <c r="G35" s="42"/>
      <c r="H35" s="64" t="s">
        <v>114</v>
      </c>
      <c r="I35" s="70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64" t="s">
        <v>98</v>
      </c>
      <c r="D36" s="43" t="s">
        <v>342</v>
      </c>
      <c r="E36" s="41"/>
      <c r="F36" s="41"/>
      <c r="G36" s="42"/>
      <c r="H36" s="64" t="s">
        <v>118</v>
      </c>
      <c r="I36" s="87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7"/>
      <c r="D37" s="46"/>
      <c r="E37" s="50"/>
      <c r="F37" s="50"/>
      <c r="G37" s="45"/>
      <c r="H37" s="57"/>
      <c r="I37" s="87"/>
    </row>
    <row r="38" spans="1:15" x14ac:dyDescent="0.35">
      <c r="A38" s="81"/>
      <c r="B38" s="89" t="s">
        <v>108</v>
      </c>
      <c r="C38" s="56" t="s">
        <v>115</v>
      </c>
      <c r="D38" s="48" t="s">
        <v>343</v>
      </c>
      <c r="E38" s="49"/>
      <c r="F38" s="49"/>
      <c r="G38" s="51"/>
      <c r="H38" s="56" t="s">
        <v>114</v>
      </c>
      <c r="I38" s="117"/>
    </row>
    <row r="39" spans="1:15" ht="15.75" customHeight="1" x14ac:dyDescent="0.35">
      <c r="A39" s="81"/>
      <c r="B39" s="68" t="s">
        <v>499</v>
      </c>
      <c r="C39" s="64" t="s">
        <v>129</v>
      </c>
      <c r="D39" s="43" t="s">
        <v>344</v>
      </c>
      <c r="E39" s="41"/>
      <c r="F39" s="41"/>
      <c r="G39" s="42"/>
      <c r="H39" s="64" t="s">
        <v>207</v>
      </c>
      <c r="I39" s="214"/>
    </row>
    <row r="40" spans="1:15" ht="15.75" customHeight="1" x14ac:dyDescent="0.35">
      <c r="A40" s="81"/>
      <c r="B40" s="91"/>
      <c r="C40" s="64" t="s">
        <v>115</v>
      </c>
      <c r="D40" s="43" t="s">
        <v>345</v>
      </c>
      <c r="E40" s="41"/>
      <c r="F40" s="41"/>
      <c r="G40" s="42"/>
      <c r="H40" s="64" t="s">
        <v>118</v>
      </c>
      <c r="I40" s="70"/>
    </row>
    <row r="41" spans="1:15" ht="15.75" customHeight="1" x14ac:dyDescent="0.35">
      <c r="A41" s="82"/>
      <c r="B41" s="79"/>
      <c r="C41" s="88" t="s">
        <v>115</v>
      </c>
      <c r="D41" s="46" t="s">
        <v>346</v>
      </c>
      <c r="E41" s="50"/>
      <c r="F41" s="50"/>
      <c r="G41" s="45"/>
      <c r="H41" s="57" t="s">
        <v>114</v>
      </c>
      <c r="I41" s="88"/>
    </row>
    <row r="42" spans="1:15" ht="7" customHeight="1" x14ac:dyDescent="0.35">
      <c r="A42" s="41"/>
      <c r="B42" s="58"/>
      <c r="C42" s="59"/>
      <c r="D42" s="41"/>
      <c r="E42" s="41"/>
      <c r="F42" s="41"/>
      <c r="G42" s="41"/>
      <c r="H42" s="41"/>
      <c r="I42" s="41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687"/>
      <c r="B44" s="688"/>
      <c r="C44" s="688"/>
      <c r="D44" s="689"/>
      <c r="E44" s="419"/>
      <c r="F44" s="420"/>
      <c r="G44" s="687"/>
      <c r="H44" s="688"/>
      <c r="I44" s="689"/>
    </row>
    <row r="45" spans="1:15" ht="15.75" customHeight="1" x14ac:dyDescent="0.35">
      <c r="A45" s="713" t="s">
        <v>352</v>
      </c>
      <c r="B45" s="714"/>
      <c r="C45" s="714"/>
      <c r="D45" s="715"/>
      <c r="E45" s="716" t="s">
        <v>103</v>
      </c>
      <c r="F45" s="717"/>
      <c r="G45" s="695" t="s">
        <v>347</v>
      </c>
      <c r="H45" s="696"/>
      <c r="I45" s="697"/>
    </row>
    <row r="46" spans="1:15" ht="15.75" customHeight="1" x14ac:dyDescent="0.35">
      <c r="A46" s="710"/>
      <c r="B46" s="711"/>
      <c r="C46" s="711"/>
      <c r="D46" s="712"/>
      <c r="E46" s="675"/>
      <c r="F46" s="387"/>
      <c r="G46" s="677" t="s">
        <v>348</v>
      </c>
      <c r="H46" s="678"/>
      <c r="I46" s="679"/>
    </row>
    <row r="47" spans="1:15" ht="15.75" customHeight="1" x14ac:dyDescent="0.35">
      <c r="A47" s="317"/>
      <c r="B47" s="318"/>
      <c r="C47" s="318"/>
      <c r="D47" s="319"/>
      <c r="E47" s="686"/>
      <c r="F47" s="368"/>
      <c r="G47" s="314"/>
      <c r="H47" s="315"/>
      <c r="I47" s="316"/>
    </row>
    <row r="48" spans="1:15" ht="15.75" customHeight="1" x14ac:dyDescent="0.35">
      <c r="A48" s="710"/>
      <c r="B48" s="711"/>
      <c r="C48" s="711"/>
      <c r="D48" s="712"/>
      <c r="E48" s="675"/>
      <c r="F48" s="387"/>
      <c r="G48" s="677"/>
      <c r="H48" s="678"/>
      <c r="I48" s="679"/>
    </row>
    <row r="49" spans="1:9" ht="15.75" customHeight="1" x14ac:dyDescent="0.35">
      <c r="A49" s="383" t="s">
        <v>351</v>
      </c>
      <c r="B49" s="728"/>
      <c r="C49" s="728"/>
      <c r="D49" s="729"/>
      <c r="E49" s="675"/>
      <c r="F49" s="387"/>
      <c r="G49" s="683" t="s">
        <v>349</v>
      </c>
      <c r="H49" s="684"/>
      <c r="I49" s="685"/>
    </row>
    <row r="50" spans="1:9" ht="15.75" customHeight="1" x14ac:dyDescent="0.35">
      <c r="A50" s="413"/>
      <c r="B50" s="414"/>
      <c r="C50" s="414"/>
      <c r="D50" s="415"/>
      <c r="E50" s="675"/>
      <c r="F50" s="387"/>
      <c r="G50" s="388"/>
      <c r="H50" s="389"/>
      <c r="I50" s="390"/>
    </row>
    <row r="51" spans="1:9" ht="15.75" customHeight="1" x14ac:dyDescent="0.35">
      <c r="A51" s="699"/>
      <c r="B51" s="700"/>
      <c r="C51" s="700"/>
      <c r="D51" s="701"/>
      <c r="E51" s="702"/>
      <c r="F51" s="703"/>
      <c r="G51" s="704"/>
      <c r="H51" s="705"/>
      <c r="I51" s="706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38">
    <mergeCell ref="A51:D51"/>
    <mergeCell ref="E51:F51"/>
    <mergeCell ref="G51:I51"/>
    <mergeCell ref="A49:D49"/>
    <mergeCell ref="E49:F49"/>
    <mergeCell ref="G49:I49"/>
    <mergeCell ref="A50:D50"/>
    <mergeCell ref="E50:F50"/>
    <mergeCell ref="G50:I50"/>
    <mergeCell ref="A46:D46"/>
    <mergeCell ref="E46:F46"/>
    <mergeCell ref="G46:I46"/>
    <mergeCell ref="A48:D48"/>
    <mergeCell ref="E48:F48"/>
    <mergeCell ref="G48:I48"/>
    <mergeCell ref="E47:F47"/>
    <mergeCell ref="A33:I33"/>
    <mergeCell ref="A43:D44"/>
    <mergeCell ref="E43:F44"/>
    <mergeCell ref="G43:I44"/>
    <mergeCell ref="A45:D45"/>
    <mergeCell ref="E45:F45"/>
    <mergeCell ref="G45:I45"/>
    <mergeCell ref="A1:E2"/>
    <mergeCell ref="F1:H2"/>
    <mergeCell ref="I1:I2"/>
    <mergeCell ref="A4:B4"/>
    <mergeCell ref="A5:H6"/>
    <mergeCell ref="I5:I6"/>
    <mergeCell ref="A18:I18"/>
    <mergeCell ref="A31:I32"/>
    <mergeCell ref="A7:H8"/>
    <mergeCell ref="I7:I8"/>
    <mergeCell ref="A16:B17"/>
    <mergeCell ref="C16:C17"/>
    <mergeCell ref="D16:G17"/>
    <mergeCell ref="H16:H17"/>
    <mergeCell ref="I16:I17"/>
  </mergeCells>
  <hyperlinks>
    <hyperlink ref="I27" r:id="rId1" display="W3" xr:uid="{8470C3D1-B656-4C82-9E7A-C4AE54FEFBCA}"/>
    <hyperlink ref="I29" r:id="rId2" location="doc/23461/10" display="https://edu.suissetec.ch/ - doc/23461/10" xr:uid="{7425FC81-C19E-483A-B23B-9A4B11E44CB0}"/>
  </hyperlinks>
  <pageMargins left="0.25" right="0.25" top="0.75" bottom="0.75" header="0.3" footer="0.3"/>
  <pageSetup paperSize="9" orientation="portrait" r:id="rId3"/>
  <headerFooter>
    <oddHeader>&amp;LGBS SG&amp;CSAIa25-29&amp;RBKU</oddHeader>
  </headerFooter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D440-7513-4C3D-9865-2F824DF3799E}">
  <dimension ref="A1:O56"/>
  <sheetViews>
    <sheetView view="pageLayout" zoomScale="85" zoomScaleNormal="100" zoomScalePageLayoutView="85" workbookViewId="0">
      <selection activeCell="E48" sqref="E48:F48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6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Kompetenzraster!R11</f>
        <v>45904</v>
      </c>
      <c r="G1" s="439"/>
      <c r="H1" s="440"/>
      <c r="I1" s="444">
        <v>4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7" customHeight="1" x14ac:dyDescent="0.35">
      <c r="A3" s="41"/>
      <c r="B3" s="60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5" t="s">
        <v>84</v>
      </c>
      <c r="B4" s="445"/>
      <c r="C4" s="60"/>
      <c r="D4" s="60"/>
      <c r="E4" s="60"/>
      <c r="F4" s="61"/>
      <c r="G4" s="61"/>
      <c r="H4" s="61"/>
      <c r="I4" s="61"/>
    </row>
    <row r="5" spans="1:11" ht="15.75" customHeight="1" x14ac:dyDescent="0.35">
      <c r="A5" s="721" t="s">
        <v>20</v>
      </c>
      <c r="B5" s="722"/>
      <c r="C5" s="722"/>
      <c r="D5" s="722"/>
      <c r="E5" s="722"/>
      <c r="F5" s="722"/>
      <c r="G5" s="722"/>
      <c r="H5" s="723"/>
      <c r="I5" s="727">
        <v>1.4</v>
      </c>
    </row>
    <row r="6" spans="1:11" ht="15.75" customHeight="1" x14ac:dyDescent="0.35">
      <c r="A6" s="724"/>
      <c r="B6" s="725"/>
      <c r="C6" s="725"/>
      <c r="D6" s="725"/>
      <c r="E6" s="725"/>
      <c r="F6" s="725"/>
      <c r="G6" s="725"/>
      <c r="H6" s="726"/>
      <c r="I6" s="727"/>
    </row>
    <row r="7" spans="1:11" ht="15.75" customHeight="1" x14ac:dyDescent="0.35">
      <c r="A7" s="422" t="s">
        <v>22</v>
      </c>
      <c r="B7" s="423"/>
      <c r="C7" s="423"/>
      <c r="D7" s="423"/>
      <c r="E7" s="423"/>
      <c r="F7" s="423"/>
      <c r="G7" s="423"/>
      <c r="H7" s="424"/>
      <c r="I7" s="428">
        <v>1.1000000000000001</v>
      </c>
    </row>
    <row r="8" spans="1:11" ht="15.75" customHeight="1" x14ac:dyDescent="0.35">
      <c r="A8" s="425"/>
      <c r="B8" s="426"/>
      <c r="C8" s="426"/>
      <c r="D8" s="426"/>
      <c r="E8" s="426"/>
      <c r="F8" s="426"/>
      <c r="G8" s="426"/>
      <c r="H8" s="427"/>
      <c r="I8" s="429"/>
    </row>
    <row r="9" spans="1:11" ht="7" customHeight="1" x14ac:dyDescent="0.35">
      <c r="A9" s="41"/>
      <c r="B9" s="76"/>
      <c r="C9" s="76"/>
      <c r="D9" s="76"/>
      <c r="E9" s="76"/>
      <c r="F9" s="76"/>
      <c r="G9" s="76"/>
      <c r="H9" s="76"/>
      <c r="I9" s="61"/>
    </row>
    <row r="10" spans="1:11" ht="15.75" customHeight="1" x14ac:dyDescent="0.35">
      <c r="A10" s="73" t="s">
        <v>80</v>
      </c>
      <c r="B10" s="74"/>
      <c r="C10" s="74"/>
      <c r="D10" s="74"/>
      <c r="E10" s="74"/>
      <c r="F10" s="74"/>
      <c r="G10" s="74"/>
      <c r="H10" s="74"/>
      <c r="I10" s="75"/>
    </row>
    <row r="11" spans="1:11" ht="15.75" customHeight="1" x14ac:dyDescent="0.35">
      <c r="A11" s="83"/>
      <c r="B11" s="48" t="s">
        <v>131</v>
      </c>
      <c r="C11" s="49"/>
      <c r="D11" s="49"/>
      <c r="E11" s="49"/>
      <c r="F11" s="49"/>
      <c r="G11" s="49"/>
      <c r="H11" s="49"/>
      <c r="I11" s="51"/>
    </row>
    <row r="12" spans="1:11" ht="15.75" customHeight="1" x14ac:dyDescent="0.35">
      <c r="A12" s="80"/>
      <c r="B12" s="43" t="s">
        <v>132</v>
      </c>
      <c r="C12" s="41"/>
      <c r="D12" s="41"/>
      <c r="E12" s="41"/>
      <c r="F12" s="41"/>
      <c r="G12" s="41"/>
      <c r="H12" s="41"/>
      <c r="I12" s="42"/>
    </row>
    <row r="13" spans="1:11" ht="15.75" customHeight="1" x14ac:dyDescent="0.35">
      <c r="A13" s="81"/>
      <c r="B13" s="43" t="s">
        <v>133</v>
      </c>
      <c r="C13" s="41"/>
      <c r="D13" s="41"/>
      <c r="E13" s="41"/>
      <c r="F13" s="41"/>
      <c r="G13" s="41"/>
      <c r="H13" s="41"/>
      <c r="I13" s="42"/>
      <c r="K13" s="100"/>
    </row>
    <row r="14" spans="1:11" ht="15.75" customHeight="1" x14ac:dyDescent="0.35">
      <c r="A14" s="82"/>
      <c r="B14" s="46" t="s">
        <v>111</v>
      </c>
      <c r="C14" s="50"/>
      <c r="D14" s="50"/>
      <c r="E14" s="50"/>
      <c r="F14" s="50"/>
      <c r="G14" s="50"/>
      <c r="H14" s="50"/>
      <c r="I14" s="45"/>
    </row>
    <row r="15" spans="1:11" ht="7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718"/>
      <c r="B18" s="719"/>
      <c r="C18" s="719"/>
      <c r="D18" s="719"/>
      <c r="E18" s="719"/>
      <c r="F18" s="719"/>
      <c r="G18" s="719"/>
      <c r="H18" s="719"/>
      <c r="I18" s="720"/>
    </row>
    <row r="19" spans="1:15" x14ac:dyDescent="0.35">
      <c r="A19" s="80"/>
      <c r="B19" s="327" t="s">
        <v>89</v>
      </c>
      <c r="C19" s="54" t="s">
        <v>119</v>
      </c>
      <c r="D19" s="48" t="s">
        <v>143</v>
      </c>
      <c r="E19" s="49"/>
      <c r="F19" s="49"/>
      <c r="G19" s="40"/>
      <c r="H19" s="65" t="s">
        <v>114</v>
      </c>
      <c r="I19" s="86"/>
    </row>
    <row r="20" spans="1:15" x14ac:dyDescent="0.35">
      <c r="A20" s="80"/>
      <c r="B20" s="62" t="s">
        <v>495</v>
      </c>
      <c r="C20" s="55" t="s">
        <v>144</v>
      </c>
      <c r="D20" s="43" t="s">
        <v>361</v>
      </c>
      <c r="E20" s="41"/>
      <c r="F20" s="41"/>
      <c r="G20" s="85"/>
      <c r="H20" s="66" t="s">
        <v>114</v>
      </c>
      <c r="I20" s="64"/>
    </row>
    <row r="21" spans="1:15" x14ac:dyDescent="0.35">
      <c r="A21" s="80"/>
      <c r="B21" s="71"/>
      <c r="C21" s="55" t="s">
        <v>115</v>
      </c>
      <c r="D21" s="43" t="s">
        <v>353</v>
      </c>
      <c r="E21" s="41"/>
      <c r="F21" s="41"/>
      <c r="G21" s="42"/>
      <c r="H21" s="66" t="s">
        <v>118</v>
      </c>
      <c r="I21" s="97"/>
    </row>
    <row r="22" spans="1:15" x14ac:dyDescent="0.35">
      <c r="A22" s="80"/>
      <c r="B22" s="328"/>
      <c r="C22" s="63"/>
      <c r="D22" s="46"/>
      <c r="E22" s="50"/>
      <c r="F22" s="50"/>
      <c r="G22" s="45"/>
      <c r="H22" s="67"/>
      <c r="I22" s="98"/>
    </row>
    <row r="23" spans="1:15" x14ac:dyDescent="0.35">
      <c r="A23" s="80"/>
      <c r="B23" s="327" t="s">
        <v>90</v>
      </c>
      <c r="C23" s="64" t="s">
        <v>115</v>
      </c>
      <c r="D23" s="48" t="s">
        <v>206</v>
      </c>
      <c r="E23" s="49"/>
      <c r="F23" s="49"/>
      <c r="G23" s="51"/>
      <c r="H23" s="56" t="s">
        <v>114</v>
      </c>
      <c r="I23" s="86"/>
    </row>
    <row r="24" spans="1:15" x14ac:dyDescent="0.35">
      <c r="A24" s="80"/>
      <c r="B24" s="62" t="s">
        <v>496</v>
      </c>
      <c r="C24" s="64" t="s">
        <v>129</v>
      </c>
      <c r="D24" s="43" t="s">
        <v>354</v>
      </c>
      <c r="E24" s="41"/>
      <c r="F24" s="41"/>
      <c r="G24" s="42"/>
      <c r="H24" s="64" t="s">
        <v>118</v>
      </c>
      <c r="I24" s="84" t="s">
        <v>123</v>
      </c>
      <c r="K24" s="101"/>
    </row>
    <row r="25" spans="1:15" x14ac:dyDescent="0.35">
      <c r="A25" s="80"/>
      <c r="B25" s="71"/>
      <c r="C25" s="64" t="s">
        <v>98</v>
      </c>
      <c r="D25" s="43" t="s">
        <v>355</v>
      </c>
      <c r="E25" s="41"/>
      <c r="F25" s="41"/>
      <c r="G25" s="42"/>
      <c r="H25" s="64"/>
      <c r="I25" s="97"/>
      <c r="K25" s="102"/>
    </row>
    <row r="26" spans="1:15" x14ac:dyDescent="0.35">
      <c r="A26" s="80"/>
      <c r="B26" s="328"/>
      <c r="C26" s="57"/>
      <c r="D26" s="46"/>
      <c r="E26" s="50"/>
      <c r="F26" s="50"/>
      <c r="G26" s="45"/>
      <c r="H26" s="57"/>
      <c r="I26" s="98"/>
    </row>
    <row r="27" spans="1:15" x14ac:dyDescent="0.35">
      <c r="A27" s="80"/>
      <c r="B27" s="72" t="s">
        <v>91</v>
      </c>
      <c r="C27" s="56" t="s">
        <v>97</v>
      </c>
      <c r="D27" s="43" t="s">
        <v>356</v>
      </c>
      <c r="E27" s="41"/>
      <c r="F27" s="41"/>
      <c r="G27" s="51"/>
      <c r="H27" s="56" t="s">
        <v>118</v>
      </c>
      <c r="I27" s="56"/>
    </row>
    <row r="28" spans="1:15" x14ac:dyDescent="0.35">
      <c r="A28" s="80"/>
      <c r="B28" s="62" t="s">
        <v>497</v>
      </c>
      <c r="C28" s="64"/>
      <c r="D28" s="43"/>
      <c r="E28" s="41"/>
      <c r="F28" s="41"/>
      <c r="G28" s="42"/>
      <c r="H28" s="64"/>
      <c r="I28" s="120"/>
    </row>
    <row r="29" spans="1:15" x14ac:dyDescent="0.35">
      <c r="A29" s="80"/>
      <c r="B29" s="71"/>
      <c r="C29" s="64"/>
      <c r="D29" s="43"/>
      <c r="E29" s="41"/>
      <c r="F29" s="41"/>
      <c r="G29" s="42"/>
      <c r="H29" s="64"/>
      <c r="I29" s="93"/>
    </row>
    <row r="30" spans="1:15" ht="15" customHeight="1" x14ac:dyDescent="0.35">
      <c r="A30" s="99"/>
      <c r="B30" s="329"/>
      <c r="C30" s="88"/>
      <c r="D30" s="46"/>
      <c r="E30" s="50"/>
      <c r="F30" s="50"/>
      <c r="G30" s="45"/>
      <c r="H30" s="57"/>
      <c r="I30" s="57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115</v>
      </c>
      <c r="D34" s="48" t="s">
        <v>357</v>
      </c>
      <c r="E34" s="49"/>
      <c r="F34" s="49"/>
      <c r="G34" s="94"/>
      <c r="H34" s="65" t="s">
        <v>114</v>
      </c>
      <c r="I34" s="69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 t="s">
        <v>117</v>
      </c>
      <c r="D35" s="43" t="s">
        <v>358</v>
      </c>
      <c r="E35" s="41"/>
      <c r="F35" s="41"/>
      <c r="G35" s="42"/>
      <c r="H35" s="66" t="s">
        <v>118</v>
      </c>
      <c r="I35" s="70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/>
      <c r="D36" s="43"/>
      <c r="E36" s="41"/>
      <c r="F36" s="41"/>
      <c r="G36" s="42"/>
      <c r="H36" s="66"/>
      <c r="I36" s="87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46"/>
      <c r="E37" s="50"/>
      <c r="F37" s="50"/>
      <c r="G37" s="45"/>
      <c r="H37" s="67"/>
      <c r="I37" s="87"/>
    </row>
    <row r="38" spans="1:15" x14ac:dyDescent="0.35">
      <c r="A38" s="81"/>
      <c r="B38" s="89" t="s">
        <v>108</v>
      </c>
      <c r="C38" s="56" t="s">
        <v>98</v>
      </c>
      <c r="D38" s="43" t="s">
        <v>359</v>
      </c>
      <c r="E38" s="41"/>
      <c r="F38" s="41"/>
      <c r="G38" s="42"/>
      <c r="H38" s="65" t="s">
        <v>207</v>
      </c>
      <c r="I38" s="69"/>
    </row>
    <row r="39" spans="1:15" ht="15.75" customHeight="1" x14ac:dyDescent="0.35">
      <c r="A39" s="81"/>
      <c r="B39" s="68" t="s">
        <v>499</v>
      </c>
      <c r="C39" s="64" t="s">
        <v>129</v>
      </c>
      <c r="D39" s="43" t="s">
        <v>360</v>
      </c>
      <c r="E39" s="41"/>
      <c r="F39" s="41"/>
      <c r="G39" s="42"/>
      <c r="H39" s="66" t="s">
        <v>118</v>
      </c>
      <c r="I39" s="84" t="s">
        <v>123</v>
      </c>
    </row>
    <row r="40" spans="1:15" ht="15.75" customHeight="1" x14ac:dyDescent="0.35">
      <c r="A40" s="81"/>
      <c r="B40" s="91"/>
      <c r="C40" s="64" t="s">
        <v>115</v>
      </c>
      <c r="D40" s="43" t="s">
        <v>198</v>
      </c>
      <c r="E40" s="41"/>
      <c r="F40" s="41"/>
      <c r="G40" s="42"/>
      <c r="H40" s="66" t="s">
        <v>114</v>
      </c>
      <c r="I40" s="96"/>
    </row>
    <row r="41" spans="1:15" ht="15.75" customHeight="1" x14ac:dyDescent="0.35">
      <c r="A41" s="82"/>
      <c r="B41" s="79"/>
      <c r="C41" s="57"/>
      <c r="D41" s="46"/>
      <c r="E41" s="50"/>
      <c r="F41" s="50"/>
      <c r="G41" s="45"/>
      <c r="H41" s="67"/>
      <c r="I41" s="88"/>
    </row>
    <row r="42" spans="1:15" ht="7" customHeight="1" x14ac:dyDescent="0.35">
      <c r="A42" s="41"/>
      <c r="B42" s="58"/>
      <c r="C42" s="59"/>
      <c r="D42" s="41"/>
      <c r="E42" s="41"/>
      <c r="F42" s="41"/>
      <c r="G42" s="41"/>
      <c r="H42" s="41"/>
      <c r="I42" s="41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687"/>
      <c r="B44" s="688"/>
      <c r="C44" s="688"/>
      <c r="D44" s="689"/>
      <c r="E44" s="419"/>
      <c r="F44" s="420"/>
      <c r="G44" s="687"/>
      <c r="H44" s="688"/>
      <c r="I44" s="689"/>
    </row>
    <row r="45" spans="1:15" ht="15.75" customHeight="1" x14ac:dyDescent="0.35">
      <c r="A45" s="713" t="s">
        <v>138</v>
      </c>
      <c r="B45" s="714"/>
      <c r="C45" s="714"/>
      <c r="D45" s="715"/>
      <c r="E45" s="716"/>
      <c r="F45" s="717"/>
      <c r="G45" s="695" t="s">
        <v>141</v>
      </c>
      <c r="H45" s="696"/>
      <c r="I45" s="697"/>
    </row>
    <row r="46" spans="1:15" ht="15.75" customHeight="1" x14ac:dyDescent="0.35">
      <c r="A46" s="730" t="s">
        <v>502</v>
      </c>
      <c r="B46" s="731"/>
      <c r="C46" s="731"/>
      <c r="D46" s="732"/>
      <c r="E46" s="675"/>
      <c r="F46" s="387"/>
      <c r="G46" s="677"/>
      <c r="H46" s="678"/>
      <c r="I46" s="679"/>
    </row>
    <row r="47" spans="1:15" ht="15.75" customHeight="1" x14ac:dyDescent="0.35">
      <c r="A47" s="320"/>
      <c r="B47" s="321"/>
      <c r="C47" s="321"/>
      <c r="D47" s="322"/>
      <c r="E47" s="313"/>
      <c r="F47" s="118"/>
      <c r="G47" s="314"/>
      <c r="H47" s="315"/>
      <c r="I47" s="316"/>
    </row>
    <row r="48" spans="1:15" ht="15.75" customHeight="1" x14ac:dyDescent="0.35">
      <c r="A48" s="710"/>
      <c r="B48" s="711"/>
      <c r="C48" s="711"/>
      <c r="D48" s="712"/>
      <c r="E48" s="675"/>
      <c r="F48" s="387"/>
      <c r="G48" s="677"/>
      <c r="H48" s="678"/>
      <c r="I48" s="679"/>
    </row>
    <row r="49" spans="1:9" ht="15.75" customHeight="1" x14ac:dyDescent="0.35">
      <c r="A49" s="383" t="s">
        <v>139</v>
      </c>
      <c r="B49" s="728"/>
      <c r="C49" s="728"/>
      <c r="D49" s="729"/>
      <c r="E49" s="675"/>
      <c r="F49" s="387"/>
      <c r="G49" s="683" t="s">
        <v>142</v>
      </c>
      <c r="H49" s="684"/>
      <c r="I49" s="685"/>
    </row>
    <row r="50" spans="1:9" ht="15.75" customHeight="1" x14ac:dyDescent="0.35">
      <c r="A50" s="733" t="s">
        <v>140</v>
      </c>
      <c r="B50" s="734"/>
      <c r="C50" s="734"/>
      <c r="D50" s="735"/>
      <c r="E50" s="675"/>
      <c r="F50" s="387"/>
      <c r="G50" s="388"/>
      <c r="H50" s="389"/>
      <c r="I50" s="390"/>
    </row>
    <row r="51" spans="1:9" ht="15.75" customHeight="1" x14ac:dyDescent="0.35">
      <c r="A51" s="699"/>
      <c r="B51" s="700"/>
      <c r="C51" s="700"/>
      <c r="D51" s="701"/>
      <c r="E51" s="702"/>
      <c r="F51" s="703"/>
      <c r="G51" s="704"/>
      <c r="H51" s="705"/>
      <c r="I51" s="706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37">
    <mergeCell ref="A50:D50"/>
    <mergeCell ref="E50:F50"/>
    <mergeCell ref="G50:I50"/>
    <mergeCell ref="A51:D51"/>
    <mergeCell ref="E51:F51"/>
    <mergeCell ref="G51:I51"/>
    <mergeCell ref="A48:D48"/>
    <mergeCell ref="E48:F48"/>
    <mergeCell ref="G48:I48"/>
    <mergeCell ref="A49:D49"/>
    <mergeCell ref="E49:F49"/>
    <mergeCell ref="G49:I49"/>
    <mergeCell ref="A45:D45"/>
    <mergeCell ref="E45:F45"/>
    <mergeCell ref="G45:I45"/>
    <mergeCell ref="A46:D46"/>
    <mergeCell ref="E46:F46"/>
    <mergeCell ref="G46:I46"/>
    <mergeCell ref="A18:I18"/>
    <mergeCell ref="A31:I32"/>
    <mergeCell ref="A33:I33"/>
    <mergeCell ref="A43:D44"/>
    <mergeCell ref="E43:F44"/>
    <mergeCell ref="G43:I44"/>
    <mergeCell ref="A7:H8"/>
    <mergeCell ref="I7:I8"/>
    <mergeCell ref="A16:B17"/>
    <mergeCell ref="C16:C17"/>
    <mergeCell ref="D16:G17"/>
    <mergeCell ref="H16:H17"/>
    <mergeCell ref="I16:I17"/>
    <mergeCell ref="A1:E2"/>
    <mergeCell ref="F1:H2"/>
    <mergeCell ref="I1:I2"/>
    <mergeCell ref="A4:B4"/>
    <mergeCell ref="A5:H6"/>
    <mergeCell ref="I5:I6"/>
  </mergeCells>
  <hyperlinks>
    <hyperlink ref="I24" r:id="rId1" location="doc/23461/13" display="https://edu.suissetec.ch/ - doc/23461/13" xr:uid="{6F19F0C9-2B35-40AB-A9BF-D1DEF731F179}"/>
    <hyperlink ref="I39" r:id="rId2" location="doc/45837/1" display="https://edu.suissetec.ch/ - doc/45837/1" xr:uid="{F2764D9C-3372-4431-83BB-DCEC2017879B}"/>
  </hyperlinks>
  <pageMargins left="0.25" right="0.25" top="0.75" bottom="0.75" header="0.3" footer="0.3"/>
  <pageSetup paperSize="9" orientation="portrait" r:id="rId3"/>
  <headerFooter>
    <oddHeader>&amp;LGBS SG&amp;CSAIa25-29&amp;RBKU</oddHeader>
    <oddFooter>&amp;RART &amp;D</oddFooter>
  </headerFooter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119E-0A8A-422F-8A45-0691FF784B9A}">
  <dimension ref="A1:O55"/>
  <sheetViews>
    <sheetView tabSelected="1" view="pageLayout" topLeftCell="A14" zoomScale="127" zoomScaleNormal="100" zoomScalePageLayoutView="127" workbookViewId="0">
      <selection activeCell="G24" sqref="G24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6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Kompetenzraster!R13</f>
        <v>45911</v>
      </c>
      <c r="G1" s="439"/>
      <c r="H1" s="440"/>
      <c r="I1" s="444">
        <v>5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1"/>
      <c r="B3" s="60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5" t="s">
        <v>84</v>
      </c>
      <c r="B4" s="445"/>
      <c r="C4" s="60"/>
      <c r="D4" s="60"/>
      <c r="E4" s="60"/>
      <c r="F4" s="61"/>
      <c r="G4" s="61"/>
      <c r="H4" s="61"/>
      <c r="I4" s="61"/>
    </row>
    <row r="5" spans="1:11" ht="15.75" customHeight="1" x14ac:dyDescent="0.35">
      <c r="A5" s="721" t="s">
        <v>20</v>
      </c>
      <c r="B5" s="722"/>
      <c r="C5" s="722"/>
      <c r="D5" s="722"/>
      <c r="E5" s="722"/>
      <c r="F5" s="722"/>
      <c r="G5" s="722"/>
      <c r="H5" s="723"/>
      <c r="I5" s="727">
        <v>1.4</v>
      </c>
    </row>
    <row r="6" spans="1:11" ht="15.75" customHeight="1" x14ac:dyDescent="0.35">
      <c r="A6" s="724"/>
      <c r="B6" s="725"/>
      <c r="C6" s="725"/>
      <c r="D6" s="725"/>
      <c r="E6" s="725"/>
      <c r="F6" s="725"/>
      <c r="G6" s="725"/>
      <c r="H6" s="726"/>
      <c r="I6" s="727"/>
    </row>
    <row r="7" spans="1:11" ht="15.75" customHeight="1" x14ac:dyDescent="0.35">
      <c r="A7" s="422" t="s">
        <v>22</v>
      </c>
      <c r="B7" s="423"/>
      <c r="C7" s="423"/>
      <c r="D7" s="423"/>
      <c r="E7" s="423"/>
      <c r="F7" s="423"/>
      <c r="G7" s="423"/>
      <c r="H7" s="424"/>
      <c r="I7" s="428">
        <v>1.1000000000000001</v>
      </c>
    </row>
    <row r="8" spans="1:11" ht="15.75" customHeight="1" x14ac:dyDescent="0.35">
      <c r="A8" s="425"/>
      <c r="B8" s="426"/>
      <c r="C8" s="426"/>
      <c r="D8" s="426"/>
      <c r="E8" s="426"/>
      <c r="F8" s="426"/>
      <c r="G8" s="426"/>
      <c r="H8" s="427"/>
      <c r="I8" s="429"/>
    </row>
    <row r="9" spans="1:11" ht="15.75" customHeight="1" x14ac:dyDescent="0.35">
      <c r="A9" s="41"/>
      <c r="B9" s="76"/>
      <c r="C9" s="76"/>
      <c r="D9" s="76"/>
      <c r="E9" s="76"/>
      <c r="F9" s="76"/>
      <c r="G9" s="76"/>
      <c r="H9" s="76"/>
      <c r="I9" s="61"/>
    </row>
    <row r="10" spans="1:11" ht="15.75" customHeight="1" x14ac:dyDescent="0.35">
      <c r="A10" s="73" t="s">
        <v>80</v>
      </c>
      <c r="B10" s="74"/>
      <c r="C10" s="74"/>
      <c r="D10" s="74"/>
      <c r="E10" s="74"/>
      <c r="F10" s="74"/>
      <c r="G10" s="74"/>
      <c r="H10" s="74"/>
      <c r="I10" s="75"/>
    </row>
    <row r="11" spans="1:11" ht="15.75" customHeight="1" x14ac:dyDescent="0.35">
      <c r="A11" s="83"/>
      <c r="B11" s="48" t="s">
        <v>147</v>
      </c>
      <c r="C11" s="49"/>
      <c r="D11" s="49"/>
      <c r="E11" s="49"/>
      <c r="F11" s="49"/>
      <c r="G11" s="49"/>
      <c r="H11" s="49"/>
      <c r="I11" s="51"/>
    </row>
    <row r="12" spans="1:11" ht="15.75" customHeight="1" x14ac:dyDescent="0.35">
      <c r="A12" s="80"/>
      <c r="B12" s="43" t="s">
        <v>132</v>
      </c>
      <c r="C12" s="41"/>
      <c r="D12" s="41"/>
      <c r="E12" s="41"/>
      <c r="F12" s="41"/>
      <c r="G12" s="41"/>
      <c r="H12" s="41"/>
      <c r="I12" s="42"/>
    </row>
    <row r="13" spans="1:11" ht="15.75" customHeight="1" x14ac:dyDescent="0.35">
      <c r="A13" s="81"/>
      <c r="B13" s="43" t="s">
        <v>133</v>
      </c>
      <c r="C13" s="41"/>
      <c r="D13" s="41"/>
      <c r="E13" s="41"/>
      <c r="F13" s="41"/>
      <c r="G13" s="41"/>
      <c r="H13" s="41"/>
      <c r="I13" s="42"/>
      <c r="K13" s="100"/>
    </row>
    <row r="14" spans="1:11" ht="15.75" customHeight="1" x14ac:dyDescent="0.35">
      <c r="A14" s="82"/>
      <c r="B14" s="46" t="s">
        <v>146</v>
      </c>
      <c r="C14" s="50"/>
      <c r="D14" s="50"/>
      <c r="E14" s="50"/>
      <c r="F14" s="50"/>
      <c r="G14" s="50"/>
      <c r="H14" s="50"/>
      <c r="I14" s="45"/>
    </row>
    <row r="15" spans="1:11" ht="11.2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718"/>
      <c r="B18" s="719"/>
      <c r="C18" s="719"/>
      <c r="D18" s="719"/>
      <c r="E18" s="719"/>
      <c r="F18" s="719"/>
      <c r="G18" s="719"/>
      <c r="H18" s="719"/>
      <c r="I18" s="720"/>
    </row>
    <row r="19" spans="1:15" x14ac:dyDescent="0.35">
      <c r="A19" s="80"/>
      <c r="B19" s="327" t="s">
        <v>89</v>
      </c>
      <c r="C19" s="54" t="s">
        <v>156</v>
      </c>
      <c r="D19" s="48" t="s">
        <v>166</v>
      </c>
      <c r="E19" s="49"/>
      <c r="F19" s="49"/>
      <c r="G19" s="40"/>
      <c r="H19" s="65" t="s">
        <v>114</v>
      </c>
      <c r="I19" s="103"/>
    </row>
    <row r="20" spans="1:15" x14ac:dyDescent="0.35">
      <c r="A20" s="80"/>
      <c r="B20" s="62" t="s">
        <v>495</v>
      </c>
      <c r="C20" s="55" t="s">
        <v>99</v>
      </c>
      <c r="D20" s="43" t="s">
        <v>154</v>
      </c>
      <c r="E20" s="41"/>
      <c r="F20" s="41"/>
      <c r="G20" s="85"/>
      <c r="H20" s="66" t="s">
        <v>118</v>
      </c>
      <c r="I20" s="64"/>
    </row>
    <row r="21" spans="1:15" x14ac:dyDescent="0.35">
      <c r="A21" s="80"/>
      <c r="B21" s="71"/>
      <c r="C21" s="55"/>
      <c r="D21" s="106" t="s">
        <v>155</v>
      </c>
      <c r="E21" s="107"/>
      <c r="F21" s="41"/>
      <c r="G21" s="42"/>
      <c r="H21" s="66"/>
      <c r="I21" s="96"/>
    </row>
    <row r="22" spans="1:15" x14ac:dyDescent="0.35">
      <c r="A22" s="80"/>
      <c r="B22" s="328"/>
      <c r="C22" s="63" t="s">
        <v>115</v>
      </c>
      <c r="D22" s="46" t="s">
        <v>157</v>
      </c>
      <c r="E22" s="50"/>
      <c r="F22" s="50"/>
      <c r="G22" s="45"/>
      <c r="H22" s="67" t="s">
        <v>118</v>
      </c>
      <c r="I22" s="98" t="s">
        <v>123</v>
      </c>
    </row>
    <row r="23" spans="1:15" x14ac:dyDescent="0.35">
      <c r="A23" s="80"/>
      <c r="B23" s="327" t="s">
        <v>90</v>
      </c>
      <c r="C23" s="64" t="s">
        <v>117</v>
      </c>
      <c r="D23" s="48" t="s">
        <v>158</v>
      </c>
      <c r="E23" s="49"/>
      <c r="F23" s="49"/>
      <c r="G23" s="51"/>
      <c r="H23" s="95" t="s">
        <v>114</v>
      </c>
      <c r="I23" s="103"/>
    </row>
    <row r="24" spans="1:15" x14ac:dyDescent="0.35">
      <c r="A24" s="80"/>
      <c r="B24" s="62" t="s">
        <v>496</v>
      </c>
      <c r="C24" s="64" t="s">
        <v>115</v>
      </c>
      <c r="D24" s="43" t="s">
        <v>159</v>
      </c>
      <c r="E24" s="41"/>
      <c r="F24" s="41"/>
      <c r="G24" s="42"/>
      <c r="H24" s="55" t="s">
        <v>118</v>
      </c>
      <c r="I24" s="96"/>
      <c r="K24" s="101"/>
    </row>
    <row r="25" spans="1:15" x14ac:dyDescent="0.35">
      <c r="A25" s="80"/>
      <c r="B25" s="71"/>
      <c r="C25" s="64"/>
      <c r="D25" s="43"/>
      <c r="E25" s="41"/>
      <c r="F25" s="41"/>
      <c r="G25" s="42"/>
      <c r="H25" s="55"/>
      <c r="I25" s="97"/>
      <c r="K25" s="102"/>
    </row>
    <row r="26" spans="1:15" x14ac:dyDescent="0.35">
      <c r="A26" s="80"/>
      <c r="B26" s="328"/>
      <c r="C26" s="57"/>
      <c r="D26" s="46"/>
      <c r="E26" s="50"/>
      <c r="F26" s="50"/>
      <c r="G26" s="45"/>
      <c r="H26" s="63"/>
      <c r="I26" s="98"/>
    </row>
    <row r="27" spans="1:15" x14ac:dyDescent="0.35">
      <c r="A27" s="80"/>
      <c r="B27" s="72" t="s">
        <v>91</v>
      </c>
      <c r="C27" s="56" t="s">
        <v>98</v>
      </c>
      <c r="D27" s="43" t="s">
        <v>160</v>
      </c>
      <c r="E27" s="41"/>
      <c r="F27" s="41"/>
      <c r="G27" s="51"/>
      <c r="H27" s="56" t="s">
        <v>118</v>
      </c>
      <c r="I27" s="56"/>
    </row>
    <row r="28" spans="1:15" x14ac:dyDescent="0.35">
      <c r="A28" s="80"/>
      <c r="B28" s="62" t="s">
        <v>497</v>
      </c>
      <c r="C28" s="64" t="s">
        <v>161</v>
      </c>
      <c r="D28" s="43" t="s">
        <v>164</v>
      </c>
      <c r="E28" s="41"/>
      <c r="F28" s="41"/>
      <c r="G28" s="42"/>
      <c r="H28" s="64" t="s">
        <v>118</v>
      </c>
      <c r="I28" s="96"/>
    </row>
    <row r="29" spans="1:15" x14ac:dyDescent="0.35">
      <c r="A29" s="80"/>
      <c r="B29" s="71"/>
      <c r="C29" s="64"/>
      <c r="D29" s="43"/>
      <c r="E29" s="41"/>
      <c r="F29" s="41"/>
      <c r="G29" s="42"/>
      <c r="H29" s="64"/>
      <c r="I29" s="93"/>
    </row>
    <row r="30" spans="1:15" ht="15" customHeight="1" x14ac:dyDescent="0.35">
      <c r="A30" s="99"/>
      <c r="B30" s="329"/>
      <c r="C30" s="88"/>
      <c r="D30" s="46"/>
      <c r="E30" s="50"/>
      <c r="F30" s="50"/>
      <c r="G30" s="45"/>
      <c r="H30" s="57"/>
      <c r="I30" s="57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98</v>
      </c>
      <c r="D34" s="48" t="s">
        <v>148</v>
      </c>
      <c r="E34" s="49"/>
      <c r="F34" s="49"/>
      <c r="G34" s="94"/>
      <c r="H34" s="65" t="s">
        <v>114</v>
      </c>
      <c r="I34" s="103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 t="s">
        <v>115</v>
      </c>
      <c r="D35" s="43" t="s">
        <v>150</v>
      </c>
      <c r="E35" s="41"/>
      <c r="F35" s="41"/>
      <c r="G35" s="42"/>
      <c r="H35" s="66" t="s">
        <v>114</v>
      </c>
      <c r="I35" s="143" t="s">
        <v>123</v>
      </c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 t="s">
        <v>129</v>
      </c>
      <c r="D36" s="43" t="s">
        <v>151</v>
      </c>
      <c r="E36" s="41"/>
      <c r="F36" s="41"/>
      <c r="G36" s="42"/>
      <c r="H36" s="66" t="s">
        <v>118</v>
      </c>
      <c r="I36" s="104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46"/>
      <c r="E37" s="50"/>
      <c r="F37" s="50"/>
      <c r="G37" s="45"/>
      <c r="H37" s="67"/>
      <c r="I37" s="105"/>
    </row>
    <row r="38" spans="1:15" x14ac:dyDescent="0.35">
      <c r="A38" s="81"/>
      <c r="B38" s="89" t="s">
        <v>108</v>
      </c>
      <c r="C38" s="56" t="s">
        <v>98</v>
      </c>
      <c r="D38" s="43" t="s">
        <v>152</v>
      </c>
      <c r="E38" s="41"/>
      <c r="F38" s="41"/>
      <c r="G38" s="42"/>
      <c r="H38" s="65" t="s">
        <v>118</v>
      </c>
      <c r="I38" s="262" t="s">
        <v>149</v>
      </c>
    </row>
    <row r="39" spans="1:15" ht="15.75" customHeight="1" x14ac:dyDescent="0.35">
      <c r="A39" s="81"/>
      <c r="B39" s="68" t="s">
        <v>499</v>
      </c>
      <c r="C39" s="64" t="s">
        <v>98</v>
      </c>
      <c r="D39" s="43" t="s">
        <v>162</v>
      </c>
      <c r="E39" s="41"/>
      <c r="F39" s="41"/>
      <c r="G39" s="42"/>
      <c r="H39" s="66" t="s">
        <v>118</v>
      </c>
      <c r="I39" s="96"/>
    </row>
    <row r="40" spans="1:15" ht="15.75" customHeight="1" x14ac:dyDescent="0.35">
      <c r="A40" s="81"/>
      <c r="B40" s="91"/>
      <c r="C40" s="64" t="s">
        <v>119</v>
      </c>
      <c r="D40" s="43" t="s">
        <v>153</v>
      </c>
      <c r="E40" s="41"/>
      <c r="F40" s="41"/>
      <c r="G40" s="42"/>
      <c r="H40" s="66" t="s">
        <v>114</v>
      </c>
      <c r="I40" s="96"/>
    </row>
    <row r="41" spans="1:15" ht="15.75" customHeight="1" x14ac:dyDescent="0.35">
      <c r="A41" s="82"/>
      <c r="B41" s="79"/>
      <c r="C41" s="57"/>
      <c r="D41" s="46"/>
      <c r="E41" s="50"/>
      <c r="F41" s="50"/>
      <c r="G41" s="45"/>
      <c r="H41" s="67"/>
      <c r="I41" s="88"/>
    </row>
    <row r="42" spans="1:15" ht="15.75" customHeight="1" x14ac:dyDescent="0.35">
      <c r="A42" s="41"/>
      <c r="B42" s="58"/>
      <c r="C42" s="59"/>
      <c r="D42" s="41"/>
      <c r="E42" s="41"/>
      <c r="F42" s="41"/>
      <c r="G42" s="41"/>
      <c r="H42" s="41"/>
      <c r="I42" s="41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687"/>
      <c r="B44" s="688"/>
      <c r="C44" s="688"/>
      <c r="D44" s="689"/>
      <c r="E44" s="419"/>
      <c r="F44" s="420"/>
      <c r="G44" s="687"/>
      <c r="H44" s="688"/>
      <c r="I44" s="689"/>
    </row>
    <row r="45" spans="1:15" ht="15.75" customHeight="1" x14ac:dyDescent="0.35">
      <c r="A45" s="713" t="s">
        <v>165</v>
      </c>
      <c r="B45" s="714"/>
      <c r="C45" s="714"/>
      <c r="D45" s="715"/>
      <c r="E45" s="716"/>
      <c r="F45" s="717"/>
      <c r="G45" s="745" t="s">
        <v>163</v>
      </c>
      <c r="H45" s="746"/>
      <c r="I45" s="747"/>
    </row>
    <row r="46" spans="1:15" ht="15.75" customHeight="1" x14ac:dyDescent="0.35">
      <c r="A46" s="320"/>
      <c r="B46" s="321"/>
      <c r="C46" s="321"/>
      <c r="D46" s="322"/>
      <c r="E46" s="675"/>
      <c r="F46" s="387"/>
      <c r="G46" s="330"/>
      <c r="H46" s="331"/>
      <c r="I46" s="332"/>
    </row>
    <row r="47" spans="1:15" ht="15.75" customHeight="1" x14ac:dyDescent="0.35">
      <c r="A47" s="730"/>
      <c r="B47" s="731"/>
      <c r="C47" s="731"/>
      <c r="D47" s="732"/>
      <c r="E47" s="675"/>
      <c r="F47" s="387"/>
      <c r="G47" s="677"/>
      <c r="H47" s="678"/>
      <c r="I47" s="679"/>
    </row>
    <row r="48" spans="1:15" ht="15.75" customHeight="1" x14ac:dyDescent="0.35">
      <c r="A48" s="736" t="s">
        <v>501</v>
      </c>
      <c r="B48" s="737"/>
      <c r="C48" s="737"/>
      <c r="D48" s="738"/>
      <c r="E48" s="386"/>
      <c r="F48" s="386"/>
      <c r="G48" s="683"/>
      <c r="H48" s="684"/>
      <c r="I48" s="685"/>
    </row>
    <row r="49" spans="1:9" ht="15.75" customHeight="1" x14ac:dyDescent="0.35">
      <c r="A49" s="742" t="s">
        <v>503</v>
      </c>
      <c r="B49" s="743"/>
      <c r="C49" s="743"/>
      <c r="D49" s="744"/>
      <c r="E49" s="686"/>
      <c r="F49" s="368"/>
      <c r="G49" s="148"/>
      <c r="H49" s="149"/>
      <c r="I49" s="150"/>
    </row>
    <row r="50" spans="1:9" ht="15.75" customHeight="1" x14ac:dyDescent="0.35">
      <c r="A50" s="739" t="s">
        <v>363</v>
      </c>
      <c r="B50" s="740"/>
      <c r="C50" s="740"/>
      <c r="D50" s="741"/>
      <c r="E50" s="386"/>
      <c r="F50" s="386"/>
      <c r="G50" s="374"/>
      <c r="H50" s="375"/>
      <c r="I50" s="376"/>
    </row>
    <row r="51" spans="1:9" ht="15.75" customHeight="1" x14ac:dyDescent="0.35"/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</sheetData>
  <mergeCells count="34">
    <mergeCell ref="A1:E2"/>
    <mergeCell ref="F1:H2"/>
    <mergeCell ref="I1:I2"/>
    <mergeCell ref="A4:B4"/>
    <mergeCell ref="A5:H6"/>
    <mergeCell ref="I5:I6"/>
    <mergeCell ref="A7:H8"/>
    <mergeCell ref="I7:I8"/>
    <mergeCell ref="A16:B17"/>
    <mergeCell ref="C16:C17"/>
    <mergeCell ref="D16:G17"/>
    <mergeCell ref="H16:H17"/>
    <mergeCell ref="I16:I17"/>
    <mergeCell ref="A18:I18"/>
    <mergeCell ref="A31:I32"/>
    <mergeCell ref="A33:I33"/>
    <mergeCell ref="A43:D44"/>
    <mergeCell ref="E43:F44"/>
    <mergeCell ref="G43:I44"/>
    <mergeCell ref="A45:D45"/>
    <mergeCell ref="E45:F45"/>
    <mergeCell ref="G45:I45"/>
    <mergeCell ref="A47:D47"/>
    <mergeCell ref="E47:F47"/>
    <mergeCell ref="G47:I47"/>
    <mergeCell ref="E46:F46"/>
    <mergeCell ref="A48:D48"/>
    <mergeCell ref="E48:F48"/>
    <mergeCell ref="G48:I48"/>
    <mergeCell ref="A50:D50"/>
    <mergeCell ref="E50:F50"/>
    <mergeCell ref="G50:I50"/>
    <mergeCell ref="E49:F49"/>
    <mergeCell ref="A49:D49"/>
  </mergeCells>
  <hyperlinks>
    <hyperlink ref="I35" r:id="rId1" location="doc/45837/1" display="https://edu.suissetec.ch/ - doc/45837/1" xr:uid="{C2045BC4-08A8-49C4-B657-9243B5815D6D}"/>
    <hyperlink ref="I22" r:id="rId2" location="doc/23461/18" display="https://edu.suissetec.ch/ - doc/23461/18" xr:uid="{D40897D2-3CA2-4E96-8A97-824E68DDCDD6}"/>
    <hyperlink ref="I38" r:id="rId3" xr:uid="{7A070C8A-4F93-4537-97B5-943DB5FE5507}"/>
  </hyperlinks>
  <pageMargins left="0.25" right="0.25" top="0.75" bottom="0.75" header="0.3" footer="0.3"/>
  <pageSetup paperSize="9" orientation="portrait" r:id="rId4"/>
  <headerFooter>
    <oddHeader>&amp;LGBS SG&amp;CSAIa25-29&amp;RBKU</oddHeader>
    <oddFooter>&amp;RART &amp;D</oddFooter>
  </headerFooter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895D-D2A9-470E-9556-0E3F07CBB164}">
  <dimension ref="A1:O55"/>
  <sheetViews>
    <sheetView view="pageLayout" topLeftCell="A13" zoomScale="130" zoomScaleNormal="100" zoomScalePageLayoutView="130" workbookViewId="0">
      <selection activeCell="F24" sqref="F24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6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Kompetenzraster!R15</f>
        <v>45918</v>
      </c>
      <c r="G1" s="439"/>
      <c r="H1" s="440"/>
      <c r="I1" s="444">
        <v>6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721" t="s">
        <v>167</v>
      </c>
      <c r="B4" s="722"/>
      <c r="C4" s="722"/>
      <c r="D4" s="722"/>
      <c r="E4" s="722"/>
      <c r="F4" s="722"/>
      <c r="G4" s="722"/>
      <c r="H4" s="723"/>
      <c r="I4" s="727">
        <v>1.5</v>
      </c>
    </row>
    <row r="5" spans="1:11" ht="15.75" customHeight="1" x14ac:dyDescent="0.35">
      <c r="A5" s="724"/>
      <c r="B5" s="725"/>
      <c r="C5" s="725"/>
      <c r="D5" s="725"/>
      <c r="E5" s="725"/>
      <c r="F5" s="725"/>
      <c r="G5" s="725"/>
      <c r="H5" s="726"/>
      <c r="I5" s="727"/>
    </row>
    <row r="6" spans="1:11" ht="15.75" customHeight="1" x14ac:dyDescent="0.35">
      <c r="A6" s="422" t="s">
        <v>22</v>
      </c>
      <c r="B6" s="423"/>
      <c r="C6" s="423"/>
      <c r="D6" s="423"/>
      <c r="E6" s="423"/>
      <c r="F6" s="423"/>
      <c r="G6" s="423"/>
      <c r="H6" s="424"/>
      <c r="I6" s="428">
        <v>1.1000000000000001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15.7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73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83"/>
      <c r="B10" s="48" t="s">
        <v>168</v>
      </c>
      <c r="C10" s="49"/>
      <c r="D10" s="49"/>
      <c r="E10" s="49"/>
      <c r="F10" s="49"/>
      <c r="G10" s="49"/>
      <c r="H10" s="49"/>
      <c r="I10" s="51"/>
    </row>
    <row r="11" spans="1:11" ht="15.75" customHeight="1" x14ac:dyDescent="0.35">
      <c r="A11" s="80"/>
      <c r="B11" s="43" t="s">
        <v>169</v>
      </c>
      <c r="C11" s="41"/>
      <c r="D11" s="41"/>
      <c r="E11" s="41"/>
      <c r="F11" s="41"/>
      <c r="G11" s="41"/>
      <c r="H11" s="41"/>
      <c r="I11" s="42"/>
    </row>
    <row r="12" spans="1:11" ht="15.75" customHeight="1" x14ac:dyDescent="0.35">
      <c r="A12" s="80"/>
      <c r="B12" s="43" t="s">
        <v>170</v>
      </c>
      <c r="C12" s="41"/>
      <c r="D12" s="41"/>
      <c r="E12" s="41"/>
      <c r="F12" s="41"/>
      <c r="G12" s="41"/>
      <c r="H12" s="41"/>
      <c r="I12" s="42"/>
    </row>
    <row r="13" spans="1:11" ht="15.75" customHeight="1" x14ac:dyDescent="0.35">
      <c r="A13" s="81"/>
      <c r="B13" s="43" t="s">
        <v>133</v>
      </c>
      <c r="C13" s="41"/>
      <c r="D13" s="41"/>
      <c r="E13" s="41"/>
      <c r="F13" s="41"/>
      <c r="G13" s="41"/>
      <c r="H13" s="41"/>
      <c r="I13" s="42"/>
      <c r="K13" s="100"/>
    </row>
    <row r="14" spans="1:11" ht="15.75" customHeight="1" x14ac:dyDescent="0.35">
      <c r="A14" s="82"/>
      <c r="B14" s="46" t="s">
        <v>146</v>
      </c>
      <c r="C14" s="50"/>
      <c r="D14" s="50"/>
      <c r="E14" s="50"/>
      <c r="F14" s="50"/>
      <c r="G14" s="50"/>
      <c r="H14" s="50"/>
      <c r="I14" s="45"/>
    </row>
    <row r="15" spans="1:11" ht="11.2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718"/>
      <c r="B18" s="719"/>
      <c r="C18" s="719"/>
      <c r="D18" s="719"/>
      <c r="E18" s="719"/>
      <c r="F18" s="719"/>
      <c r="G18" s="719"/>
      <c r="H18" s="719"/>
      <c r="I18" s="720"/>
    </row>
    <row r="19" spans="1:15" x14ac:dyDescent="0.35">
      <c r="A19" s="80"/>
      <c r="B19" s="327" t="s">
        <v>89</v>
      </c>
      <c r="C19" s="232" t="s">
        <v>119</v>
      </c>
      <c r="D19" s="129" t="s">
        <v>364</v>
      </c>
      <c r="E19" s="130"/>
      <c r="F19" s="130"/>
      <c r="G19" s="131"/>
      <c r="H19" s="155" t="s">
        <v>114</v>
      </c>
      <c r="I19" s="155"/>
    </row>
    <row r="20" spans="1:15" x14ac:dyDescent="0.35">
      <c r="A20" s="80"/>
      <c r="B20" s="62" t="s">
        <v>495</v>
      </c>
      <c r="C20" s="64" t="s">
        <v>115</v>
      </c>
      <c r="D20" s="43" t="s">
        <v>365</v>
      </c>
      <c r="E20" s="41"/>
      <c r="F20" s="41"/>
      <c r="G20" s="85"/>
      <c r="H20" s="64" t="s">
        <v>114</v>
      </c>
      <c r="I20" s="96"/>
    </row>
    <row r="21" spans="1:15" x14ac:dyDescent="0.35">
      <c r="A21" s="80"/>
      <c r="B21" s="71"/>
      <c r="C21" s="64" t="s">
        <v>115</v>
      </c>
      <c r="D21" s="43" t="s">
        <v>377</v>
      </c>
      <c r="E21" s="41"/>
      <c r="F21" s="41"/>
      <c r="G21" s="366"/>
      <c r="H21" s="64" t="s">
        <v>114</v>
      </c>
      <c r="I21" s="93"/>
    </row>
    <row r="22" spans="1:15" x14ac:dyDescent="0.35">
      <c r="A22" s="80"/>
      <c r="B22" s="328"/>
      <c r="C22" s="57" t="s">
        <v>115</v>
      </c>
      <c r="D22" s="109" t="s">
        <v>366</v>
      </c>
      <c r="E22" s="107"/>
      <c r="F22" s="41"/>
      <c r="G22" s="42"/>
      <c r="H22" s="57" t="s">
        <v>114</v>
      </c>
      <c r="I22" s="116"/>
    </row>
    <row r="23" spans="1:15" x14ac:dyDescent="0.35">
      <c r="A23" s="80"/>
      <c r="B23" s="327" t="s">
        <v>90</v>
      </c>
      <c r="C23" s="55" t="s">
        <v>144</v>
      </c>
      <c r="D23" s="110" t="s">
        <v>367</v>
      </c>
      <c r="E23" s="111"/>
      <c r="F23" s="49"/>
      <c r="G23" s="51"/>
      <c r="H23" s="95" t="s">
        <v>118</v>
      </c>
      <c r="I23" s="114" t="s">
        <v>123</v>
      </c>
    </row>
    <row r="24" spans="1:15" x14ac:dyDescent="0.35">
      <c r="A24" s="80"/>
      <c r="B24" s="62" t="s">
        <v>496</v>
      </c>
      <c r="C24" s="55"/>
      <c r="D24" s="43" t="s">
        <v>173</v>
      </c>
      <c r="E24" s="41"/>
      <c r="F24" s="41"/>
      <c r="G24" s="42"/>
      <c r="H24" s="55"/>
      <c r="I24" s="114"/>
      <c r="K24" s="101"/>
    </row>
    <row r="25" spans="1:15" x14ac:dyDescent="0.35">
      <c r="A25" s="80"/>
      <c r="B25" s="71"/>
      <c r="C25" s="55" t="s">
        <v>129</v>
      </c>
      <c r="D25" s="43" t="s">
        <v>174</v>
      </c>
      <c r="E25" s="41"/>
      <c r="F25" s="41"/>
      <c r="G25" s="42"/>
      <c r="H25" s="55" t="s">
        <v>118</v>
      </c>
      <c r="I25" s="114"/>
      <c r="K25" s="102"/>
    </row>
    <row r="26" spans="1:15" x14ac:dyDescent="0.35">
      <c r="A26" s="80"/>
      <c r="B26" s="328"/>
      <c r="C26" s="55"/>
      <c r="D26" s="43" t="s">
        <v>175</v>
      </c>
      <c r="E26" s="41"/>
      <c r="F26" s="41"/>
      <c r="G26" s="42"/>
      <c r="H26" s="55"/>
      <c r="I26" s="115"/>
    </row>
    <row r="27" spans="1:15" x14ac:dyDescent="0.35">
      <c r="A27" s="80"/>
      <c r="B27" s="72" t="s">
        <v>91</v>
      </c>
      <c r="C27" s="56" t="s">
        <v>129</v>
      </c>
      <c r="D27" s="49" t="s">
        <v>369</v>
      </c>
      <c r="E27" s="49"/>
      <c r="F27" s="49"/>
      <c r="G27" s="49"/>
      <c r="H27" s="56" t="s">
        <v>145</v>
      </c>
      <c r="I27" s="117"/>
    </row>
    <row r="28" spans="1:15" x14ac:dyDescent="0.35">
      <c r="A28" s="80"/>
      <c r="B28" s="62" t="s">
        <v>497</v>
      </c>
      <c r="C28" s="64" t="s">
        <v>99</v>
      </c>
      <c r="D28" s="41" t="s">
        <v>368</v>
      </c>
      <c r="E28" s="41"/>
      <c r="F28" s="41"/>
      <c r="G28" s="41"/>
      <c r="H28" s="64"/>
      <c r="I28" s="96"/>
    </row>
    <row r="29" spans="1:15" x14ac:dyDescent="0.35">
      <c r="A29" s="80"/>
      <c r="B29" s="71"/>
      <c r="C29" s="225" t="s">
        <v>99</v>
      </c>
      <c r="D29" s="226" t="s">
        <v>171</v>
      </c>
      <c r="E29" s="179"/>
      <c r="F29" s="179"/>
      <c r="G29" s="227"/>
      <c r="H29" s="228" t="s">
        <v>118</v>
      </c>
      <c r="I29" s="229" t="s">
        <v>172</v>
      </c>
    </row>
    <row r="30" spans="1:15" ht="15" customHeight="1" x14ac:dyDescent="0.35">
      <c r="A30" s="99"/>
      <c r="B30" s="329"/>
      <c r="C30" s="230"/>
      <c r="D30" s="184"/>
      <c r="E30" s="184"/>
      <c r="F30" s="184"/>
      <c r="G30" s="184"/>
      <c r="H30" s="231"/>
      <c r="I30" s="231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129</v>
      </c>
      <c r="D34" s="108" t="s">
        <v>370</v>
      </c>
      <c r="E34" s="49"/>
      <c r="F34" s="49"/>
      <c r="G34" s="94"/>
      <c r="H34" s="122" t="s">
        <v>118</v>
      </c>
      <c r="I34" s="103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 t="s">
        <v>144</v>
      </c>
      <c r="D35" s="43" t="s">
        <v>371</v>
      </c>
      <c r="E35" s="41"/>
      <c r="F35" s="41"/>
      <c r="G35" s="42"/>
      <c r="H35" s="101" t="s">
        <v>118</v>
      </c>
      <c r="I35" s="96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/>
      <c r="D36" s="126"/>
      <c r="E36" s="41"/>
      <c r="F36" s="41"/>
      <c r="G36" s="118"/>
      <c r="H36" s="101"/>
      <c r="I36" s="233" t="s">
        <v>149</v>
      </c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46"/>
      <c r="E37" s="50"/>
      <c r="F37" s="50"/>
      <c r="G37" s="45"/>
      <c r="H37" s="124"/>
      <c r="I37" s="255" t="s">
        <v>372</v>
      </c>
    </row>
    <row r="38" spans="1:15" x14ac:dyDescent="0.35">
      <c r="A38" s="81"/>
      <c r="B38" s="89" t="s">
        <v>108</v>
      </c>
      <c r="C38" s="56" t="s">
        <v>129</v>
      </c>
      <c r="D38" s="43" t="s">
        <v>373</v>
      </c>
      <c r="E38" s="41"/>
      <c r="F38" s="41"/>
      <c r="G38" s="42"/>
      <c r="H38" s="65" t="s">
        <v>118</v>
      </c>
      <c r="I38" s="114"/>
    </row>
    <row r="39" spans="1:15" ht="15.75" customHeight="1" x14ac:dyDescent="0.35">
      <c r="A39" s="81"/>
      <c r="B39" s="68" t="s">
        <v>499</v>
      </c>
      <c r="C39" s="64" t="s">
        <v>119</v>
      </c>
      <c r="D39" s="43" t="s">
        <v>376</v>
      </c>
      <c r="E39" s="41"/>
      <c r="F39" s="41"/>
      <c r="G39" s="42"/>
      <c r="H39" s="66" t="s">
        <v>118</v>
      </c>
      <c r="I39" s="112"/>
    </row>
    <row r="40" spans="1:15" ht="15.75" customHeight="1" x14ac:dyDescent="0.35">
      <c r="A40" s="81"/>
      <c r="B40" s="91"/>
      <c r="C40" s="64" t="s">
        <v>115</v>
      </c>
      <c r="D40" s="43" t="s">
        <v>374</v>
      </c>
      <c r="E40" s="41"/>
      <c r="F40" s="41"/>
      <c r="G40" s="42"/>
      <c r="H40" s="66" t="s">
        <v>118</v>
      </c>
      <c r="I40" s="112"/>
    </row>
    <row r="41" spans="1:15" ht="15.75" customHeight="1" x14ac:dyDescent="0.35">
      <c r="A41" s="82"/>
      <c r="B41" s="79"/>
      <c r="C41" s="57" t="s">
        <v>119</v>
      </c>
      <c r="D41" s="46" t="s">
        <v>346</v>
      </c>
      <c r="E41" s="50"/>
      <c r="F41" s="50"/>
      <c r="G41" s="45"/>
      <c r="H41" s="67" t="s">
        <v>114</v>
      </c>
      <c r="I41" s="113"/>
    </row>
    <row r="42" spans="1:15" ht="15.75" customHeight="1" x14ac:dyDescent="0.35">
      <c r="A42" s="41"/>
      <c r="B42" s="58"/>
      <c r="C42" s="59"/>
      <c r="D42" s="41"/>
      <c r="E42" s="41"/>
      <c r="F42" s="41"/>
      <c r="G42" s="41"/>
      <c r="H42" s="41"/>
      <c r="I42" s="41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687"/>
      <c r="B44" s="688"/>
      <c r="C44" s="688"/>
      <c r="D44" s="689"/>
      <c r="E44" s="419"/>
      <c r="F44" s="420"/>
      <c r="G44" s="419"/>
      <c r="H44" s="420"/>
      <c r="I44" s="421"/>
    </row>
    <row r="45" spans="1:15" ht="15.75" customHeight="1" x14ac:dyDescent="0.35">
      <c r="A45" s="713"/>
      <c r="B45" s="714"/>
      <c r="C45" s="714"/>
      <c r="D45" s="715"/>
      <c r="E45" s="716"/>
      <c r="F45" s="717"/>
      <c r="G45" s="695" t="s">
        <v>375</v>
      </c>
      <c r="H45" s="696"/>
      <c r="I45" s="697"/>
    </row>
    <row r="46" spans="1:15" ht="15.75" customHeight="1" x14ac:dyDescent="0.35">
      <c r="A46" s="320"/>
      <c r="B46" s="321"/>
      <c r="C46" s="321"/>
      <c r="D46" s="322"/>
      <c r="E46" s="313"/>
      <c r="F46" s="118"/>
      <c r="G46" s="314"/>
      <c r="H46" s="315"/>
      <c r="I46" s="316"/>
    </row>
    <row r="47" spans="1:15" ht="15.75" customHeight="1" x14ac:dyDescent="0.35">
      <c r="A47" s="730"/>
      <c r="B47" s="731"/>
      <c r="C47" s="731"/>
      <c r="D47" s="732"/>
      <c r="E47" s="675"/>
      <c r="F47" s="387"/>
      <c r="G47" s="680"/>
      <c r="H47" s="681"/>
      <c r="I47" s="682"/>
    </row>
    <row r="48" spans="1:15" ht="15.75" customHeight="1" x14ac:dyDescent="0.35">
      <c r="A48" s="383" t="s">
        <v>379</v>
      </c>
      <c r="B48" s="728"/>
      <c r="C48" s="728"/>
      <c r="D48" s="729"/>
      <c r="E48" s="675"/>
      <c r="F48" s="387"/>
      <c r="G48" s="388" t="s">
        <v>176</v>
      </c>
      <c r="H48" s="389"/>
      <c r="I48" s="390"/>
    </row>
    <row r="49" spans="1:9" ht="15.75" customHeight="1" x14ac:dyDescent="0.35">
      <c r="A49" s="145"/>
      <c r="B49" s="146"/>
      <c r="C49" s="146"/>
      <c r="D49" s="147"/>
      <c r="E49" s="313"/>
      <c r="F49" s="118"/>
      <c r="G49" s="148" t="s">
        <v>177</v>
      </c>
      <c r="H49" s="149"/>
      <c r="I49" s="150"/>
    </row>
    <row r="50" spans="1:9" ht="15.75" customHeight="1" x14ac:dyDescent="0.35">
      <c r="A50" s="748" t="s">
        <v>378</v>
      </c>
      <c r="B50" s="749"/>
      <c r="C50" s="749"/>
      <c r="D50" s="750"/>
      <c r="E50" s="676"/>
      <c r="F50" s="373"/>
      <c r="G50" s="374"/>
      <c r="H50" s="375"/>
      <c r="I50" s="376"/>
    </row>
    <row r="51" spans="1:9" ht="15.75" customHeight="1" x14ac:dyDescent="0.35"/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</sheetData>
  <mergeCells count="31">
    <mergeCell ref="A48:D48"/>
    <mergeCell ref="E48:F48"/>
    <mergeCell ref="G48:I48"/>
    <mergeCell ref="A50:D50"/>
    <mergeCell ref="E50:F50"/>
    <mergeCell ref="G50:I50"/>
    <mergeCell ref="A45:D45"/>
    <mergeCell ref="E45:F45"/>
    <mergeCell ref="G45:I45"/>
    <mergeCell ref="A47:D47"/>
    <mergeCell ref="E47:F47"/>
    <mergeCell ref="G47:I47"/>
    <mergeCell ref="A18:I18"/>
    <mergeCell ref="A31:I32"/>
    <mergeCell ref="A33:I33"/>
    <mergeCell ref="A43:D44"/>
    <mergeCell ref="E43:F44"/>
    <mergeCell ref="G43:I44"/>
    <mergeCell ref="A6:H7"/>
    <mergeCell ref="I6:I7"/>
    <mergeCell ref="A16:B17"/>
    <mergeCell ref="C16:C17"/>
    <mergeCell ref="D16:G17"/>
    <mergeCell ref="H16:H17"/>
    <mergeCell ref="I16:I17"/>
    <mergeCell ref="A1:E2"/>
    <mergeCell ref="F1:H2"/>
    <mergeCell ref="I1:I2"/>
    <mergeCell ref="A3:B3"/>
    <mergeCell ref="A4:H5"/>
    <mergeCell ref="I4:I5"/>
  </mergeCells>
  <hyperlinks>
    <hyperlink ref="I23" r:id="rId1" location="doc/11893/44" display="https://edu.suissetec.ch/ - doc/11893/44" xr:uid="{71C778C9-3487-42D0-BEB0-FFD5590BA63C}"/>
    <hyperlink ref="I36" r:id="rId2" xr:uid="{254D4C3A-1062-42D3-BB1D-48B3B0B0E11E}"/>
    <hyperlink ref="I37" r:id="rId3" xr:uid="{B1CF576C-5BFF-4F1A-961D-8CC507E14E43}"/>
  </hyperlinks>
  <pageMargins left="0.25" right="0.25" top="0.75" bottom="0.75" header="0.3" footer="0.3"/>
  <pageSetup paperSize="9" orientation="portrait" r:id="rId4"/>
  <headerFooter>
    <oddHeader>&amp;LGBS SG&amp;CSAIa25-29&amp;RBKU</oddHeader>
    <oddFooter>&amp;RART &amp;D</oddFooter>
  </headerFooter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A1CD-FAAA-4F94-BB6A-FE3B3A9CD023}">
  <dimension ref="A1:O53"/>
  <sheetViews>
    <sheetView view="pageLayout" topLeftCell="A13" zoomScaleNormal="100" workbookViewId="0">
      <selection activeCell="G29" sqref="G29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6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Kompetenzraster!R17</f>
        <v>45925</v>
      </c>
      <c r="G1" s="439"/>
      <c r="H1" s="440"/>
      <c r="I1" s="444">
        <v>7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6.5" customHeight="1" x14ac:dyDescent="0.35">
      <c r="A4" s="721" t="s">
        <v>167</v>
      </c>
      <c r="B4" s="722"/>
      <c r="C4" s="722"/>
      <c r="D4" s="722"/>
      <c r="E4" s="722"/>
      <c r="F4" s="722"/>
      <c r="G4" s="722"/>
      <c r="H4" s="723"/>
      <c r="I4" s="727">
        <v>1.5</v>
      </c>
    </row>
    <row r="5" spans="1:11" ht="16.5" customHeight="1" x14ac:dyDescent="0.35">
      <c r="A5" s="724"/>
      <c r="B5" s="725"/>
      <c r="C5" s="725"/>
      <c r="D5" s="725"/>
      <c r="E5" s="725"/>
      <c r="F5" s="725"/>
      <c r="G5" s="725"/>
      <c r="H5" s="726"/>
      <c r="I5" s="727"/>
    </row>
    <row r="6" spans="1:11" ht="16.5" customHeight="1" x14ac:dyDescent="0.35">
      <c r="A6" s="422" t="s">
        <v>178</v>
      </c>
      <c r="B6" s="423"/>
      <c r="C6" s="423"/>
      <c r="D6" s="423"/>
      <c r="E6" s="423"/>
      <c r="F6" s="423"/>
      <c r="G6" s="423"/>
      <c r="H6" s="424"/>
      <c r="I6" s="428">
        <v>1.3</v>
      </c>
    </row>
    <row r="7" spans="1:11" ht="16.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7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6.5" customHeight="1" x14ac:dyDescent="0.35">
      <c r="A9" s="73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6.5" customHeight="1" x14ac:dyDescent="0.35">
      <c r="A10" s="135"/>
      <c r="B10" s="48" t="s">
        <v>179</v>
      </c>
      <c r="C10" s="49"/>
      <c r="D10" s="49"/>
      <c r="E10" s="49"/>
      <c r="F10" s="49"/>
      <c r="G10" s="49"/>
      <c r="H10" s="49"/>
      <c r="I10" s="52"/>
    </row>
    <row r="11" spans="1:11" ht="16.5" customHeight="1" x14ac:dyDescent="0.35">
      <c r="A11" s="136"/>
      <c r="B11" s="43" t="s">
        <v>180</v>
      </c>
      <c r="C11" s="41"/>
      <c r="D11" s="41"/>
      <c r="E11" s="41"/>
      <c r="F11" s="41"/>
      <c r="G11" s="41"/>
      <c r="H11" s="41"/>
      <c r="I11" s="44"/>
    </row>
    <row r="12" spans="1:11" ht="16.5" customHeight="1" x14ac:dyDescent="0.35">
      <c r="A12" s="137"/>
      <c r="B12" s="43" t="s">
        <v>181</v>
      </c>
      <c r="C12" s="41"/>
      <c r="D12" s="41"/>
      <c r="E12" s="41"/>
      <c r="F12" s="41"/>
      <c r="G12" s="41"/>
      <c r="H12" s="41"/>
      <c r="I12" s="47"/>
    </row>
    <row r="13" spans="1:11" ht="16.5" customHeight="1" x14ac:dyDescent="0.35">
      <c r="A13" s="138"/>
      <c r="B13" s="48"/>
      <c r="C13" s="49"/>
      <c r="D13" s="49"/>
      <c r="E13" s="49"/>
      <c r="F13" s="49"/>
      <c r="G13" s="49"/>
      <c r="H13" s="51"/>
      <c r="I13" s="52"/>
      <c r="K13" s="100"/>
    </row>
    <row r="14" spans="1:11" ht="16.5" customHeight="1" x14ac:dyDescent="0.35">
      <c r="A14" s="139"/>
      <c r="B14" s="46" t="s">
        <v>182</v>
      </c>
      <c r="C14" s="50"/>
      <c r="D14" s="50"/>
      <c r="E14" s="50"/>
      <c r="F14" s="50"/>
      <c r="G14" s="50"/>
      <c r="H14" s="45"/>
      <c r="I14" s="47"/>
    </row>
    <row r="15" spans="1:11" ht="11.2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6.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ht="16.5" customHeight="1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718"/>
      <c r="B18" s="719"/>
      <c r="C18" s="719"/>
      <c r="D18" s="719"/>
      <c r="E18" s="719"/>
      <c r="F18" s="719"/>
      <c r="G18" s="719"/>
      <c r="H18" s="719"/>
      <c r="I18" s="720"/>
    </row>
    <row r="19" spans="1:15" ht="16.5" customHeight="1" x14ac:dyDescent="0.35">
      <c r="A19" s="80"/>
      <c r="B19" s="327" t="s">
        <v>89</v>
      </c>
      <c r="C19" s="225" t="s">
        <v>144</v>
      </c>
      <c r="D19" s="226" t="s">
        <v>380</v>
      </c>
      <c r="E19" s="179"/>
      <c r="F19" s="179"/>
      <c r="G19" s="227"/>
      <c r="H19" s="234" t="s">
        <v>118</v>
      </c>
      <c r="I19" s="119"/>
    </row>
    <row r="20" spans="1:15" ht="16.5" customHeight="1" x14ac:dyDescent="0.35">
      <c r="A20" s="80"/>
      <c r="B20" s="62" t="s">
        <v>495</v>
      </c>
      <c r="C20" s="180"/>
      <c r="D20" s="181"/>
      <c r="E20" s="182"/>
      <c r="F20" s="182"/>
      <c r="G20" s="172"/>
      <c r="H20" s="235"/>
      <c r="I20" s="123"/>
    </row>
    <row r="21" spans="1:15" ht="16.5" customHeight="1" x14ac:dyDescent="0.35">
      <c r="A21" s="80"/>
      <c r="B21" s="71"/>
      <c r="C21" s="180"/>
      <c r="D21" s="236"/>
      <c r="E21" s="237"/>
      <c r="F21" s="182"/>
      <c r="G21" s="183"/>
      <c r="H21" s="235"/>
      <c r="I21" s="120"/>
    </row>
    <row r="22" spans="1:15" ht="16.5" customHeight="1" x14ac:dyDescent="0.35">
      <c r="A22" s="80"/>
      <c r="B22" s="328"/>
      <c r="C22" s="63" t="s">
        <v>129</v>
      </c>
      <c r="D22" s="43" t="s">
        <v>381</v>
      </c>
      <c r="E22" s="41"/>
      <c r="F22" s="41"/>
      <c r="G22" s="42"/>
      <c r="H22" s="124" t="s">
        <v>114</v>
      </c>
      <c r="I22" s="121"/>
    </row>
    <row r="23" spans="1:15" ht="16.5" customHeight="1" x14ac:dyDescent="0.35">
      <c r="A23" s="80"/>
      <c r="B23" s="327" t="s">
        <v>90</v>
      </c>
      <c r="C23" s="133" t="s">
        <v>129</v>
      </c>
      <c r="D23" s="129" t="s">
        <v>185</v>
      </c>
      <c r="E23" s="130"/>
      <c r="F23" s="130"/>
      <c r="G23" s="131"/>
      <c r="H23" s="122" t="s">
        <v>118</v>
      </c>
      <c r="I23" s="103"/>
    </row>
    <row r="24" spans="1:15" ht="16.5" customHeight="1" x14ac:dyDescent="0.35">
      <c r="A24" s="80"/>
      <c r="B24" s="62" t="s">
        <v>496</v>
      </c>
      <c r="C24" s="64" t="s">
        <v>119</v>
      </c>
      <c r="D24" s="109" t="s">
        <v>183</v>
      </c>
      <c r="E24" s="107"/>
      <c r="F24" s="41"/>
      <c r="G24" s="132"/>
      <c r="H24" s="101"/>
      <c r="I24" s="114"/>
      <c r="K24" s="101"/>
    </row>
    <row r="25" spans="1:15" ht="16.5" customHeight="1" x14ac:dyDescent="0.35">
      <c r="A25" s="80"/>
      <c r="B25" s="71"/>
      <c r="C25" s="64" t="s">
        <v>99</v>
      </c>
      <c r="D25" s="43" t="s">
        <v>184</v>
      </c>
      <c r="E25" s="41"/>
      <c r="F25" s="41"/>
      <c r="G25" s="42"/>
      <c r="H25" s="101"/>
      <c r="I25" s="114"/>
      <c r="K25" s="102"/>
    </row>
    <row r="26" spans="1:15" ht="16.5" customHeight="1" x14ac:dyDescent="0.35">
      <c r="A26" s="80"/>
      <c r="B26" s="328"/>
      <c r="C26" s="57"/>
      <c r="D26" s="46"/>
      <c r="E26" s="50"/>
      <c r="F26" s="50"/>
      <c r="G26" s="45"/>
      <c r="H26" s="101"/>
      <c r="I26" s="115"/>
    </row>
    <row r="27" spans="1:15" ht="16.5" customHeight="1" x14ac:dyDescent="0.35">
      <c r="A27" s="80"/>
      <c r="B27" s="72" t="s">
        <v>91</v>
      </c>
      <c r="C27" s="64" t="s">
        <v>115</v>
      </c>
      <c r="D27" s="43" t="s">
        <v>186</v>
      </c>
      <c r="E27" s="41"/>
      <c r="F27" s="41"/>
      <c r="G27" s="41"/>
      <c r="H27" s="56" t="s">
        <v>118</v>
      </c>
    </row>
    <row r="28" spans="1:15" ht="16.5" customHeight="1" x14ac:dyDescent="0.35">
      <c r="A28" s="80"/>
      <c r="B28" s="62" t="s">
        <v>497</v>
      </c>
      <c r="C28" s="64" t="s">
        <v>115</v>
      </c>
      <c r="D28" s="43" t="s">
        <v>188</v>
      </c>
      <c r="E28" s="41"/>
      <c r="F28" s="41"/>
      <c r="G28" s="41"/>
      <c r="H28" s="64" t="s">
        <v>114</v>
      </c>
      <c r="I28" s="96"/>
    </row>
    <row r="29" spans="1:15" ht="16.5" customHeight="1" x14ac:dyDescent="0.35">
      <c r="A29" s="80"/>
      <c r="B29" s="71"/>
      <c r="C29" s="64" t="s">
        <v>99</v>
      </c>
      <c r="D29" s="43" t="s">
        <v>187</v>
      </c>
      <c r="E29" s="41"/>
      <c r="F29" s="41"/>
      <c r="G29" s="41"/>
      <c r="H29" s="64" t="s">
        <v>118</v>
      </c>
      <c r="I29" s="93"/>
    </row>
    <row r="30" spans="1:15" ht="16.5" customHeight="1" x14ac:dyDescent="0.35">
      <c r="A30" s="99"/>
      <c r="B30" s="329"/>
      <c r="C30" s="88"/>
      <c r="D30" s="50"/>
      <c r="E30" s="50"/>
      <c r="F30" s="50"/>
      <c r="G30" s="50"/>
      <c r="H30" s="57"/>
      <c r="I30" s="57"/>
    </row>
    <row r="31" spans="1:15" ht="16.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ht="16.5" customHeight="1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6.5" customHeight="1" x14ac:dyDescent="0.35">
      <c r="A34" s="81"/>
      <c r="B34" s="90" t="s">
        <v>107</v>
      </c>
      <c r="C34" s="95" t="s">
        <v>129</v>
      </c>
      <c r="D34" s="125" t="s">
        <v>191</v>
      </c>
      <c r="E34" s="49"/>
      <c r="F34" s="49"/>
      <c r="G34" s="94"/>
      <c r="H34" s="65" t="s">
        <v>114</v>
      </c>
      <c r="I34" s="103"/>
      <c r="K34" s="41"/>
      <c r="L34" s="41"/>
      <c r="M34" s="41"/>
      <c r="N34" s="41"/>
      <c r="O34" s="41"/>
    </row>
    <row r="35" spans="1:15" ht="16.5" customHeight="1" x14ac:dyDescent="0.35">
      <c r="A35" s="81"/>
      <c r="B35" s="62" t="s">
        <v>498</v>
      </c>
      <c r="C35" s="55" t="s">
        <v>115</v>
      </c>
      <c r="D35" s="43" t="s">
        <v>192</v>
      </c>
      <c r="E35" s="41"/>
      <c r="F35" s="41"/>
      <c r="G35" s="42"/>
      <c r="H35" s="66" t="s">
        <v>114</v>
      </c>
      <c r="I35" s="93"/>
      <c r="K35" s="41"/>
      <c r="L35" s="41"/>
      <c r="M35" s="41"/>
      <c r="N35" s="41"/>
      <c r="O35" s="41"/>
    </row>
    <row r="36" spans="1:15" ht="16.5" customHeight="1" x14ac:dyDescent="0.35">
      <c r="A36" s="81"/>
      <c r="B36" s="91"/>
      <c r="C36" s="55" t="s">
        <v>115</v>
      </c>
      <c r="D36" s="126" t="s">
        <v>193</v>
      </c>
      <c r="E36" s="41"/>
      <c r="F36" s="41"/>
      <c r="G36" s="118"/>
      <c r="H36" s="66" t="s">
        <v>118</v>
      </c>
      <c r="I36" s="334" t="s">
        <v>189</v>
      </c>
      <c r="K36" s="41"/>
      <c r="L36" s="41"/>
      <c r="M36" s="41"/>
      <c r="N36" s="41"/>
      <c r="O36" s="41"/>
    </row>
    <row r="37" spans="1:15" ht="16.5" customHeight="1" x14ac:dyDescent="0.35">
      <c r="A37" s="81"/>
      <c r="B37" s="92"/>
      <c r="C37" s="55" t="s">
        <v>115</v>
      </c>
      <c r="D37" s="46" t="s">
        <v>197</v>
      </c>
      <c r="E37" s="50"/>
      <c r="F37" s="50"/>
      <c r="G37" s="45"/>
      <c r="H37" s="67"/>
      <c r="I37" s="333" t="s">
        <v>190</v>
      </c>
    </row>
    <row r="38" spans="1:15" ht="16.5" customHeight="1" x14ac:dyDescent="0.35">
      <c r="A38" s="81"/>
      <c r="B38" s="89" t="s">
        <v>108</v>
      </c>
      <c r="C38" s="56" t="s">
        <v>99</v>
      </c>
      <c r="D38" s="43" t="s">
        <v>196</v>
      </c>
      <c r="E38" s="41"/>
      <c r="F38" s="41"/>
      <c r="G38" s="42"/>
      <c r="H38" s="65" t="s">
        <v>207</v>
      </c>
      <c r="I38" s="127"/>
    </row>
    <row r="39" spans="1:15" ht="16.5" customHeight="1" x14ac:dyDescent="0.35">
      <c r="A39" s="81"/>
      <c r="B39" s="68" t="s">
        <v>499</v>
      </c>
      <c r="C39" s="64" t="s">
        <v>115</v>
      </c>
      <c r="D39" s="43" t="s">
        <v>382</v>
      </c>
      <c r="E39" s="41"/>
      <c r="F39" s="41"/>
      <c r="G39" s="42"/>
      <c r="H39" s="66" t="s">
        <v>114</v>
      </c>
      <c r="I39" s="128"/>
    </row>
    <row r="40" spans="1:15" ht="16.5" customHeight="1" x14ac:dyDescent="0.35">
      <c r="A40" s="81"/>
      <c r="B40" s="91"/>
      <c r="C40" s="64" t="s">
        <v>115</v>
      </c>
      <c r="D40" s="43" t="s">
        <v>198</v>
      </c>
      <c r="E40" s="41"/>
      <c r="F40" s="41"/>
      <c r="G40" s="42"/>
      <c r="H40" s="66" t="s">
        <v>114</v>
      </c>
      <c r="I40" s="238"/>
    </row>
    <row r="41" spans="1:15" ht="16.5" customHeight="1" x14ac:dyDescent="0.35">
      <c r="A41" s="82"/>
      <c r="B41" s="79"/>
      <c r="C41" s="57"/>
      <c r="D41" s="46"/>
      <c r="E41" s="50"/>
      <c r="F41" s="50"/>
      <c r="G41" s="45"/>
      <c r="H41" s="67"/>
      <c r="I41" s="151"/>
    </row>
    <row r="42" spans="1:15" ht="7" customHeight="1" x14ac:dyDescent="0.35">
      <c r="A42" s="41"/>
      <c r="B42" s="58"/>
      <c r="C42" s="59"/>
      <c r="D42" s="41"/>
      <c r="E42" s="41"/>
      <c r="F42" s="41"/>
      <c r="G42" s="41"/>
      <c r="H42" s="41"/>
      <c r="I42" s="41"/>
    </row>
    <row r="43" spans="1:15" ht="16.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6.5" customHeight="1" x14ac:dyDescent="0.35">
      <c r="A44" s="687"/>
      <c r="B44" s="688"/>
      <c r="C44" s="688"/>
      <c r="D44" s="689"/>
      <c r="E44" s="419"/>
      <c r="F44" s="420"/>
      <c r="G44" s="419"/>
      <c r="H44" s="420"/>
      <c r="I44" s="421"/>
    </row>
    <row r="45" spans="1:15" ht="16.5" customHeight="1" x14ac:dyDescent="0.35">
      <c r="A45" s="713" t="s">
        <v>200</v>
      </c>
      <c r="B45" s="714"/>
      <c r="C45" s="714"/>
      <c r="D45" s="714"/>
      <c r="E45" s="759" t="s">
        <v>384</v>
      </c>
      <c r="F45" s="760"/>
      <c r="G45" s="761" t="s">
        <v>201</v>
      </c>
      <c r="H45" s="761"/>
      <c r="I45" s="762"/>
    </row>
    <row r="46" spans="1:15" ht="16.5" customHeight="1" x14ac:dyDescent="0.35">
      <c r="A46" s="730"/>
      <c r="B46" s="731"/>
      <c r="C46" s="731"/>
      <c r="D46" s="731"/>
      <c r="E46" s="686" t="s">
        <v>504</v>
      </c>
      <c r="F46" s="368"/>
      <c r="G46" s="753"/>
      <c r="H46" s="753"/>
      <c r="I46" s="754"/>
    </row>
    <row r="47" spans="1:15" ht="16.5" customHeight="1" x14ac:dyDescent="0.35">
      <c r="A47" s="755" t="s">
        <v>383</v>
      </c>
      <c r="B47" s="756"/>
      <c r="C47" s="756"/>
      <c r="D47" s="756"/>
      <c r="E47" s="751" t="s">
        <v>385</v>
      </c>
      <c r="F47" s="752"/>
      <c r="G47" s="684" t="s">
        <v>194</v>
      </c>
      <c r="H47" s="684"/>
      <c r="I47" s="685"/>
    </row>
    <row r="48" spans="1:15" ht="16.5" customHeight="1" x14ac:dyDescent="0.35">
      <c r="A48" s="369" t="s">
        <v>199</v>
      </c>
      <c r="B48" s="370"/>
      <c r="C48" s="370"/>
      <c r="D48" s="370"/>
      <c r="E48" s="757">
        <v>45953</v>
      </c>
      <c r="F48" s="758"/>
      <c r="G48" s="375" t="s">
        <v>195</v>
      </c>
      <c r="H48" s="375"/>
      <c r="I48" s="376"/>
    </row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</sheetData>
  <mergeCells count="31">
    <mergeCell ref="A18:I18"/>
    <mergeCell ref="A31:I32"/>
    <mergeCell ref="A6:H7"/>
    <mergeCell ref="I6:I7"/>
    <mergeCell ref="A16:B17"/>
    <mergeCell ref="C16:C17"/>
    <mergeCell ref="D16:G17"/>
    <mergeCell ref="H16:H17"/>
    <mergeCell ref="I16:I17"/>
    <mergeCell ref="A1:E2"/>
    <mergeCell ref="F1:H2"/>
    <mergeCell ref="I1:I2"/>
    <mergeCell ref="A3:B3"/>
    <mergeCell ref="A4:H5"/>
    <mergeCell ref="I4:I5"/>
    <mergeCell ref="A33:I33"/>
    <mergeCell ref="A43:D44"/>
    <mergeCell ref="E43:F44"/>
    <mergeCell ref="G43:I44"/>
    <mergeCell ref="A45:D45"/>
    <mergeCell ref="E45:F45"/>
    <mergeCell ref="G45:I45"/>
    <mergeCell ref="A48:D48"/>
    <mergeCell ref="E47:F47"/>
    <mergeCell ref="G48:I48"/>
    <mergeCell ref="A46:D46"/>
    <mergeCell ref="E46:F46"/>
    <mergeCell ref="G46:I46"/>
    <mergeCell ref="A47:D47"/>
    <mergeCell ref="G47:I47"/>
    <mergeCell ref="E48:F48"/>
  </mergeCells>
  <hyperlinks>
    <hyperlink ref="I36" r:id="rId1" xr:uid="{044FEABD-0A84-4E7B-98D5-F451124AF57A}"/>
    <hyperlink ref="I37" r:id="rId2" xr:uid="{019DE8CD-C27B-4F28-8966-FA3DCE6BA482}"/>
  </hyperlinks>
  <pageMargins left="0.25" right="0.25" top="0.75" bottom="0.75" header="0.3" footer="0.3"/>
  <pageSetup paperSize="9" orientation="portrait" r:id="rId3"/>
  <headerFooter>
    <oddHeader>&amp;LGBS SG&amp;CSAIa25-29&amp;RBKU</oddHeader>
    <oddFooter>&amp;RART &amp;D</oddFooter>
  </headerFooter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89D5-CE4E-4AAF-9D8C-8E96F08895CD}">
  <dimension ref="A1:O54"/>
  <sheetViews>
    <sheetView view="pageLayout" topLeftCell="A12" zoomScaleNormal="100" workbookViewId="0">
      <selection activeCell="G22" sqref="G22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6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Kompetenzraster!R19</f>
        <v>45953</v>
      </c>
      <c r="G1" s="439"/>
      <c r="H1" s="440"/>
      <c r="I1" s="444">
        <v>8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6.5" customHeight="1" x14ac:dyDescent="0.35">
      <c r="A4" s="721" t="s">
        <v>167</v>
      </c>
      <c r="B4" s="722"/>
      <c r="C4" s="722"/>
      <c r="D4" s="722"/>
      <c r="E4" s="722"/>
      <c r="F4" s="722"/>
      <c r="G4" s="722"/>
      <c r="H4" s="723"/>
      <c r="I4" s="727">
        <v>1.5</v>
      </c>
    </row>
    <row r="5" spans="1:11" ht="16.5" customHeight="1" x14ac:dyDescent="0.35">
      <c r="A5" s="724"/>
      <c r="B5" s="725"/>
      <c r="C5" s="725"/>
      <c r="D5" s="725"/>
      <c r="E5" s="725"/>
      <c r="F5" s="725"/>
      <c r="G5" s="725"/>
      <c r="H5" s="726"/>
      <c r="I5" s="727"/>
    </row>
    <row r="6" spans="1:11" ht="16.5" customHeight="1" x14ac:dyDescent="0.35">
      <c r="A6" s="422" t="s">
        <v>178</v>
      </c>
      <c r="B6" s="423"/>
      <c r="C6" s="423"/>
      <c r="D6" s="423"/>
      <c r="E6" s="423"/>
      <c r="F6" s="423"/>
      <c r="G6" s="423"/>
      <c r="H6" s="424"/>
      <c r="I6" s="428">
        <v>1.3</v>
      </c>
    </row>
    <row r="7" spans="1:11" ht="16.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7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6.5" customHeight="1" x14ac:dyDescent="0.35">
      <c r="A9" s="73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6.5" customHeight="1" x14ac:dyDescent="0.35">
      <c r="A10" s="135"/>
      <c r="B10" s="48" t="s">
        <v>202</v>
      </c>
      <c r="C10" s="49"/>
      <c r="D10" s="49"/>
      <c r="E10" s="49"/>
      <c r="F10" s="49"/>
      <c r="G10" s="49"/>
      <c r="H10" s="49"/>
      <c r="I10" s="52"/>
    </row>
    <row r="11" spans="1:11" ht="16.5" customHeight="1" x14ac:dyDescent="0.35">
      <c r="A11" s="136"/>
      <c r="B11" s="43" t="s">
        <v>180</v>
      </c>
      <c r="C11" s="41"/>
      <c r="D11" s="41"/>
      <c r="E11" s="41"/>
      <c r="F11" s="41"/>
      <c r="G11" s="41"/>
      <c r="H11" s="41"/>
      <c r="I11" s="44"/>
    </row>
    <row r="12" spans="1:11" ht="16.5" customHeight="1" x14ac:dyDescent="0.35">
      <c r="A12" s="137"/>
      <c r="B12" s="43" t="s">
        <v>181</v>
      </c>
      <c r="C12" s="41"/>
      <c r="D12" s="41"/>
      <c r="E12" s="41"/>
      <c r="F12" s="41"/>
      <c r="G12" s="41"/>
      <c r="H12" s="41"/>
      <c r="I12" s="47"/>
    </row>
    <row r="13" spans="1:11" ht="16.5" customHeight="1" x14ac:dyDescent="0.35">
      <c r="A13" s="138"/>
      <c r="B13" s="48" t="s">
        <v>204</v>
      </c>
      <c r="C13" s="49"/>
      <c r="D13" s="49"/>
      <c r="E13" s="49"/>
      <c r="F13" s="49"/>
      <c r="G13" s="49"/>
      <c r="H13" s="51"/>
      <c r="I13" s="52"/>
      <c r="K13" s="100"/>
    </row>
    <row r="14" spans="1:11" ht="16.5" customHeight="1" x14ac:dyDescent="0.35">
      <c r="A14" s="139"/>
      <c r="B14" s="46" t="s">
        <v>203</v>
      </c>
      <c r="C14" s="50"/>
      <c r="D14" s="50"/>
      <c r="E14" s="50"/>
      <c r="F14" s="50"/>
      <c r="G14" s="50"/>
      <c r="H14" s="45"/>
      <c r="I14" s="47"/>
    </row>
    <row r="15" spans="1:11" ht="5.2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6.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ht="16.5" customHeight="1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718"/>
      <c r="B18" s="719"/>
      <c r="C18" s="719"/>
      <c r="D18" s="719"/>
      <c r="E18" s="719"/>
      <c r="F18" s="719"/>
      <c r="G18" s="719"/>
      <c r="H18" s="719"/>
      <c r="I18" s="720"/>
    </row>
    <row r="19" spans="1:15" ht="16.5" customHeight="1" x14ac:dyDescent="0.35">
      <c r="A19" s="80"/>
      <c r="B19" s="327" t="s">
        <v>89</v>
      </c>
      <c r="C19" s="54" t="s">
        <v>115</v>
      </c>
      <c r="D19" s="242" t="s">
        <v>386</v>
      </c>
      <c r="E19" s="243"/>
      <c r="F19" s="243"/>
      <c r="G19" s="40"/>
      <c r="H19" s="122" t="s">
        <v>114</v>
      </c>
      <c r="I19" s="119"/>
    </row>
    <row r="20" spans="1:15" ht="16.5" customHeight="1" x14ac:dyDescent="0.35">
      <c r="A20" s="80"/>
      <c r="B20" s="62" t="s">
        <v>495</v>
      </c>
      <c r="C20" s="55" t="s">
        <v>98</v>
      </c>
      <c r="D20" s="241" t="s">
        <v>387</v>
      </c>
      <c r="E20" s="244"/>
      <c r="F20" s="244"/>
      <c r="G20" s="85"/>
      <c r="H20" s="101" t="s">
        <v>114</v>
      </c>
      <c r="I20" s="239"/>
    </row>
    <row r="21" spans="1:15" ht="16.5" customHeight="1" x14ac:dyDescent="0.35">
      <c r="A21" s="80"/>
      <c r="B21" s="71"/>
      <c r="C21" s="55" t="s">
        <v>129</v>
      </c>
      <c r="D21" s="241" t="s">
        <v>388</v>
      </c>
      <c r="E21" s="245"/>
      <c r="F21" s="244"/>
      <c r="G21" s="246"/>
      <c r="H21" s="101"/>
      <c r="I21" s="240" t="s">
        <v>123</v>
      </c>
    </row>
    <row r="22" spans="1:15" ht="16.5" customHeight="1" x14ac:dyDescent="0.35">
      <c r="A22" s="80"/>
      <c r="B22" s="328"/>
      <c r="C22" s="63"/>
      <c r="D22" s="241"/>
      <c r="E22" s="244"/>
      <c r="F22" s="244"/>
      <c r="G22" s="246"/>
      <c r="H22" s="124"/>
      <c r="I22" s="337"/>
    </row>
    <row r="23" spans="1:15" ht="16.5" customHeight="1" x14ac:dyDescent="0.35">
      <c r="A23" s="80"/>
      <c r="B23" s="327" t="s">
        <v>90</v>
      </c>
      <c r="C23" s="133" t="s">
        <v>115</v>
      </c>
      <c r="D23" s="247" t="s">
        <v>390</v>
      </c>
      <c r="E23" s="248"/>
      <c r="F23" s="248"/>
      <c r="G23" s="249"/>
      <c r="H23" s="122" t="s">
        <v>118</v>
      </c>
      <c r="I23" s="103"/>
    </row>
    <row r="24" spans="1:15" ht="16.5" customHeight="1" x14ac:dyDescent="0.35">
      <c r="A24" s="80"/>
      <c r="B24" s="62" t="s">
        <v>496</v>
      </c>
      <c r="C24" s="64"/>
      <c r="D24" s="241"/>
      <c r="E24" s="245"/>
      <c r="F24" s="244"/>
      <c r="G24" s="250"/>
      <c r="H24" s="101"/>
      <c r="I24" s="114"/>
      <c r="K24" s="101"/>
    </row>
    <row r="25" spans="1:15" ht="16.5" customHeight="1" x14ac:dyDescent="0.35">
      <c r="A25" s="80"/>
      <c r="B25" s="71"/>
      <c r="C25" s="64" t="s">
        <v>117</v>
      </c>
      <c r="D25" s="241" t="s">
        <v>389</v>
      </c>
      <c r="E25" s="244"/>
      <c r="F25" s="244"/>
      <c r="G25" s="246"/>
      <c r="H25" s="101" t="s">
        <v>118</v>
      </c>
      <c r="I25" s="114"/>
      <c r="K25" s="102"/>
    </row>
    <row r="26" spans="1:15" ht="16.5" customHeight="1" x14ac:dyDescent="0.35">
      <c r="A26" s="80"/>
      <c r="B26" s="328"/>
      <c r="C26" s="57"/>
      <c r="D26" s="251" t="s">
        <v>392</v>
      </c>
      <c r="E26" s="252"/>
      <c r="F26" s="252"/>
      <c r="G26" s="253"/>
      <c r="H26" s="101"/>
      <c r="I26" s="151"/>
    </row>
    <row r="27" spans="1:15" ht="16.5" customHeight="1" x14ac:dyDescent="0.35">
      <c r="A27" s="138"/>
      <c r="B27" s="72" t="s">
        <v>91</v>
      </c>
      <c r="C27" s="64" t="s">
        <v>129</v>
      </c>
      <c r="D27" s="241" t="s">
        <v>391</v>
      </c>
      <c r="E27" s="244"/>
      <c r="F27" s="244"/>
      <c r="G27" s="244"/>
      <c r="H27" s="56" t="s">
        <v>114</v>
      </c>
      <c r="I27" s="140"/>
    </row>
    <row r="28" spans="1:15" ht="16.5" customHeight="1" x14ac:dyDescent="0.35">
      <c r="A28" s="161"/>
      <c r="B28" s="62" t="s">
        <v>497</v>
      </c>
      <c r="C28" s="64" t="s">
        <v>98</v>
      </c>
      <c r="D28" s="241" t="s">
        <v>393</v>
      </c>
      <c r="E28" s="244"/>
      <c r="F28" s="244"/>
      <c r="G28" s="244"/>
      <c r="H28" s="64" t="s">
        <v>118</v>
      </c>
      <c r="I28" s="96"/>
    </row>
    <row r="29" spans="1:15" ht="16.5" customHeight="1" x14ac:dyDescent="0.35">
      <c r="A29" s="161"/>
      <c r="B29" s="71"/>
      <c r="C29" s="64" t="s">
        <v>115</v>
      </c>
      <c r="D29" s="241" t="s">
        <v>394</v>
      </c>
      <c r="E29" s="244"/>
      <c r="F29" s="244"/>
      <c r="G29" s="244"/>
      <c r="H29" s="64" t="s">
        <v>118</v>
      </c>
      <c r="I29" s="93"/>
    </row>
    <row r="30" spans="1:15" ht="16.5" customHeight="1" x14ac:dyDescent="0.35">
      <c r="A30" s="139"/>
      <c r="B30" s="329"/>
      <c r="C30" s="88"/>
      <c r="D30" s="252"/>
      <c r="E30" s="252"/>
      <c r="F30" s="252"/>
      <c r="G30" s="252"/>
      <c r="H30" s="57"/>
      <c r="I30" s="57"/>
    </row>
    <row r="31" spans="1:15" ht="16.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ht="16.5" customHeight="1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6.5" customHeight="1" x14ac:dyDescent="0.35">
      <c r="A34" s="81"/>
      <c r="B34" s="90" t="s">
        <v>107</v>
      </c>
      <c r="C34" s="95" t="s">
        <v>115</v>
      </c>
      <c r="D34" s="125" t="s">
        <v>395</v>
      </c>
      <c r="E34" s="49"/>
      <c r="F34" s="49"/>
      <c r="G34" s="94"/>
      <c r="H34" s="65" t="s">
        <v>118</v>
      </c>
      <c r="I34" s="103"/>
      <c r="K34" s="41"/>
      <c r="L34" s="41"/>
      <c r="M34" s="41"/>
      <c r="N34" s="41"/>
      <c r="O34" s="41"/>
    </row>
    <row r="35" spans="1:15" ht="16.5" customHeight="1" x14ac:dyDescent="0.35">
      <c r="A35" s="81"/>
      <c r="B35" s="62" t="s">
        <v>498</v>
      </c>
      <c r="C35" s="55" t="s">
        <v>119</v>
      </c>
      <c r="D35" s="43" t="s">
        <v>396</v>
      </c>
      <c r="E35" s="41"/>
      <c r="F35" s="41"/>
      <c r="G35" s="42"/>
      <c r="H35" s="66" t="s">
        <v>114</v>
      </c>
      <c r="I35" s="93"/>
      <c r="K35" s="41"/>
      <c r="L35" s="41"/>
      <c r="M35" s="41"/>
      <c r="N35" s="41"/>
      <c r="O35" s="41"/>
    </row>
    <row r="36" spans="1:15" ht="16.5" customHeight="1" x14ac:dyDescent="0.35">
      <c r="A36" s="81"/>
      <c r="B36" s="91"/>
      <c r="C36" s="55" t="s">
        <v>144</v>
      </c>
      <c r="D36" s="126" t="s">
        <v>399</v>
      </c>
      <c r="E36" s="41"/>
      <c r="F36" s="41"/>
      <c r="G36" s="118"/>
      <c r="H36" s="66" t="s">
        <v>118</v>
      </c>
      <c r="I36" s="93" t="s">
        <v>123</v>
      </c>
      <c r="K36" s="41"/>
      <c r="L36" s="41"/>
      <c r="M36" s="41"/>
      <c r="N36" s="41"/>
      <c r="O36" s="41"/>
    </row>
    <row r="37" spans="1:15" ht="16.5" customHeight="1" x14ac:dyDescent="0.35">
      <c r="A37" s="81"/>
      <c r="B37" s="92"/>
      <c r="C37" s="55"/>
      <c r="D37" s="46"/>
      <c r="E37" s="50"/>
      <c r="F37" s="50"/>
      <c r="G37" s="45"/>
      <c r="H37" s="67"/>
      <c r="I37" s="144"/>
    </row>
    <row r="38" spans="1:15" ht="16.5" customHeight="1" x14ac:dyDescent="0.35">
      <c r="A38" s="81"/>
      <c r="B38" s="89" t="s">
        <v>108</v>
      </c>
      <c r="C38" s="56" t="s">
        <v>99</v>
      </c>
      <c r="D38" s="41" t="s">
        <v>397</v>
      </c>
      <c r="E38" s="41"/>
      <c r="F38" s="41"/>
      <c r="G38" s="42"/>
      <c r="H38" s="65" t="s">
        <v>118</v>
      </c>
      <c r="I38" s="259" t="s">
        <v>398</v>
      </c>
    </row>
    <row r="39" spans="1:15" ht="16.5" customHeight="1" x14ac:dyDescent="0.35">
      <c r="A39" s="81"/>
      <c r="B39" s="68" t="s">
        <v>499</v>
      </c>
      <c r="C39" s="64" t="s">
        <v>119</v>
      </c>
      <c r="D39" s="41" t="s">
        <v>401</v>
      </c>
      <c r="E39" s="41"/>
      <c r="F39" s="41"/>
      <c r="G39" s="42"/>
      <c r="H39" s="66" t="s">
        <v>114</v>
      </c>
      <c r="I39" s="128"/>
    </row>
    <row r="40" spans="1:15" ht="16.5" customHeight="1" x14ac:dyDescent="0.35">
      <c r="A40" s="81"/>
      <c r="B40" s="91"/>
      <c r="C40" s="153"/>
      <c r="E40" s="41"/>
      <c r="F40" s="41"/>
      <c r="G40" s="42"/>
      <c r="H40" s="66"/>
      <c r="I40" s="238"/>
    </row>
    <row r="41" spans="1:15" ht="16.5" customHeight="1" x14ac:dyDescent="0.35">
      <c r="A41" s="82"/>
      <c r="B41" s="79"/>
      <c r="C41" s="57"/>
      <c r="D41" s="50"/>
      <c r="E41" s="50"/>
      <c r="F41" s="50"/>
      <c r="G41" s="45"/>
      <c r="H41" s="67"/>
      <c r="I41" s="151"/>
    </row>
    <row r="42" spans="1:15" ht="3" customHeight="1" x14ac:dyDescent="0.35">
      <c r="A42" s="41"/>
      <c r="B42" s="58"/>
      <c r="C42" s="59"/>
      <c r="D42" s="41"/>
      <c r="E42" s="41"/>
      <c r="F42" s="41"/>
      <c r="G42" s="41"/>
      <c r="H42" s="41"/>
      <c r="I42" s="41"/>
    </row>
    <row r="43" spans="1:15" ht="16.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6.5" customHeight="1" x14ac:dyDescent="0.35">
      <c r="A44" s="687"/>
      <c r="B44" s="688"/>
      <c r="C44" s="688"/>
      <c r="D44" s="689"/>
      <c r="E44" s="419"/>
      <c r="F44" s="420"/>
      <c r="G44" s="419"/>
      <c r="H44" s="420"/>
      <c r="I44" s="421"/>
    </row>
    <row r="45" spans="1:15" ht="16.5" customHeight="1" x14ac:dyDescent="0.35">
      <c r="A45" s="713" t="s">
        <v>512</v>
      </c>
      <c r="B45" s="714"/>
      <c r="C45" s="714"/>
      <c r="D45" s="714"/>
      <c r="E45" s="759"/>
      <c r="F45" s="760"/>
      <c r="G45" s="761" t="s">
        <v>201</v>
      </c>
      <c r="H45" s="761"/>
      <c r="I45" s="762"/>
    </row>
    <row r="46" spans="1:15" ht="16.5" customHeight="1" x14ac:dyDescent="0.35">
      <c r="A46" s="730"/>
      <c r="B46" s="731"/>
      <c r="C46" s="731"/>
      <c r="D46" s="731"/>
      <c r="E46" s="686"/>
      <c r="F46" s="368"/>
      <c r="G46" s="753" t="s">
        <v>513</v>
      </c>
      <c r="H46" s="753"/>
      <c r="I46" s="754"/>
    </row>
    <row r="47" spans="1:15" ht="16.5" customHeight="1" x14ac:dyDescent="0.35">
      <c r="A47" s="755"/>
      <c r="B47" s="756"/>
      <c r="C47" s="756"/>
      <c r="D47" s="756"/>
      <c r="E47" s="751"/>
      <c r="F47" s="752"/>
      <c r="G47" s="684" t="s">
        <v>209</v>
      </c>
      <c r="H47" s="684"/>
      <c r="I47" s="685"/>
    </row>
    <row r="48" spans="1:15" ht="16.5" customHeight="1" x14ac:dyDescent="0.35">
      <c r="A48" s="335"/>
      <c r="B48" s="336"/>
      <c r="C48" s="336"/>
      <c r="D48" s="336"/>
      <c r="E48" s="751"/>
      <c r="F48" s="752"/>
      <c r="G48" s="149"/>
      <c r="H48" s="149"/>
      <c r="I48" s="150"/>
    </row>
    <row r="49" spans="1:9" ht="16.5" customHeight="1" x14ac:dyDescent="0.35">
      <c r="A49" s="369"/>
      <c r="B49" s="370"/>
      <c r="C49" s="370"/>
      <c r="D49" s="370"/>
      <c r="E49" s="757"/>
      <c r="F49" s="758"/>
      <c r="G49" s="375"/>
      <c r="H49" s="375"/>
      <c r="I49" s="376"/>
    </row>
    <row r="50" spans="1:9" ht="15.75" customHeight="1" x14ac:dyDescent="0.35"/>
    <row r="51" spans="1:9" ht="15.75" customHeight="1" x14ac:dyDescent="0.35"/>
    <row r="52" spans="1:9" ht="15.75" customHeight="1" x14ac:dyDescent="0.35"/>
    <row r="53" spans="1:9" ht="15.75" customHeight="1" x14ac:dyDescent="0.35"/>
    <row r="54" spans="1:9" ht="15.75" customHeight="1" x14ac:dyDescent="0.35"/>
  </sheetData>
  <mergeCells count="32">
    <mergeCell ref="A47:D47"/>
    <mergeCell ref="E47:F47"/>
    <mergeCell ref="G47:I47"/>
    <mergeCell ref="A49:D49"/>
    <mergeCell ref="E49:F49"/>
    <mergeCell ref="G49:I49"/>
    <mergeCell ref="E48:F48"/>
    <mergeCell ref="A45:D45"/>
    <mergeCell ref="E45:F45"/>
    <mergeCell ref="G45:I45"/>
    <mergeCell ref="A46:D46"/>
    <mergeCell ref="E46:F46"/>
    <mergeCell ref="G46:I46"/>
    <mergeCell ref="A18:I18"/>
    <mergeCell ref="A31:I32"/>
    <mergeCell ref="A33:I33"/>
    <mergeCell ref="A43:D44"/>
    <mergeCell ref="E43:F44"/>
    <mergeCell ref="G43:I44"/>
    <mergeCell ref="A6:H7"/>
    <mergeCell ref="I6:I7"/>
    <mergeCell ref="A16:B17"/>
    <mergeCell ref="C16:C17"/>
    <mergeCell ref="D16:G17"/>
    <mergeCell ref="H16:H17"/>
    <mergeCell ref="I16:I17"/>
    <mergeCell ref="A1:E2"/>
    <mergeCell ref="F1:H2"/>
    <mergeCell ref="I1:I2"/>
    <mergeCell ref="A3:B3"/>
    <mergeCell ref="A4:H5"/>
    <mergeCell ref="I4:I5"/>
  </mergeCells>
  <hyperlinks>
    <hyperlink ref="I21" r:id="rId1" location="doc/23461/33" display="https://edu.suissetec.ch/ - doc/23461/33" xr:uid="{BF43FA16-F9BA-4DB4-B0FC-5DD3C428A1EE}"/>
    <hyperlink ref="I36" r:id="rId2" location="doc/20302/29" display="https://edu.suissetec.ch/ - doc/20302/29" xr:uid="{CC776310-F417-4F90-B1F0-BBDB333CF6A6}"/>
  </hyperlinks>
  <pageMargins left="0.25" right="0.25" top="0.75" bottom="0.75" header="0.3" footer="0.3"/>
  <pageSetup paperSize="9" orientation="portrait" r:id="rId3"/>
  <headerFooter>
    <oddHeader>&amp;LGBS SG&amp;CSAIa25-29&amp;RBKU</oddHeader>
    <oddFooter>&amp;RART &amp;D</oddFooter>
  </headerFooter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E91-A95D-4142-9E7C-048ECEAE499E}">
  <dimension ref="A1:I56"/>
  <sheetViews>
    <sheetView view="pageLayout" topLeftCell="A14" zoomScaleNormal="100" workbookViewId="0">
      <selection activeCell="E49" sqref="E49:F49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6.7265625" customWidth="1"/>
  </cols>
  <sheetData>
    <row r="1" spans="1:9" ht="15" customHeight="1" x14ac:dyDescent="0.35">
      <c r="A1" s="432" t="s">
        <v>96</v>
      </c>
      <c r="B1" s="433"/>
      <c r="C1" s="433"/>
      <c r="D1" s="433"/>
      <c r="E1" s="434"/>
      <c r="F1" s="438">
        <f>Kompetenzraster!R21</f>
        <v>45960</v>
      </c>
      <c r="G1" s="439"/>
      <c r="H1" s="440"/>
      <c r="I1" s="444">
        <v>9</v>
      </c>
    </row>
    <row r="2" spans="1:9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9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9" ht="15.75" customHeight="1" x14ac:dyDescent="0.35">
      <c r="A4" s="721" t="s">
        <v>167</v>
      </c>
      <c r="B4" s="722"/>
      <c r="C4" s="722"/>
      <c r="D4" s="722"/>
      <c r="E4" s="722"/>
      <c r="F4" s="722"/>
      <c r="G4" s="722"/>
      <c r="H4" s="723"/>
      <c r="I4" s="727">
        <v>1.5</v>
      </c>
    </row>
    <row r="5" spans="1:9" ht="15.75" customHeight="1" x14ac:dyDescent="0.35">
      <c r="A5" s="724"/>
      <c r="B5" s="725"/>
      <c r="C5" s="725"/>
      <c r="D5" s="725"/>
      <c r="E5" s="725"/>
      <c r="F5" s="725"/>
      <c r="G5" s="725"/>
      <c r="H5" s="726"/>
      <c r="I5" s="727"/>
    </row>
    <row r="6" spans="1:9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9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9" ht="8.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9" ht="15.75" customHeight="1" x14ac:dyDescent="0.35">
      <c r="A9" s="73" t="s">
        <v>80</v>
      </c>
      <c r="B9" s="74"/>
      <c r="C9" s="74"/>
      <c r="D9" s="74"/>
      <c r="E9" s="74"/>
      <c r="F9" s="74"/>
      <c r="G9" s="74"/>
      <c r="H9" s="74"/>
      <c r="I9" s="75"/>
    </row>
    <row r="10" spans="1:9" ht="15.75" customHeight="1" x14ac:dyDescent="0.35">
      <c r="A10" s="135"/>
      <c r="B10" s="43" t="s">
        <v>180</v>
      </c>
      <c r="C10" s="41"/>
      <c r="D10" s="41"/>
      <c r="E10" s="41"/>
      <c r="F10" s="41"/>
      <c r="G10" s="41"/>
      <c r="H10" s="41"/>
      <c r="I10" s="52"/>
    </row>
    <row r="11" spans="1:9" ht="15.75" customHeight="1" x14ac:dyDescent="0.35">
      <c r="A11" s="136"/>
      <c r="B11" s="43" t="s">
        <v>181</v>
      </c>
      <c r="C11" s="41"/>
      <c r="D11" s="41"/>
      <c r="E11" s="41"/>
      <c r="F11" s="41"/>
      <c r="G11" s="41"/>
      <c r="H11" s="41"/>
      <c r="I11" s="44"/>
    </row>
    <row r="12" spans="1:9" ht="15.75" customHeight="1" x14ac:dyDescent="0.35">
      <c r="A12" s="137"/>
      <c r="B12" t="s">
        <v>218</v>
      </c>
      <c r="I12" s="47"/>
    </row>
    <row r="13" spans="1:9" ht="15.75" customHeight="1" x14ac:dyDescent="0.35">
      <c r="A13" s="138"/>
      <c r="B13" s="48" t="s">
        <v>208</v>
      </c>
      <c r="C13" s="49"/>
      <c r="D13" s="49"/>
      <c r="E13" s="49"/>
      <c r="F13" s="49"/>
      <c r="G13" s="49"/>
      <c r="H13" s="51"/>
      <c r="I13" s="52"/>
    </row>
    <row r="14" spans="1:9" ht="15.75" customHeight="1" x14ac:dyDescent="0.35">
      <c r="A14" s="139"/>
      <c r="B14" s="46"/>
      <c r="C14" s="50"/>
      <c r="D14" s="50"/>
      <c r="E14" s="50"/>
      <c r="F14" s="50"/>
      <c r="G14" s="50"/>
      <c r="H14" s="45"/>
      <c r="I14" s="47"/>
    </row>
    <row r="15" spans="1:9" ht="11.2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9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9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9" ht="9.75" customHeight="1" x14ac:dyDescent="0.35">
      <c r="A18" s="784"/>
      <c r="B18" s="785"/>
      <c r="C18" s="786"/>
      <c r="D18" s="785"/>
      <c r="E18" s="785"/>
      <c r="F18" s="785"/>
      <c r="G18" s="785"/>
      <c r="H18" s="785"/>
      <c r="I18" s="787"/>
    </row>
    <row r="19" spans="1:9" x14ac:dyDescent="0.35">
      <c r="A19" s="138"/>
      <c r="B19" s="327" t="s">
        <v>89</v>
      </c>
      <c r="C19" s="69" t="s">
        <v>115</v>
      </c>
      <c r="D19" s="49" t="s">
        <v>402</v>
      </c>
      <c r="E19" s="49"/>
      <c r="F19" s="49"/>
      <c r="G19" s="40"/>
      <c r="H19" s="122" t="s">
        <v>114</v>
      </c>
      <c r="I19" s="117"/>
    </row>
    <row r="20" spans="1:9" x14ac:dyDescent="0.35">
      <c r="A20" s="161"/>
      <c r="B20" s="62" t="s">
        <v>495</v>
      </c>
      <c r="C20" s="64" t="s">
        <v>98</v>
      </c>
      <c r="D20" s="41" t="s">
        <v>404</v>
      </c>
      <c r="E20" s="41"/>
      <c r="F20" s="41"/>
      <c r="G20" s="85"/>
      <c r="H20" s="101" t="s">
        <v>118</v>
      </c>
      <c r="I20" s="93"/>
    </row>
    <row r="21" spans="1:9" x14ac:dyDescent="0.35">
      <c r="A21" s="161"/>
      <c r="B21" s="71"/>
      <c r="C21" s="64"/>
      <c r="D21" s="257" t="s">
        <v>405</v>
      </c>
      <c r="E21" s="107"/>
      <c r="F21" s="41"/>
      <c r="G21" s="42"/>
      <c r="H21" s="101"/>
      <c r="I21" s="93"/>
    </row>
    <row r="22" spans="1:9" x14ac:dyDescent="0.35">
      <c r="A22" s="161"/>
      <c r="B22" s="328"/>
      <c r="C22" s="57" t="s">
        <v>129</v>
      </c>
      <c r="D22" s="41" t="s">
        <v>400</v>
      </c>
      <c r="E22" s="41"/>
      <c r="F22" s="41"/>
      <c r="G22" s="42"/>
      <c r="H22" s="101" t="s">
        <v>118</v>
      </c>
      <c r="I22" s="255"/>
    </row>
    <row r="23" spans="1:9" x14ac:dyDescent="0.35">
      <c r="A23" s="135"/>
      <c r="B23" s="327" t="s">
        <v>90</v>
      </c>
      <c r="C23" s="64" t="s">
        <v>117</v>
      </c>
      <c r="D23" s="49" t="s">
        <v>403</v>
      </c>
      <c r="E23" s="49"/>
      <c r="F23" s="49"/>
      <c r="G23" s="213"/>
      <c r="H23" s="56" t="s">
        <v>118</v>
      </c>
      <c r="I23" s="262"/>
    </row>
    <row r="24" spans="1:9" x14ac:dyDescent="0.35">
      <c r="A24" s="136"/>
      <c r="B24" s="62" t="s">
        <v>496</v>
      </c>
      <c r="C24" s="64"/>
      <c r="D24" s="257"/>
      <c r="E24" s="107"/>
      <c r="F24" s="41"/>
      <c r="G24" s="41"/>
      <c r="H24" s="64"/>
      <c r="I24" s="114"/>
    </row>
    <row r="25" spans="1:9" x14ac:dyDescent="0.35">
      <c r="A25" s="136"/>
      <c r="B25" s="71"/>
      <c r="C25" s="64"/>
      <c r="D25" s="41"/>
      <c r="E25" s="41"/>
      <c r="F25" s="41"/>
      <c r="G25" s="41"/>
      <c r="H25" s="64"/>
      <c r="I25" s="114"/>
    </row>
    <row r="26" spans="1:9" x14ac:dyDescent="0.35">
      <c r="A26" s="136"/>
      <c r="B26" s="328"/>
      <c r="C26" s="57"/>
      <c r="D26" s="258"/>
      <c r="E26" s="171"/>
      <c r="F26" s="50"/>
      <c r="G26" s="50"/>
      <c r="H26" s="57"/>
      <c r="I26" s="115"/>
    </row>
    <row r="27" spans="1:9" x14ac:dyDescent="0.35">
      <c r="A27" s="136"/>
      <c r="B27" s="72" t="s">
        <v>91</v>
      </c>
      <c r="C27" s="254" t="s">
        <v>97</v>
      </c>
      <c r="D27" s="43" t="s">
        <v>413</v>
      </c>
      <c r="E27" s="41"/>
      <c r="F27" s="41"/>
      <c r="G27" s="85"/>
      <c r="H27" s="101" t="s">
        <v>118</v>
      </c>
      <c r="I27" s="140"/>
    </row>
    <row r="28" spans="1:9" x14ac:dyDescent="0.35">
      <c r="A28" s="136"/>
      <c r="B28" s="62" t="s">
        <v>497</v>
      </c>
      <c r="C28" s="55"/>
      <c r="D28" s="43" t="s">
        <v>410</v>
      </c>
      <c r="E28" s="41"/>
      <c r="F28" s="41"/>
      <c r="G28" s="85"/>
      <c r="H28" s="101"/>
      <c r="I28" s="93" t="s">
        <v>123</v>
      </c>
    </row>
    <row r="29" spans="1:9" x14ac:dyDescent="0.35">
      <c r="A29" s="136"/>
      <c r="B29" s="71"/>
      <c r="C29" s="55"/>
      <c r="D29" s="109"/>
      <c r="E29" s="107"/>
      <c r="F29" s="41"/>
      <c r="G29" s="42"/>
      <c r="H29" s="101"/>
      <c r="I29" s="93"/>
    </row>
    <row r="30" spans="1:9" ht="15" customHeight="1" x14ac:dyDescent="0.35">
      <c r="A30" s="137"/>
      <c r="B30" s="329"/>
      <c r="C30" s="63"/>
      <c r="D30" s="46"/>
      <c r="E30" s="50"/>
      <c r="F30" s="50"/>
      <c r="G30" s="45"/>
      <c r="H30" s="124"/>
      <c r="I30" s="57"/>
    </row>
    <row r="31" spans="1:9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</row>
    <row r="32" spans="1:9" x14ac:dyDescent="0.35">
      <c r="A32" s="410"/>
      <c r="B32" s="411"/>
      <c r="C32" s="411"/>
      <c r="D32" s="411"/>
      <c r="E32" s="411"/>
      <c r="F32" s="411"/>
      <c r="G32" s="411"/>
      <c r="H32" s="411"/>
      <c r="I32" s="412"/>
    </row>
    <row r="33" spans="1:9" ht="9.75" customHeight="1" x14ac:dyDescent="0.35">
      <c r="A33" s="707"/>
      <c r="B33" s="708"/>
      <c r="C33" s="708"/>
      <c r="D33" s="708"/>
      <c r="E33" s="708"/>
      <c r="F33" s="708"/>
      <c r="G33" s="708"/>
      <c r="H33" s="708"/>
      <c r="I33" s="709"/>
    </row>
    <row r="34" spans="1:9" ht="15.75" customHeight="1" x14ac:dyDescent="0.35">
      <c r="A34" s="81"/>
      <c r="B34" s="90" t="s">
        <v>107</v>
      </c>
      <c r="C34" s="54" t="s">
        <v>115</v>
      </c>
      <c r="D34" s="48" t="s">
        <v>210</v>
      </c>
      <c r="E34" s="49"/>
      <c r="F34" s="49"/>
      <c r="G34" s="40"/>
      <c r="H34" s="122" t="s">
        <v>207</v>
      </c>
      <c r="I34" s="140"/>
    </row>
    <row r="35" spans="1:9" x14ac:dyDescent="0.35">
      <c r="A35" s="81"/>
      <c r="B35" s="62" t="s">
        <v>498</v>
      </c>
      <c r="C35" s="55" t="s">
        <v>98</v>
      </c>
      <c r="D35" s="43" t="s">
        <v>212</v>
      </c>
      <c r="E35" s="41"/>
      <c r="F35" s="41"/>
      <c r="G35" s="85"/>
      <c r="H35" s="101" t="s">
        <v>118</v>
      </c>
      <c r="I35" s="233" t="s">
        <v>211</v>
      </c>
    </row>
    <row r="36" spans="1:9" ht="15.75" customHeight="1" x14ac:dyDescent="0.35">
      <c r="A36" s="81"/>
      <c r="B36" s="91"/>
      <c r="C36" s="55" t="s">
        <v>129</v>
      </c>
      <c r="D36" s="109" t="s">
        <v>213</v>
      </c>
      <c r="E36" s="107"/>
      <c r="F36" s="41"/>
      <c r="G36" s="42"/>
      <c r="H36" s="101" t="s">
        <v>118</v>
      </c>
      <c r="I36" s="93"/>
    </row>
    <row r="37" spans="1:9" ht="15.75" customHeight="1" x14ac:dyDescent="0.35">
      <c r="A37" s="81"/>
      <c r="B37" s="92"/>
      <c r="C37" s="63"/>
      <c r="D37" s="46"/>
      <c r="E37" s="50"/>
      <c r="F37" s="50"/>
      <c r="G37" s="45"/>
      <c r="H37" s="124"/>
      <c r="I37" s="151"/>
    </row>
    <row r="38" spans="1:9" x14ac:dyDescent="0.35">
      <c r="A38" s="81"/>
      <c r="B38" s="89" t="s">
        <v>108</v>
      </c>
      <c r="C38" s="56" t="s">
        <v>115</v>
      </c>
      <c r="D38" s="109" t="s">
        <v>216</v>
      </c>
      <c r="E38" s="107"/>
      <c r="F38" s="41"/>
      <c r="G38" s="42"/>
      <c r="H38" s="95" t="s">
        <v>118</v>
      </c>
      <c r="I38" s="127"/>
    </row>
    <row r="39" spans="1:9" ht="15.75" customHeight="1" x14ac:dyDescent="0.35">
      <c r="A39" s="81"/>
      <c r="B39" s="68" t="s">
        <v>499</v>
      </c>
      <c r="C39" s="64" t="s">
        <v>144</v>
      </c>
      <c r="D39" s="109" t="s">
        <v>214</v>
      </c>
      <c r="E39" s="107"/>
      <c r="F39" s="41"/>
      <c r="G39" s="42"/>
      <c r="H39" s="55" t="s">
        <v>118</v>
      </c>
      <c r="I39" s="233" t="s">
        <v>215</v>
      </c>
    </row>
    <row r="40" spans="1:9" ht="15.75" customHeight="1" x14ac:dyDescent="0.35">
      <c r="A40" s="81"/>
      <c r="B40" s="91"/>
      <c r="C40" s="142" t="s">
        <v>119</v>
      </c>
      <c r="D40" s="109" t="s">
        <v>217</v>
      </c>
      <c r="E40" s="41"/>
      <c r="F40" s="41"/>
      <c r="G40" s="42"/>
      <c r="H40" s="55" t="s">
        <v>114</v>
      </c>
      <c r="I40" s="128"/>
    </row>
    <row r="41" spans="1:9" ht="15.75" customHeight="1" x14ac:dyDescent="0.35">
      <c r="A41" s="82"/>
      <c r="B41" s="79"/>
      <c r="C41" s="57"/>
      <c r="D41" s="46"/>
      <c r="E41" s="50"/>
      <c r="F41" s="50"/>
      <c r="G41" s="45"/>
      <c r="H41" s="63"/>
      <c r="I41" s="134"/>
    </row>
    <row r="42" spans="1:9" ht="5.9" customHeight="1" x14ac:dyDescent="0.35">
      <c r="A42" s="41"/>
      <c r="B42" s="154"/>
      <c r="C42" s="101"/>
      <c r="D42" s="41"/>
      <c r="E42" s="41"/>
      <c r="F42" s="41"/>
      <c r="G42" s="41"/>
      <c r="H42" s="101"/>
      <c r="I42" s="256"/>
    </row>
    <row r="43" spans="1:9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9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9" ht="15.75" customHeight="1" x14ac:dyDescent="0.35">
      <c r="A45" s="763" t="s">
        <v>408</v>
      </c>
      <c r="B45" s="764"/>
      <c r="C45" s="764"/>
      <c r="D45" s="765"/>
      <c r="E45" s="394"/>
      <c r="F45" s="394"/>
      <c r="G45" s="766" t="s">
        <v>406</v>
      </c>
      <c r="H45" s="767"/>
      <c r="I45" s="768"/>
    </row>
    <row r="46" spans="1:9" ht="15.75" customHeight="1" x14ac:dyDescent="0.35">
      <c r="A46" s="769">
        <v>45967</v>
      </c>
      <c r="B46" s="770"/>
      <c r="C46" s="770"/>
      <c r="D46" s="771"/>
      <c r="E46" s="386"/>
      <c r="F46" s="386"/>
      <c r="G46" s="772" t="s">
        <v>407</v>
      </c>
      <c r="H46" s="773"/>
      <c r="I46" s="774"/>
    </row>
    <row r="47" spans="1:9" ht="15.75" customHeight="1" x14ac:dyDescent="0.35">
      <c r="A47" s="340"/>
      <c r="B47" s="341"/>
      <c r="C47" s="341"/>
      <c r="D47" s="342"/>
      <c r="E47" s="154"/>
      <c r="F47" s="154"/>
      <c r="G47" s="343"/>
      <c r="H47" s="344"/>
      <c r="I47" s="345"/>
    </row>
    <row r="48" spans="1:9" ht="15.75" customHeight="1" x14ac:dyDescent="0.35">
      <c r="A48" s="775"/>
      <c r="B48" s="776"/>
      <c r="C48" s="776"/>
      <c r="D48" s="777"/>
      <c r="E48" s="367"/>
      <c r="F48" s="367"/>
      <c r="G48" s="778"/>
      <c r="H48" s="779"/>
      <c r="I48" s="780"/>
    </row>
    <row r="49" spans="1:9" ht="15.75" customHeight="1" x14ac:dyDescent="0.35">
      <c r="A49" s="781"/>
      <c r="B49" s="782"/>
      <c r="C49" s="782"/>
      <c r="D49" s="783"/>
      <c r="E49" s="386"/>
      <c r="F49" s="387"/>
      <c r="G49" s="388" t="s">
        <v>205</v>
      </c>
      <c r="H49" s="389"/>
      <c r="I49" s="390"/>
    </row>
    <row r="50" spans="1:9" ht="15.75" customHeight="1" x14ac:dyDescent="0.35">
      <c r="A50" s="145"/>
      <c r="B50" s="146"/>
      <c r="C50" s="146"/>
      <c r="D50" s="147"/>
      <c r="E50" s="367"/>
      <c r="F50" s="368"/>
      <c r="G50" s="148" t="s">
        <v>219</v>
      </c>
      <c r="H50" s="149"/>
      <c r="I50" s="150"/>
    </row>
    <row r="51" spans="1:9" ht="15.75" customHeight="1" x14ac:dyDescent="0.35">
      <c r="A51" s="369"/>
      <c r="B51" s="370"/>
      <c r="C51" s="370"/>
      <c r="D51" s="371"/>
      <c r="E51" s="372"/>
      <c r="F51" s="373"/>
      <c r="G51" s="374"/>
      <c r="H51" s="375"/>
      <c r="I51" s="376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35">
    <mergeCell ref="A1:E2"/>
    <mergeCell ref="F1:H2"/>
    <mergeCell ref="I1:I2"/>
    <mergeCell ref="A3:B3"/>
    <mergeCell ref="A4:H5"/>
    <mergeCell ref="I4:I5"/>
    <mergeCell ref="A6:H7"/>
    <mergeCell ref="I6:I7"/>
    <mergeCell ref="A16:B17"/>
    <mergeCell ref="C16:C17"/>
    <mergeCell ref="D16:G17"/>
    <mergeCell ref="H16:H17"/>
    <mergeCell ref="I16:I17"/>
    <mergeCell ref="A18:I18"/>
    <mergeCell ref="A31:I32"/>
    <mergeCell ref="A33:I33"/>
    <mergeCell ref="A43:D44"/>
    <mergeCell ref="E43:F44"/>
    <mergeCell ref="G43:I44"/>
    <mergeCell ref="A51:D51"/>
    <mergeCell ref="E51:F51"/>
    <mergeCell ref="G51:I51"/>
    <mergeCell ref="A45:D45"/>
    <mergeCell ref="E45:F45"/>
    <mergeCell ref="G45:I45"/>
    <mergeCell ref="A46:D46"/>
    <mergeCell ref="E46:F46"/>
    <mergeCell ref="G46:I46"/>
    <mergeCell ref="A48:D48"/>
    <mergeCell ref="G48:I48"/>
    <mergeCell ref="E48:F48"/>
    <mergeCell ref="E50:F50"/>
    <mergeCell ref="A49:D49"/>
    <mergeCell ref="E49:F49"/>
    <mergeCell ref="G49:I49"/>
  </mergeCells>
  <hyperlinks>
    <hyperlink ref="I39" r:id="rId1" xr:uid="{FDE2D3A1-F781-444A-99FA-36DE4CA5540D}"/>
    <hyperlink ref="I28" r:id="rId2" location="doc/23461/56" display="https://edu.suissetec.ch/ - doc/23461/56" xr:uid="{59238FE1-0BE0-48EE-AAD0-F6C59514F74D}"/>
    <hyperlink ref="I35" r:id="rId3" xr:uid="{77DB7E59-934B-4226-BF67-2280BE1AA96A}"/>
  </hyperlinks>
  <pageMargins left="0.25" right="0.25" top="0.75" bottom="0.75" header="0.3" footer="0.3"/>
  <pageSetup paperSize="9" orientation="portrait" r:id="rId4"/>
  <headerFooter>
    <oddHeader>&amp;LGBS SG
&amp;CSAIa25-29&amp;RBKU</oddHeader>
    <oddFooter>&amp;Rarto</oddFooter>
  </headerFooter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0953-1106-44EA-9386-B598013A38F5}">
  <dimension ref="A1:O56"/>
  <sheetViews>
    <sheetView view="pageLayout" topLeftCell="A13" zoomScaleNormal="100" workbookViewId="0">
      <selection activeCell="E47" sqref="E47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7265625" customWidth="1"/>
    <col min="8" max="8" width="4.81640625" customWidth="1"/>
    <col min="9" max="9" width="16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Kompetenzraster!R23</f>
        <v>45967</v>
      </c>
      <c r="G1" s="439"/>
      <c r="H1" s="440"/>
      <c r="I1" s="444">
        <v>10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6" t="s">
        <v>51</v>
      </c>
      <c r="B4" s="447"/>
      <c r="C4" s="447"/>
      <c r="D4" s="447"/>
      <c r="E4" s="447"/>
      <c r="F4" s="447"/>
      <c r="G4" s="447"/>
      <c r="H4" s="448"/>
      <c r="I4" s="452">
        <v>1.6</v>
      </c>
    </row>
    <row r="5" spans="1:11" ht="15.75" customHeight="1" x14ac:dyDescent="0.35">
      <c r="A5" s="449"/>
      <c r="B5" s="450"/>
      <c r="C5" s="450"/>
      <c r="D5" s="450"/>
      <c r="E5" s="450"/>
      <c r="F5" s="450"/>
      <c r="G5" s="450"/>
      <c r="H5" s="451"/>
      <c r="I5" s="452"/>
    </row>
    <row r="6" spans="1:11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8.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164"/>
      <c r="B10" s="41" t="s">
        <v>228</v>
      </c>
      <c r="C10" s="41"/>
      <c r="D10" s="41"/>
      <c r="E10" s="41"/>
      <c r="F10" s="41"/>
      <c r="G10" s="41"/>
      <c r="H10" s="41"/>
      <c r="I10" s="52"/>
    </row>
    <row r="11" spans="1:11" ht="15.75" customHeight="1" x14ac:dyDescent="0.35">
      <c r="A11" s="165"/>
      <c r="B11" s="41" t="s">
        <v>229</v>
      </c>
      <c r="C11" s="41"/>
      <c r="D11" s="41"/>
      <c r="E11" s="41"/>
      <c r="F11" s="41"/>
      <c r="G11" s="41"/>
      <c r="H11" s="41"/>
      <c r="I11" s="44"/>
    </row>
    <row r="12" spans="1:11" ht="15.75" customHeight="1" x14ac:dyDescent="0.35">
      <c r="A12" s="165"/>
      <c r="I12" s="47"/>
    </row>
    <row r="13" spans="1:11" ht="15.75" customHeight="1" x14ac:dyDescent="0.35">
      <c r="A13" s="161"/>
      <c r="B13" s="49" t="s">
        <v>208</v>
      </c>
      <c r="C13" s="49"/>
      <c r="D13" s="49"/>
      <c r="E13" s="49"/>
      <c r="F13" s="49"/>
      <c r="G13" s="49"/>
      <c r="H13" s="51"/>
      <c r="I13" s="52"/>
      <c r="K13" s="100"/>
    </row>
    <row r="14" spans="1:11" ht="15.75" customHeight="1" x14ac:dyDescent="0.35">
      <c r="A14" s="139"/>
      <c r="B14" s="50"/>
      <c r="C14" s="50"/>
      <c r="D14" s="50"/>
      <c r="E14" s="50"/>
      <c r="F14" s="50"/>
      <c r="G14" s="50"/>
      <c r="H14" s="45"/>
      <c r="I14" s="47"/>
    </row>
    <row r="15" spans="1:11" ht="5.9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404"/>
      <c r="B18" s="405"/>
      <c r="C18" s="405"/>
      <c r="D18" s="405"/>
      <c r="E18" s="405"/>
      <c r="F18" s="405"/>
      <c r="G18" s="405"/>
      <c r="H18" s="405"/>
      <c r="I18" s="406"/>
    </row>
    <row r="19" spans="1:15" x14ac:dyDescent="0.35">
      <c r="A19" s="166"/>
      <c r="B19" s="327" t="s">
        <v>89</v>
      </c>
      <c r="C19" s="54" t="s">
        <v>119</v>
      </c>
      <c r="D19" s="48" t="s">
        <v>409</v>
      </c>
      <c r="E19" s="49"/>
      <c r="F19" s="49"/>
      <c r="G19" s="40"/>
      <c r="H19" s="56" t="s">
        <v>114</v>
      </c>
      <c r="I19" s="117"/>
    </row>
    <row r="20" spans="1:15" x14ac:dyDescent="0.35">
      <c r="A20" s="166"/>
      <c r="B20" s="62" t="s">
        <v>495</v>
      </c>
      <c r="C20" s="180" t="s">
        <v>144</v>
      </c>
      <c r="D20" s="260" t="s">
        <v>221</v>
      </c>
      <c r="E20" s="182"/>
      <c r="F20" s="182"/>
      <c r="G20" s="172"/>
      <c r="H20" s="261" t="s">
        <v>118</v>
      </c>
      <c r="I20" s="156" t="s">
        <v>220</v>
      </c>
    </row>
    <row r="21" spans="1:15" x14ac:dyDescent="0.35">
      <c r="A21" s="166"/>
      <c r="B21" s="71"/>
      <c r="C21" s="180"/>
      <c r="D21" s="236"/>
      <c r="E21" s="237"/>
      <c r="F21" s="182"/>
      <c r="G21" s="183"/>
      <c r="H21" s="261"/>
      <c r="I21" s="120"/>
    </row>
    <row r="22" spans="1:15" x14ac:dyDescent="0.35">
      <c r="A22" s="166"/>
      <c r="B22" s="328"/>
      <c r="C22" s="63" t="s">
        <v>115</v>
      </c>
      <c r="D22" s="46" t="s">
        <v>411</v>
      </c>
      <c r="E22" s="50"/>
      <c r="F22" s="50"/>
      <c r="G22" s="45"/>
      <c r="H22" s="57" t="s">
        <v>145</v>
      </c>
      <c r="I22" s="144"/>
    </row>
    <row r="23" spans="1:15" x14ac:dyDescent="0.35">
      <c r="A23" s="166"/>
      <c r="B23" s="327" t="s">
        <v>90</v>
      </c>
      <c r="C23" s="56" t="s">
        <v>99</v>
      </c>
      <c r="D23" s="109" t="s">
        <v>412</v>
      </c>
      <c r="E23" s="107"/>
      <c r="F23" s="41"/>
      <c r="G23" s="42"/>
      <c r="H23" s="56" t="s">
        <v>145</v>
      </c>
      <c r="I23" s="155"/>
    </row>
    <row r="24" spans="1:15" x14ac:dyDescent="0.35">
      <c r="A24" s="166"/>
      <c r="B24" s="62" t="s">
        <v>496</v>
      </c>
      <c r="C24" s="64"/>
      <c r="D24" s="109"/>
      <c r="E24" s="107"/>
      <c r="F24" s="41"/>
      <c r="G24" s="42"/>
      <c r="H24" s="64"/>
      <c r="I24" s="114"/>
      <c r="K24" s="101"/>
    </row>
    <row r="25" spans="1:15" x14ac:dyDescent="0.35">
      <c r="A25" s="166"/>
      <c r="B25" s="71"/>
      <c r="C25" s="64" t="s">
        <v>98</v>
      </c>
      <c r="D25" s="109" t="s">
        <v>222</v>
      </c>
      <c r="E25" s="107"/>
      <c r="F25" s="41"/>
      <c r="G25" s="42"/>
      <c r="H25" s="64" t="s">
        <v>207</v>
      </c>
      <c r="I25" s="114"/>
      <c r="K25" s="102"/>
    </row>
    <row r="26" spans="1:15" x14ac:dyDescent="0.35">
      <c r="A26" s="166"/>
      <c r="B26" s="328"/>
      <c r="C26" s="57"/>
      <c r="D26" s="46"/>
      <c r="E26" s="50"/>
      <c r="F26" s="50"/>
      <c r="G26" s="45"/>
      <c r="H26" s="57"/>
      <c r="I26" s="115"/>
    </row>
    <row r="27" spans="1:15" x14ac:dyDescent="0.35">
      <c r="A27" s="164"/>
      <c r="B27" s="72" t="s">
        <v>91</v>
      </c>
      <c r="C27" s="64" t="s">
        <v>129</v>
      </c>
      <c r="D27" s="43" t="s">
        <v>223</v>
      </c>
      <c r="E27" s="41"/>
      <c r="F27" s="41"/>
      <c r="G27" s="41"/>
      <c r="H27" s="56" t="s">
        <v>118</v>
      </c>
      <c r="I27" s="140"/>
    </row>
    <row r="28" spans="1:15" x14ac:dyDescent="0.35">
      <c r="A28" s="165"/>
      <c r="B28" s="62" t="s">
        <v>497</v>
      </c>
      <c r="C28" s="64" t="s">
        <v>144</v>
      </c>
      <c r="D28" s="43" t="s">
        <v>224</v>
      </c>
      <c r="E28" s="41"/>
      <c r="F28" s="41"/>
      <c r="G28" s="41"/>
      <c r="H28" s="64"/>
      <c r="I28" s="96"/>
      <c r="L28" s="158"/>
    </row>
    <row r="29" spans="1:15" x14ac:dyDescent="0.35">
      <c r="A29" s="165"/>
      <c r="B29" s="71"/>
      <c r="C29" s="64"/>
      <c r="D29" s="43"/>
      <c r="E29" s="41"/>
      <c r="F29" s="41"/>
      <c r="G29" s="41"/>
      <c r="H29" s="64"/>
      <c r="I29" s="93"/>
    </row>
    <row r="30" spans="1:15" ht="15" customHeight="1" x14ac:dyDescent="0.35">
      <c r="A30" s="167"/>
      <c r="B30" s="329"/>
      <c r="C30" s="88"/>
      <c r="D30" s="50"/>
      <c r="E30" s="50"/>
      <c r="F30" s="50"/>
      <c r="G30" s="50"/>
      <c r="H30" s="57"/>
      <c r="I30" s="57"/>
      <c r="L30" s="158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99</v>
      </c>
      <c r="D34" s="125" t="s">
        <v>225</v>
      </c>
      <c r="E34" s="49"/>
      <c r="F34" s="49"/>
      <c r="G34" s="94"/>
      <c r="H34" s="95" t="s">
        <v>114</v>
      </c>
      <c r="I34" s="140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 t="s">
        <v>115</v>
      </c>
      <c r="D35" s="43" t="s">
        <v>227</v>
      </c>
      <c r="E35" s="41"/>
      <c r="F35" s="41"/>
      <c r="G35" s="42"/>
      <c r="H35" s="55" t="s">
        <v>114</v>
      </c>
      <c r="I35" s="233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 t="s">
        <v>115</v>
      </c>
      <c r="D36" s="126" t="s">
        <v>226</v>
      </c>
      <c r="E36" s="41"/>
      <c r="F36" s="41"/>
      <c r="G36" s="118"/>
      <c r="H36" s="55" t="s">
        <v>118</v>
      </c>
      <c r="I36" s="93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152"/>
      <c r="E37" s="50"/>
      <c r="F37" s="50"/>
      <c r="G37" s="45"/>
      <c r="H37" s="159"/>
      <c r="I37" s="144"/>
    </row>
    <row r="38" spans="1:15" x14ac:dyDescent="0.35">
      <c r="A38" s="81"/>
      <c r="B38" s="89" t="s">
        <v>108</v>
      </c>
      <c r="C38" s="56" t="s">
        <v>115</v>
      </c>
      <c r="D38" s="43" t="s">
        <v>230</v>
      </c>
      <c r="E38" s="41"/>
      <c r="F38" s="41"/>
      <c r="G38" s="42"/>
      <c r="H38" s="66" t="s">
        <v>118</v>
      </c>
      <c r="I38" s="127"/>
    </row>
    <row r="39" spans="1:15" ht="15.75" customHeight="1" x14ac:dyDescent="0.35">
      <c r="A39" s="81"/>
      <c r="B39" s="68" t="s">
        <v>499</v>
      </c>
      <c r="C39" s="64" t="s">
        <v>115</v>
      </c>
      <c r="D39" s="43" t="s">
        <v>231</v>
      </c>
      <c r="E39" s="41"/>
      <c r="F39" s="41"/>
      <c r="G39" s="42"/>
      <c r="H39" s="66"/>
      <c r="I39" s="153"/>
    </row>
    <row r="40" spans="1:15" ht="15.75" customHeight="1" x14ac:dyDescent="0.35">
      <c r="A40" s="81"/>
      <c r="B40" s="91"/>
      <c r="C40" s="64" t="s">
        <v>99</v>
      </c>
      <c r="D40" s="43" t="s">
        <v>233</v>
      </c>
      <c r="E40" s="41"/>
      <c r="F40" s="41"/>
      <c r="G40" s="42"/>
      <c r="H40" s="66"/>
      <c r="I40" s="333" t="s">
        <v>232</v>
      </c>
    </row>
    <row r="41" spans="1:15" ht="15.75" customHeight="1" x14ac:dyDescent="0.35">
      <c r="A41" s="82"/>
      <c r="B41" s="79"/>
      <c r="C41" s="57"/>
      <c r="D41" s="46"/>
      <c r="E41" s="50"/>
      <c r="F41" s="50"/>
      <c r="G41" s="45"/>
      <c r="H41" s="67"/>
      <c r="I41" s="134"/>
    </row>
    <row r="42" spans="1:15" ht="5.9" customHeight="1" x14ac:dyDescent="0.35">
      <c r="A42" s="43"/>
      <c r="B42" s="154"/>
      <c r="C42" s="101"/>
      <c r="D42" s="41"/>
      <c r="E42" s="41"/>
      <c r="F42" s="41"/>
      <c r="G42" s="41"/>
      <c r="H42" s="101"/>
      <c r="I42" s="163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15" ht="15.75" customHeight="1" x14ac:dyDescent="0.35">
      <c r="A45" s="391"/>
      <c r="B45" s="392"/>
      <c r="C45" s="392"/>
      <c r="D45" s="393"/>
      <c r="E45" s="394"/>
      <c r="F45" s="394"/>
      <c r="G45" s="395" t="s">
        <v>234</v>
      </c>
      <c r="H45" s="396"/>
      <c r="I45" s="397"/>
    </row>
    <row r="46" spans="1:15" ht="15.75" customHeight="1" x14ac:dyDescent="0.35">
      <c r="A46" s="398"/>
      <c r="B46" s="399"/>
      <c r="C46" s="399"/>
      <c r="D46" s="400"/>
      <c r="E46" s="386"/>
      <c r="F46" s="386"/>
      <c r="G46" s="401" t="s">
        <v>235</v>
      </c>
      <c r="H46" s="402"/>
      <c r="I46" s="403"/>
    </row>
    <row r="47" spans="1:15" ht="15.75" customHeight="1" x14ac:dyDescent="0.35">
      <c r="A47" s="268"/>
      <c r="B47" s="269"/>
      <c r="C47" s="269"/>
      <c r="D47" s="270"/>
      <c r="E47" s="154"/>
      <c r="F47" s="154"/>
      <c r="G47" s="346"/>
      <c r="H47" s="347"/>
      <c r="I47" s="348"/>
    </row>
    <row r="48" spans="1:15" ht="15.75" customHeight="1" x14ac:dyDescent="0.35">
      <c r="A48" s="377"/>
      <c r="B48" s="378"/>
      <c r="C48" s="378"/>
      <c r="D48" s="379"/>
      <c r="E48" s="367"/>
      <c r="F48" s="367"/>
      <c r="G48" s="380"/>
      <c r="H48" s="381"/>
      <c r="I48" s="382"/>
    </row>
    <row r="49" spans="1:9" ht="15.75" customHeight="1" x14ac:dyDescent="0.35">
      <c r="A49" s="383" t="s">
        <v>414</v>
      </c>
      <c r="B49" s="384"/>
      <c r="C49" s="384"/>
      <c r="D49" s="385"/>
      <c r="E49" s="386"/>
      <c r="F49" s="387"/>
      <c r="G49" s="388" t="s">
        <v>236</v>
      </c>
      <c r="H49" s="389"/>
      <c r="I49" s="390"/>
    </row>
    <row r="50" spans="1:9" ht="15.75" customHeight="1" x14ac:dyDescent="0.35">
      <c r="A50" s="145" t="s">
        <v>415</v>
      </c>
      <c r="B50" s="146"/>
      <c r="C50" s="146"/>
      <c r="D50" s="147"/>
      <c r="E50" s="367"/>
      <c r="F50" s="368"/>
      <c r="G50" s="148"/>
      <c r="H50" s="149"/>
      <c r="I50" s="150"/>
    </row>
    <row r="51" spans="1:9" ht="15.75" customHeight="1" x14ac:dyDescent="0.35">
      <c r="A51" s="369"/>
      <c r="B51" s="370"/>
      <c r="C51" s="370"/>
      <c r="D51" s="371"/>
      <c r="E51" s="372"/>
      <c r="F51" s="373"/>
      <c r="G51" s="374"/>
      <c r="H51" s="375"/>
      <c r="I51" s="376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35">
    <mergeCell ref="A1:E2"/>
    <mergeCell ref="F1:H2"/>
    <mergeCell ref="I1:I2"/>
    <mergeCell ref="A3:B3"/>
    <mergeCell ref="A4:H5"/>
    <mergeCell ref="I4:I5"/>
    <mergeCell ref="A6:H7"/>
    <mergeCell ref="I6:I7"/>
    <mergeCell ref="A16:B17"/>
    <mergeCell ref="C16:C17"/>
    <mergeCell ref="D16:G17"/>
    <mergeCell ref="H16:H17"/>
    <mergeCell ref="I16:I17"/>
    <mergeCell ref="A18:I18"/>
    <mergeCell ref="A31:I32"/>
    <mergeCell ref="A33:I33"/>
    <mergeCell ref="A43:D44"/>
    <mergeCell ref="E43:F44"/>
    <mergeCell ref="G43:I44"/>
    <mergeCell ref="A45:D45"/>
    <mergeCell ref="E45:F45"/>
    <mergeCell ref="G45:I45"/>
    <mergeCell ref="A46:D46"/>
    <mergeCell ref="E46:F46"/>
    <mergeCell ref="G46:I46"/>
    <mergeCell ref="E50:F50"/>
    <mergeCell ref="A51:D51"/>
    <mergeCell ref="E51:F51"/>
    <mergeCell ref="G51:I51"/>
    <mergeCell ref="A48:D48"/>
    <mergeCell ref="E48:F48"/>
    <mergeCell ref="G48:I48"/>
    <mergeCell ref="A49:D49"/>
    <mergeCell ref="E49:F49"/>
    <mergeCell ref="G49:I49"/>
  </mergeCells>
  <hyperlinks>
    <hyperlink ref="I40" r:id="rId1" xr:uid="{D9FE4721-679F-4500-8654-796B759919FA}"/>
  </hyperlinks>
  <pageMargins left="0.25" right="0.25" top="0.75" bottom="0.75" header="0.3" footer="0.3"/>
  <pageSetup paperSize="9" orientation="portrait" r:id="rId2"/>
  <headerFooter>
    <oddHeader>&amp;LGBS SG
&amp;CSAIa25-29&amp;RBKU</oddHeader>
    <oddFooter>&amp;Rarto</oddFooter>
  </headerFooter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7DA0-FD9B-4364-ABEB-CB255690F782}">
  <dimension ref="A1:O55"/>
  <sheetViews>
    <sheetView view="pageLayout" topLeftCell="A5" zoomScaleNormal="100" workbookViewId="0">
      <selection activeCell="G35" sqref="G35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3.1796875" customWidth="1"/>
    <col min="8" max="8" width="5.1796875" customWidth="1"/>
    <col min="9" max="9" width="17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Kompetenzraster!R25</f>
        <v>45974</v>
      </c>
      <c r="G1" s="439"/>
      <c r="H1" s="440"/>
      <c r="I1" s="444">
        <v>11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6" t="s">
        <v>51</v>
      </c>
      <c r="B4" s="447"/>
      <c r="C4" s="447"/>
      <c r="D4" s="447"/>
      <c r="E4" s="447"/>
      <c r="F4" s="447"/>
      <c r="G4" s="447"/>
      <c r="H4" s="448"/>
      <c r="I4" s="452">
        <v>1.6</v>
      </c>
    </row>
    <row r="5" spans="1:11" ht="15.75" customHeight="1" x14ac:dyDescent="0.35">
      <c r="A5" s="449"/>
      <c r="B5" s="450"/>
      <c r="C5" s="450"/>
      <c r="D5" s="450"/>
      <c r="E5" s="450"/>
      <c r="F5" s="450"/>
      <c r="G5" s="450"/>
      <c r="H5" s="451"/>
      <c r="I5" s="452"/>
    </row>
    <row r="6" spans="1:11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5.7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164"/>
      <c r="B10" s="41" t="s">
        <v>240</v>
      </c>
      <c r="C10" s="41"/>
      <c r="D10" s="41"/>
      <c r="E10" s="41"/>
      <c r="F10" s="41"/>
      <c r="G10" s="41"/>
      <c r="H10" s="41"/>
      <c r="I10" s="52"/>
    </row>
    <row r="11" spans="1:11" ht="15.75" customHeight="1" x14ac:dyDescent="0.35">
      <c r="A11" s="165"/>
      <c r="B11" s="41" t="s">
        <v>238</v>
      </c>
      <c r="C11" s="41"/>
      <c r="D11" s="41"/>
      <c r="E11" s="41"/>
      <c r="F11" s="41"/>
      <c r="G11" s="41"/>
      <c r="H11" s="41"/>
      <c r="I11" s="44"/>
    </row>
    <row r="12" spans="1:11" ht="15.75" customHeight="1" x14ac:dyDescent="0.35">
      <c r="A12" s="165"/>
      <c r="B12" t="s">
        <v>239</v>
      </c>
      <c r="I12" s="47"/>
    </row>
    <row r="13" spans="1:11" ht="15.75" customHeight="1" x14ac:dyDescent="0.35">
      <c r="A13" s="161"/>
      <c r="B13" s="49" t="s">
        <v>208</v>
      </c>
      <c r="C13" s="49"/>
      <c r="D13" s="49"/>
      <c r="E13" s="49"/>
      <c r="F13" s="49"/>
      <c r="G13" s="49"/>
      <c r="H13" s="51"/>
      <c r="I13" s="52"/>
      <c r="K13" s="100"/>
    </row>
    <row r="14" spans="1:11" ht="15.75" customHeight="1" x14ac:dyDescent="0.35">
      <c r="A14" s="139"/>
      <c r="B14" s="50" t="s">
        <v>237</v>
      </c>
      <c r="C14" s="50"/>
      <c r="D14" s="50"/>
      <c r="E14" s="50"/>
      <c r="F14" s="50"/>
      <c r="G14" s="50"/>
      <c r="H14" s="45"/>
      <c r="I14" s="47"/>
    </row>
    <row r="15" spans="1:11" ht="5.7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404"/>
      <c r="B18" s="405"/>
      <c r="C18" s="405"/>
      <c r="D18" s="405"/>
      <c r="E18" s="405"/>
      <c r="F18" s="405"/>
      <c r="G18" s="405"/>
      <c r="H18" s="405"/>
      <c r="I18" s="406"/>
    </row>
    <row r="19" spans="1:15" x14ac:dyDescent="0.35">
      <c r="A19" s="166"/>
      <c r="B19" s="327" t="s">
        <v>89</v>
      </c>
      <c r="C19" s="54" t="s">
        <v>119</v>
      </c>
      <c r="D19" s="48" t="s">
        <v>241</v>
      </c>
      <c r="E19" s="49"/>
      <c r="F19" s="49"/>
      <c r="G19" s="40"/>
      <c r="H19" s="122" t="s">
        <v>114</v>
      </c>
      <c r="I19" s="117"/>
    </row>
    <row r="20" spans="1:15" x14ac:dyDescent="0.35">
      <c r="A20" s="166"/>
      <c r="B20" s="62" t="s">
        <v>495</v>
      </c>
      <c r="C20" s="55" t="s">
        <v>115</v>
      </c>
      <c r="D20" s="43" t="s">
        <v>242</v>
      </c>
      <c r="E20" s="41"/>
      <c r="F20" s="41"/>
      <c r="G20" s="85"/>
      <c r="H20" s="101" t="s">
        <v>207</v>
      </c>
      <c r="I20" s="156"/>
    </row>
    <row r="21" spans="1:15" x14ac:dyDescent="0.35">
      <c r="A21" s="166"/>
      <c r="B21" s="71"/>
      <c r="C21" s="55" t="s">
        <v>119</v>
      </c>
      <c r="D21" s="109" t="s">
        <v>244</v>
      </c>
      <c r="E21" s="107"/>
      <c r="F21" s="41"/>
      <c r="G21" s="42"/>
      <c r="H21" s="101" t="s">
        <v>114</v>
      </c>
      <c r="I21" s="120"/>
    </row>
    <row r="22" spans="1:15" x14ac:dyDescent="0.35">
      <c r="A22" s="166"/>
      <c r="B22" s="328"/>
      <c r="C22" s="63"/>
      <c r="D22" s="46"/>
      <c r="E22" s="50"/>
      <c r="F22" s="50"/>
      <c r="G22" s="45"/>
      <c r="H22" s="124"/>
      <c r="I22" s="151"/>
    </row>
    <row r="23" spans="1:15" x14ac:dyDescent="0.35">
      <c r="A23" s="166"/>
      <c r="B23" s="327" t="s">
        <v>90</v>
      </c>
      <c r="C23" s="56">
        <v>30</v>
      </c>
      <c r="D23" s="109" t="s">
        <v>245</v>
      </c>
      <c r="E23" s="107"/>
      <c r="F23" s="41"/>
      <c r="G23" s="42"/>
      <c r="H23" s="56" t="s">
        <v>207</v>
      </c>
      <c r="I23" s="155"/>
    </row>
    <row r="24" spans="1:15" x14ac:dyDescent="0.35">
      <c r="A24" s="166"/>
      <c r="B24" s="62" t="s">
        <v>496</v>
      </c>
      <c r="C24" s="64">
        <v>10</v>
      </c>
      <c r="D24" s="109" t="s">
        <v>246</v>
      </c>
      <c r="E24" s="107"/>
      <c r="F24" s="41"/>
      <c r="G24" s="42"/>
      <c r="H24" s="64" t="s">
        <v>145</v>
      </c>
      <c r="I24" s="114"/>
      <c r="K24" s="101"/>
    </row>
    <row r="25" spans="1:15" x14ac:dyDescent="0.35">
      <c r="A25" s="166"/>
      <c r="B25" s="71"/>
      <c r="C25" s="64"/>
      <c r="D25" s="109"/>
      <c r="E25" s="107"/>
      <c r="F25" s="41"/>
      <c r="G25" s="42"/>
      <c r="H25" s="64"/>
      <c r="I25" s="114"/>
      <c r="K25" s="102"/>
      <c r="L25" s="158"/>
    </row>
    <row r="26" spans="1:15" x14ac:dyDescent="0.35">
      <c r="A26" s="166"/>
      <c r="B26" s="328"/>
      <c r="C26" s="57"/>
      <c r="D26" s="46"/>
      <c r="E26" s="50"/>
      <c r="F26" s="50"/>
      <c r="G26" s="45"/>
      <c r="H26" s="57"/>
      <c r="I26" s="115"/>
    </row>
    <row r="27" spans="1:15" x14ac:dyDescent="0.35">
      <c r="A27" s="164"/>
      <c r="B27" s="72" t="s">
        <v>91</v>
      </c>
      <c r="C27" s="64" t="s">
        <v>99</v>
      </c>
      <c r="D27" s="43" t="s">
        <v>246</v>
      </c>
      <c r="E27" s="41"/>
      <c r="F27" s="41"/>
      <c r="G27" s="41"/>
      <c r="H27" s="56" t="s">
        <v>114</v>
      </c>
      <c r="I27" s="140"/>
      <c r="L27" s="162"/>
    </row>
    <row r="28" spans="1:15" x14ac:dyDescent="0.35">
      <c r="A28" s="165"/>
      <c r="B28" s="62" t="s">
        <v>497</v>
      </c>
      <c r="C28" s="64" t="s">
        <v>98</v>
      </c>
      <c r="D28" s="43" t="s">
        <v>514</v>
      </c>
      <c r="E28" s="41"/>
      <c r="F28" s="41"/>
      <c r="G28" s="41"/>
      <c r="H28" s="64" t="s">
        <v>118</v>
      </c>
      <c r="I28" s="96"/>
      <c r="L28" s="158"/>
    </row>
    <row r="29" spans="1:15" x14ac:dyDescent="0.35">
      <c r="A29" s="165"/>
      <c r="B29" s="71"/>
      <c r="C29" s="64"/>
      <c r="D29" s="43" t="s">
        <v>515</v>
      </c>
      <c r="E29" s="41"/>
      <c r="F29" s="41"/>
      <c r="G29" s="41"/>
      <c r="H29" s="64"/>
      <c r="I29" s="93"/>
    </row>
    <row r="30" spans="1:15" ht="15" customHeight="1" x14ac:dyDescent="0.35">
      <c r="A30" s="167"/>
      <c r="B30" s="329"/>
      <c r="C30" s="88"/>
      <c r="D30" s="50"/>
      <c r="E30" s="50"/>
      <c r="F30" s="50"/>
      <c r="G30" s="50"/>
      <c r="H30" s="57"/>
      <c r="I30" s="57"/>
      <c r="L30" s="158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115</v>
      </c>
      <c r="D34" s="125" t="s">
        <v>231</v>
      </c>
      <c r="E34" s="49"/>
      <c r="F34" s="49"/>
      <c r="G34" s="94"/>
      <c r="H34" s="95" t="s">
        <v>114</v>
      </c>
      <c r="I34" s="168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 t="s">
        <v>129</v>
      </c>
      <c r="D35" s="43" t="s">
        <v>419</v>
      </c>
      <c r="E35" s="41"/>
      <c r="F35" s="41"/>
      <c r="G35" s="42"/>
      <c r="H35" s="55" t="s">
        <v>207</v>
      </c>
      <c r="I35" s="153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 t="s">
        <v>98</v>
      </c>
      <c r="D36" s="126" t="s">
        <v>420</v>
      </c>
      <c r="E36" s="41"/>
      <c r="F36" s="41"/>
      <c r="G36" s="118"/>
      <c r="H36" s="55" t="s">
        <v>118</v>
      </c>
      <c r="I36" s="120" t="s">
        <v>418</v>
      </c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152"/>
      <c r="E37" s="50"/>
      <c r="F37" s="50"/>
      <c r="G37" s="45"/>
      <c r="H37" s="159"/>
      <c r="I37" s="144"/>
    </row>
    <row r="38" spans="1:15" x14ac:dyDescent="0.35">
      <c r="A38" s="81"/>
      <c r="B38" s="89" t="s">
        <v>108</v>
      </c>
      <c r="C38" s="56" t="s">
        <v>117</v>
      </c>
      <c r="D38" s="43" t="s">
        <v>420</v>
      </c>
      <c r="E38" s="41"/>
      <c r="F38" s="41"/>
      <c r="G38" s="42"/>
      <c r="H38" s="66" t="s">
        <v>118</v>
      </c>
      <c r="I38" s="127"/>
    </row>
    <row r="39" spans="1:15" ht="15.75" customHeight="1" x14ac:dyDescent="0.35">
      <c r="A39" s="81"/>
      <c r="B39" s="68" t="s">
        <v>499</v>
      </c>
      <c r="C39" s="64" t="s">
        <v>115</v>
      </c>
      <c r="D39" s="43" t="s">
        <v>346</v>
      </c>
      <c r="E39" s="41"/>
      <c r="F39" s="41"/>
      <c r="G39" s="42"/>
      <c r="H39" s="66" t="s">
        <v>114</v>
      </c>
      <c r="I39" s="153"/>
    </row>
    <row r="40" spans="1:15" ht="15.75" customHeight="1" x14ac:dyDescent="0.35">
      <c r="A40" s="81"/>
      <c r="B40" s="91"/>
      <c r="C40" s="64"/>
      <c r="D40" s="43"/>
      <c r="E40" s="41"/>
      <c r="F40" s="41"/>
      <c r="G40" s="42"/>
      <c r="H40" s="66"/>
      <c r="I40" s="153"/>
    </row>
    <row r="41" spans="1:15" ht="15.5" customHeight="1" x14ac:dyDescent="0.35">
      <c r="A41" s="82"/>
      <c r="B41" s="79"/>
      <c r="C41" s="57"/>
      <c r="D41" s="46"/>
      <c r="E41" s="50"/>
      <c r="F41" s="50"/>
      <c r="G41" s="45"/>
      <c r="H41" s="67"/>
      <c r="I41" s="134"/>
    </row>
    <row r="42" spans="1:15" ht="5.75" customHeight="1" x14ac:dyDescent="0.35">
      <c r="A42" s="43"/>
      <c r="B42" s="154"/>
      <c r="C42" s="101"/>
      <c r="D42" s="41"/>
      <c r="E42" s="41"/>
      <c r="F42" s="41"/>
      <c r="G42" s="41"/>
      <c r="H42" s="101"/>
      <c r="I42" s="163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15" ht="15.75" customHeight="1" x14ac:dyDescent="0.35">
      <c r="A45" s="391" t="s">
        <v>417</v>
      </c>
      <c r="B45" s="392"/>
      <c r="C45" s="392"/>
      <c r="D45" s="393"/>
      <c r="E45" s="394"/>
      <c r="F45" s="394"/>
      <c r="G45" s="395" t="s">
        <v>248</v>
      </c>
      <c r="H45" s="396"/>
      <c r="I45" s="397"/>
    </row>
    <row r="46" spans="1:15" ht="15.75" customHeight="1" x14ac:dyDescent="0.35">
      <c r="A46" s="398"/>
      <c r="B46" s="399"/>
      <c r="C46" s="399"/>
      <c r="D46" s="400"/>
      <c r="E46" s="386"/>
      <c r="F46" s="386"/>
      <c r="G46" s="401" t="s">
        <v>249</v>
      </c>
      <c r="H46" s="402"/>
      <c r="I46" s="403"/>
    </row>
    <row r="47" spans="1:15" ht="15.75" customHeight="1" x14ac:dyDescent="0.35">
      <c r="A47" s="377"/>
      <c r="B47" s="378"/>
      <c r="C47" s="378"/>
      <c r="D47" s="379"/>
      <c r="E47" s="367"/>
      <c r="F47" s="367"/>
      <c r="G47" s="380"/>
      <c r="H47" s="381"/>
      <c r="I47" s="382"/>
    </row>
    <row r="48" spans="1:15" ht="15.75" customHeight="1" x14ac:dyDescent="0.35">
      <c r="A48" s="383" t="s">
        <v>421</v>
      </c>
      <c r="B48" s="384"/>
      <c r="C48" s="384"/>
      <c r="D48" s="385"/>
      <c r="E48" s="386"/>
      <c r="F48" s="387"/>
      <c r="G48" s="388" t="s">
        <v>247</v>
      </c>
      <c r="H48" s="389"/>
      <c r="I48" s="390"/>
    </row>
    <row r="49" spans="1:9" ht="15.75" customHeight="1" x14ac:dyDescent="0.35">
      <c r="A49" s="145"/>
      <c r="B49" s="146"/>
      <c r="C49" s="146"/>
      <c r="D49" s="147"/>
      <c r="E49" s="367"/>
      <c r="F49" s="368"/>
      <c r="G49" s="148"/>
      <c r="H49" s="149"/>
      <c r="I49" s="150"/>
    </row>
    <row r="50" spans="1:9" ht="15.75" customHeight="1" x14ac:dyDescent="0.35">
      <c r="A50" s="369"/>
      <c r="B50" s="370"/>
      <c r="C50" s="370"/>
      <c r="D50" s="371"/>
      <c r="E50" s="372"/>
      <c r="F50" s="373"/>
      <c r="G50" s="374"/>
      <c r="H50" s="375"/>
      <c r="I50" s="376"/>
    </row>
    <row r="51" spans="1:9" ht="15.75" customHeight="1" x14ac:dyDescent="0.35"/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</sheetData>
  <mergeCells count="35">
    <mergeCell ref="A1:E2"/>
    <mergeCell ref="F1:H2"/>
    <mergeCell ref="I1:I2"/>
    <mergeCell ref="A3:B3"/>
    <mergeCell ref="A4:H5"/>
    <mergeCell ref="I4:I5"/>
    <mergeCell ref="A6:H7"/>
    <mergeCell ref="I6:I7"/>
    <mergeCell ref="A16:B17"/>
    <mergeCell ref="C16:C17"/>
    <mergeCell ref="D16:G17"/>
    <mergeCell ref="H16:H17"/>
    <mergeCell ref="I16:I17"/>
    <mergeCell ref="A18:I18"/>
    <mergeCell ref="A31:I32"/>
    <mergeCell ref="A33:I33"/>
    <mergeCell ref="A43:D44"/>
    <mergeCell ref="E43:F44"/>
    <mergeCell ref="G43:I44"/>
    <mergeCell ref="A45:D45"/>
    <mergeCell ref="E45:F45"/>
    <mergeCell ref="G45:I45"/>
    <mergeCell ref="A46:D46"/>
    <mergeCell ref="E46:F46"/>
    <mergeCell ref="G46:I46"/>
    <mergeCell ref="E49:F49"/>
    <mergeCell ref="A50:D50"/>
    <mergeCell ref="E50:F50"/>
    <mergeCell ref="G50:I50"/>
    <mergeCell ref="A47:D47"/>
    <mergeCell ref="E47:F47"/>
    <mergeCell ref="G47:I47"/>
    <mergeCell ref="A48:D48"/>
    <mergeCell ref="E48:F48"/>
    <mergeCell ref="G48:I48"/>
  </mergeCells>
  <hyperlinks>
    <hyperlink ref="I36" r:id="rId1" xr:uid="{E539C78E-B048-43C2-BD67-90202AC7DA02}"/>
  </hyperlinks>
  <pageMargins left="0.25" right="0.25" top="0.75" bottom="0.75" header="0.3" footer="0.3"/>
  <pageSetup paperSize="9" orientation="portrait" r:id="rId2"/>
  <headerFooter>
    <oddHeader>&amp;LGBS SG
&amp;CSAIa25-29&amp;RBKU</oddHeader>
    <oddFooter>&amp;Rarto</oddFooter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253B-F5F4-41A4-9BE5-88D8AD4929ED}">
  <dimension ref="A1:O55"/>
  <sheetViews>
    <sheetView view="pageLayout" topLeftCell="A13" zoomScaleNormal="100" workbookViewId="0">
      <selection activeCell="F26" sqref="F26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3.1796875" customWidth="1"/>
    <col min="8" max="8" width="5.1796875" customWidth="1"/>
    <col min="9" max="9" width="17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Kompetenzraster!R25</f>
        <v>45974</v>
      </c>
      <c r="G1" s="439"/>
      <c r="H1" s="440"/>
      <c r="I1" s="444">
        <v>11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6" t="s">
        <v>51</v>
      </c>
      <c r="B4" s="447"/>
      <c r="C4" s="447"/>
      <c r="D4" s="447"/>
      <c r="E4" s="447"/>
      <c r="F4" s="447"/>
      <c r="G4" s="447"/>
      <c r="H4" s="448"/>
      <c r="I4" s="452">
        <v>1.6</v>
      </c>
    </row>
    <row r="5" spans="1:11" ht="15.75" customHeight="1" x14ac:dyDescent="0.35">
      <c r="A5" s="449"/>
      <c r="B5" s="450"/>
      <c r="C5" s="450"/>
      <c r="D5" s="450"/>
      <c r="E5" s="450"/>
      <c r="F5" s="450"/>
      <c r="G5" s="450"/>
      <c r="H5" s="451"/>
      <c r="I5" s="452"/>
    </row>
    <row r="6" spans="1:11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8.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164"/>
      <c r="B10" s="41" t="s">
        <v>240</v>
      </c>
      <c r="C10" s="41"/>
      <c r="D10" s="41"/>
      <c r="E10" s="41"/>
      <c r="F10" s="41"/>
      <c r="G10" s="41"/>
      <c r="H10" s="41"/>
      <c r="I10" s="52"/>
    </row>
    <row r="11" spans="1:11" ht="15.75" customHeight="1" x14ac:dyDescent="0.35">
      <c r="A11" s="165"/>
      <c r="B11" s="41" t="s">
        <v>238</v>
      </c>
      <c r="C11" s="41"/>
      <c r="D11" s="41"/>
      <c r="E11" s="41"/>
      <c r="F11" s="41"/>
      <c r="G11" s="41"/>
      <c r="H11" s="41"/>
      <c r="I11" s="44"/>
    </row>
    <row r="12" spans="1:11" ht="15.75" customHeight="1" x14ac:dyDescent="0.35">
      <c r="A12" s="165"/>
      <c r="B12" t="s">
        <v>239</v>
      </c>
      <c r="I12" s="47"/>
    </row>
    <row r="13" spans="1:11" ht="15.75" customHeight="1" x14ac:dyDescent="0.35">
      <c r="A13" s="161"/>
      <c r="B13" s="49" t="s">
        <v>208</v>
      </c>
      <c r="C13" s="49"/>
      <c r="D13" s="49"/>
      <c r="E13" s="49"/>
      <c r="F13" s="49"/>
      <c r="G13" s="49"/>
      <c r="H13" s="51"/>
      <c r="I13" s="52"/>
      <c r="K13" s="100"/>
    </row>
    <row r="14" spans="1:11" ht="15.75" customHeight="1" x14ac:dyDescent="0.35">
      <c r="A14" s="139"/>
      <c r="B14" s="50" t="s">
        <v>237</v>
      </c>
      <c r="C14" s="50"/>
      <c r="D14" s="50"/>
      <c r="E14" s="50"/>
      <c r="F14" s="50"/>
      <c r="G14" s="50"/>
      <c r="H14" s="45"/>
      <c r="I14" s="47"/>
    </row>
    <row r="15" spans="1:11" ht="11.2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404"/>
      <c r="B18" s="405"/>
      <c r="C18" s="405"/>
      <c r="D18" s="405"/>
      <c r="E18" s="405"/>
      <c r="F18" s="405"/>
      <c r="G18" s="405"/>
      <c r="H18" s="405"/>
      <c r="I18" s="406"/>
    </row>
    <row r="19" spans="1:15" x14ac:dyDescent="0.35">
      <c r="A19" s="166"/>
      <c r="B19" s="327" t="s">
        <v>89</v>
      </c>
      <c r="C19" s="54" t="s">
        <v>119</v>
      </c>
      <c r="D19" s="48" t="s">
        <v>241</v>
      </c>
      <c r="E19" s="49"/>
      <c r="F19" s="49"/>
      <c r="G19" s="40"/>
      <c r="H19" s="122" t="s">
        <v>114</v>
      </c>
      <c r="I19" s="117"/>
    </row>
    <row r="20" spans="1:15" x14ac:dyDescent="0.35">
      <c r="A20" s="166"/>
      <c r="B20" s="62" t="s">
        <v>495</v>
      </c>
      <c r="C20" s="55" t="s">
        <v>115</v>
      </c>
      <c r="D20" s="43" t="s">
        <v>242</v>
      </c>
      <c r="E20" s="41"/>
      <c r="F20" s="41"/>
      <c r="G20" s="85"/>
      <c r="H20" s="101" t="s">
        <v>207</v>
      </c>
      <c r="I20" s="156"/>
    </row>
    <row r="21" spans="1:15" x14ac:dyDescent="0.35">
      <c r="A21" s="166"/>
      <c r="B21" s="71"/>
      <c r="C21" s="55" t="s">
        <v>144</v>
      </c>
      <c r="D21" s="109" t="s">
        <v>243</v>
      </c>
      <c r="E21" s="107"/>
      <c r="F21" s="41"/>
      <c r="G21" s="42"/>
      <c r="H21" s="101" t="s">
        <v>114</v>
      </c>
      <c r="I21" s="120"/>
    </row>
    <row r="22" spans="1:15" x14ac:dyDescent="0.35">
      <c r="A22" s="166"/>
      <c r="B22" s="328"/>
      <c r="C22" s="63"/>
      <c r="D22" s="46"/>
      <c r="E22" s="50"/>
      <c r="F22" s="50"/>
      <c r="G22" s="45"/>
      <c r="H22" s="124"/>
      <c r="I22" s="151"/>
    </row>
    <row r="23" spans="1:15" x14ac:dyDescent="0.35">
      <c r="A23" s="166"/>
      <c r="B23" s="327" t="s">
        <v>90</v>
      </c>
      <c r="C23" s="56" t="s">
        <v>119</v>
      </c>
      <c r="D23" s="109" t="s">
        <v>244</v>
      </c>
      <c r="E23" s="107"/>
      <c r="F23" s="41"/>
      <c r="G23" s="42"/>
      <c r="H23" s="56" t="s">
        <v>207</v>
      </c>
      <c r="I23" s="155"/>
    </row>
    <row r="24" spans="1:15" x14ac:dyDescent="0.35">
      <c r="A24" s="166"/>
      <c r="B24" s="62" t="s">
        <v>496</v>
      </c>
      <c r="C24" s="64" t="s">
        <v>120</v>
      </c>
      <c r="D24" s="109" t="s">
        <v>245</v>
      </c>
      <c r="E24" s="107"/>
      <c r="F24" s="41"/>
      <c r="G24" s="42"/>
      <c r="H24" s="64" t="s">
        <v>145</v>
      </c>
      <c r="I24" s="114"/>
      <c r="K24" s="101"/>
    </row>
    <row r="25" spans="1:15" x14ac:dyDescent="0.35">
      <c r="A25" s="166"/>
      <c r="B25" s="71"/>
      <c r="C25" s="64"/>
      <c r="D25" s="109"/>
      <c r="E25" s="107"/>
      <c r="F25" s="41"/>
      <c r="G25" s="42"/>
      <c r="H25" s="64"/>
      <c r="I25" s="114"/>
      <c r="K25" s="102"/>
      <c r="L25" s="158"/>
    </row>
    <row r="26" spans="1:15" x14ac:dyDescent="0.35">
      <c r="A26" s="166"/>
      <c r="B26" s="328"/>
      <c r="C26" s="57"/>
      <c r="D26" s="46"/>
      <c r="E26" s="50"/>
      <c r="F26" s="50"/>
      <c r="G26" s="45"/>
      <c r="H26" s="57"/>
      <c r="I26" s="115"/>
    </row>
    <row r="27" spans="1:15" x14ac:dyDescent="0.35">
      <c r="A27" s="164"/>
      <c r="B27" s="72" t="s">
        <v>91</v>
      </c>
      <c r="C27" s="64" t="s">
        <v>99</v>
      </c>
      <c r="D27" s="43" t="s">
        <v>246</v>
      </c>
      <c r="E27" s="41"/>
      <c r="F27" s="41"/>
      <c r="G27" s="41"/>
      <c r="H27" s="56" t="s">
        <v>114</v>
      </c>
      <c r="I27" s="140"/>
      <c r="L27" s="162"/>
    </row>
    <row r="28" spans="1:15" x14ac:dyDescent="0.35">
      <c r="A28" s="165"/>
      <c r="B28" s="62" t="s">
        <v>497</v>
      </c>
      <c r="C28" s="64" t="s">
        <v>98</v>
      </c>
      <c r="D28" s="43" t="s">
        <v>416</v>
      </c>
      <c r="E28" s="41"/>
      <c r="F28" s="41"/>
      <c r="G28" s="41"/>
      <c r="H28" s="64" t="s">
        <v>118</v>
      </c>
      <c r="I28" s="96"/>
      <c r="L28" s="158"/>
    </row>
    <row r="29" spans="1:15" x14ac:dyDescent="0.35">
      <c r="A29" s="165"/>
      <c r="B29" s="71"/>
      <c r="C29" s="64"/>
      <c r="D29" s="43"/>
      <c r="E29" s="41"/>
      <c r="F29" s="41"/>
      <c r="G29" s="41"/>
      <c r="H29" s="64"/>
      <c r="I29" s="93"/>
    </row>
    <row r="30" spans="1:15" ht="15" customHeight="1" x14ac:dyDescent="0.35">
      <c r="A30" s="167"/>
      <c r="B30" s="329"/>
      <c r="C30" s="88"/>
      <c r="D30" s="50"/>
      <c r="E30" s="50"/>
      <c r="F30" s="50"/>
      <c r="G30" s="50"/>
      <c r="H30" s="57"/>
      <c r="I30" s="57"/>
      <c r="L30" s="158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115</v>
      </c>
      <c r="D34" s="125" t="s">
        <v>231</v>
      </c>
      <c r="E34" s="49"/>
      <c r="F34" s="49"/>
      <c r="G34" s="94"/>
      <c r="H34" s="95" t="s">
        <v>114</v>
      </c>
      <c r="I34" s="168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 t="s">
        <v>129</v>
      </c>
      <c r="D35" s="43" t="s">
        <v>419</v>
      </c>
      <c r="E35" s="41"/>
      <c r="F35" s="41"/>
      <c r="G35" s="42"/>
      <c r="H35" s="55" t="s">
        <v>207</v>
      </c>
      <c r="I35" s="153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 t="s">
        <v>98</v>
      </c>
      <c r="D36" s="126" t="s">
        <v>420</v>
      </c>
      <c r="E36" s="41"/>
      <c r="F36" s="41"/>
      <c r="G36" s="118"/>
      <c r="H36" s="55" t="s">
        <v>118</v>
      </c>
      <c r="I36" s="120" t="s">
        <v>418</v>
      </c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152"/>
      <c r="E37" s="50"/>
      <c r="F37" s="50"/>
      <c r="G37" s="45"/>
      <c r="H37" s="159"/>
      <c r="I37" s="144"/>
    </row>
    <row r="38" spans="1:15" x14ac:dyDescent="0.35">
      <c r="A38" s="81"/>
      <c r="B38" s="89" t="s">
        <v>108</v>
      </c>
      <c r="C38" s="56" t="s">
        <v>117</v>
      </c>
      <c r="D38" s="43" t="s">
        <v>420</v>
      </c>
      <c r="E38" s="41"/>
      <c r="F38" s="41"/>
      <c r="G38" s="42"/>
      <c r="H38" s="66" t="s">
        <v>118</v>
      </c>
      <c r="I38" s="127"/>
    </row>
    <row r="39" spans="1:15" ht="15.75" customHeight="1" x14ac:dyDescent="0.35">
      <c r="A39" s="81"/>
      <c r="B39" s="68" t="s">
        <v>499</v>
      </c>
      <c r="C39" s="64" t="s">
        <v>115</v>
      </c>
      <c r="D39" s="43" t="s">
        <v>346</v>
      </c>
      <c r="E39" s="41"/>
      <c r="F39" s="41"/>
      <c r="G39" s="42"/>
      <c r="H39" s="66" t="s">
        <v>114</v>
      </c>
      <c r="I39" s="153"/>
    </row>
    <row r="40" spans="1:15" ht="15.75" customHeight="1" x14ac:dyDescent="0.35">
      <c r="A40" s="81"/>
      <c r="B40" s="91"/>
      <c r="C40" s="64"/>
      <c r="D40" s="43"/>
      <c r="E40" s="41"/>
      <c r="F40" s="41"/>
      <c r="G40" s="42"/>
      <c r="H40" s="66"/>
      <c r="I40" s="153"/>
    </row>
    <row r="41" spans="1:15" ht="15.75" customHeight="1" x14ac:dyDescent="0.35">
      <c r="A41" s="82"/>
      <c r="B41" s="79"/>
      <c r="C41" s="57"/>
      <c r="D41" s="46"/>
      <c r="E41" s="50"/>
      <c r="F41" s="50"/>
      <c r="G41" s="45"/>
      <c r="H41" s="67"/>
      <c r="I41" s="134"/>
    </row>
    <row r="42" spans="1:15" ht="11.25" customHeight="1" x14ac:dyDescent="0.35">
      <c r="A42" s="43"/>
      <c r="B42" s="154"/>
      <c r="C42" s="101"/>
      <c r="D42" s="41"/>
      <c r="E42" s="41"/>
      <c r="F42" s="41"/>
      <c r="G42" s="41"/>
      <c r="H42" s="101"/>
      <c r="I42" s="163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15" ht="15.75" customHeight="1" x14ac:dyDescent="0.35">
      <c r="A45" s="391" t="s">
        <v>417</v>
      </c>
      <c r="B45" s="392"/>
      <c r="C45" s="392"/>
      <c r="D45" s="393"/>
      <c r="E45" s="394"/>
      <c r="F45" s="394"/>
      <c r="G45" s="395" t="s">
        <v>248</v>
      </c>
      <c r="H45" s="396"/>
      <c r="I45" s="397"/>
    </row>
    <row r="46" spans="1:15" ht="15.75" customHeight="1" x14ac:dyDescent="0.35">
      <c r="A46" s="398"/>
      <c r="B46" s="399"/>
      <c r="C46" s="399"/>
      <c r="D46" s="400"/>
      <c r="E46" s="386"/>
      <c r="F46" s="386"/>
      <c r="G46" s="401" t="s">
        <v>249</v>
      </c>
      <c r="H46" s="402"/>
      <c r="I46" s="403"/>
    </row>
    <row r="47" spans="1:15" ht="15.75" customHeight="1" x14ac:dyDescent="0.35">
      <c r="A47" s="377"/>
      <c r="B47" s="378"/>
      <c r="C47" s="378"/>
      <c r="D47" s="379"/>
      <c r="E47" s="367"/>
      <c r="F47" s="367"/>
      <c r="G47" s="380"/>
      <c r="H47" s="381"/>
      <c r="I47" s="382"/>
    </row>
    <row r="48" spans="1:15" ht="15.75" customHeight="1" x14ac:dyDescent="0.35">
      <c r="A48" s="383" t="s">
        <v>421</v>
      </c>
      <c r="B48" s="384"/>
      <c r="C48" s="384"/>
      <c r="D48" s="385"/>
      <c r="E48" s="386"/>
      <c r="F48" s="387"/>
      <c r="G48" s="388" t="s">
        <v>247</v>
      </c>
      <c r="H48" s="389"/>
      <c r="I48" s="390"/>
    </row>
    <row r="49" spans="1:9" ht="15.75" customHeight="1" x14ac:dyDescent="0.35">
      <c r="A49" s="145"/>
      <c r="B49" s="146"/>
      <c r="C49" s="146"/>
      <c r="D49" s="147"/>
      <c r="E49" s="367"/>
      <c r="F49" s="368"/>
      <c r="G49" s="148"/>
      <c r="H49" s="149"/>
      <c r="I49" s="150"/>
    </row>
    <row r="50" spans="1:9" ht="15.75" customHeight="1" x14ac:dyDescent="0.35">
      <c r="A50" s="369"/>
      <c r="B50" s="370"/>
      <c r="C50" s="370"/>
      <c r="D50" s="371"/>
      <c r="E50" s="372"/>
      <c r="F50" s="373"/>
      <c r="G50" s="374"/>
      <c r="H50" s="375"/>
      <c r="I50" s="376"/>
    </row>
    <row r="51" spans="1:9" ht="15.75" customHeight="1" x14ac:dyDescent="0.35"/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</sheetData>
  <mergeCells count="35">
    <mergeCell ref="A1:E2"/>
    <mergeCell ref="F1:H2"/>
    <mergeCell ref="I1:I2"/>
    <mergeCell ref="A3:B3"/>
    <mergeCell ref="A4:H5"/>
    <mergeCell ref="I4:I5"/>
    <mergeCell ref="A6:H7"/>
    <mergeCell ref="I6:I7"/>
    <mergeCell ref="A16:B17"/>
    <mergeCell ref="C16:C17"/>
    <mergeCell ref="D16:G17"/>
    <mergeCell ref="H16:H17"/>
    <mergeCell ref="I16:I17"/>
    <mergeCell ref="A18:I18"/>
    <mergeCell ref="A31:I32"/>
    <mergeCell ref="A33:I33"/>
    <mergeCell ref="A43:D44"/>
    <mergeCell ref="E43:F44"/>
    <mergeCell ref="G43:I44"/>
    <mergeCell ref="A45:D45"/>
    <mergeCell ref="E45:F45"/>
    <mergeCell ref="G45:I45"/>
    <mergeCell ref="A46:D46"/>
    <mergeCell ref="E46:F46"/>
    <mergeCell ref="G46:I46"/>
    <mergeCell ref="E49:F49"/>
    <mergeCell ref="A50:D50"/>
    <mergeCell ref="E50:F50"/>
    <mergeCell ref="G50:I50"/>
    <mergeCell ref="A47:D47"/>
    <mergeCell ref="E47:F47"/>
    <mergeCell ref="G47:I47"/>
    <mergeCell ref="A48:D48"/>
    <mergeCell ref="E48:F48"/>
    <mergeCell ref="G48:I48"/>
  </mergeCells>
  <hyperlinks>
    <hyperlink ref="I36" r:id="rId1" xr:uid="{605C840F-285F-4EA9-85BF-AA46CE540536}"/>
  </hyperlinks>
  <pageMargins left="0.25" right="0.25" top="0.75" bottom="0.75" header="0.3" footer="0.3"/>
  <pageSetup paperSize="9" orientation="portrait" r:id="rId2"/>
  <headerFooter>
    <oddHeader>&amp;LGBS SG
&amp;CSAIa25-29&amp;RBKU</oddHeader>
    <oddFooter>&amp;Rarto</oddFooter>
  </headerFooter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F160-3E0B-4119-BE57-ADA65E4F14DD}">
  <dimension ref="A1:O56"/>
  <sheetViews>
    <sheetView view="pageLayout" topLeftCell="A13" zoomScale="85" zoomScaleNormal="100" zoomScalePageLayoutView="85" workbookViewId="0">
      <selection activeCell="G21" sqref="G21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3.1796875" customWidth="1"/>
    <col min="8" max="8" width="5.1796875" customWidth="1"/>
    <col min="9" max="9" width="17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Kompetenzraster!R27</f>
        <v>45981</v>
      </c>
      <c r="G1" s="439"/>
      <c r="H1" s="440"/>
      <c r="I1" s="444">
        <v>12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6" t="s">
        <v>51</v>
      </c>
      <c r="B4" s="447"/>
      <c r="C4" s="447"/>
      <c r="D4" s="447"/>
      <c r="E4" s="447"/>
      <c r="F4" s="447"/>
      <c r="G4" s="447"/>
      <c r="H4" s="448"/>
      <c r="I4" s="452">
        <v>1.6</v>
      </c>
    </row>
    <row r="5" spans="1:11" ht="15.75" customHeight="1" x14ac:dyDescent="0.35">
      <c r="A5" s="449"/>
      <c r="B5" s="450"/>
      <c r="C5" s="450"/>
      <c r="D5" s="450"/>
      <c r="E5" s="450"/>
      <c r="F5" s="450"/>
      <c r="G5" s="450"/>
      <c r="H5" s="451"/>
      <c r="I5" s="452"/>
    </row>
    <row r="6" spans="1:11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8.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164"/>
      <c r="B10" s="41" t="s">
        <v>250</v>
      </c>
      <c r="C10" s="41"/>
      <c r="D10" s="41"/>
      <c r="E10" s="41"/>
      <c r="F10" s="41"/>
      <c r="G10" s="41"/>
      <c r="H10" s="41"/>
      <c r="I10" s="52"/>
    </row>
    <row r="11" spans="1:11" ht="15.75" customHeight="1" x14ac:dyDescent="0.35">
      <c r="A11" s="165"/>
      <c r="B11" s="41" t="s">
        <v>251</v>
      </c>
      <c r="C11" s="41"/>
      <c r="D11" s="41"/>
      <c r="E11" s="41"/>
      <c r="F11" s="41"/>
      <c r="G11" s="41"/>
      <c r="H11" s="41"/>
      <c r="I11" s="44"/>
    </row>
    <row r="12" spans="1:11" ht="15.75" customHeight="1" x14ac:dyDescent="0.35">
      <c r="A12" s="165"/>
      <c r="I12" s="47"/>
    </row>
    <row r="13" spans="1:11" ht="15.75" customHeight="1" x14ac:dyDescent="0.35">
      <c r="A13" s="161"/>
      <c r="B13" s="49" t="s">
        <v>208</v>
      </c>
      <c r="C13" s="49"/>
      <c r="D13" s="49"/>
      <c r="E13" s="49"/>
      <c r="F13" s="49"/>
      <c r="G13" s="49"/>
      <c r="H13" s="51"/>
      <c r="I13" s="52"/>
      <c r="K13" s="100"/>
    </row>
    <row r="14" spans="1:11" ht="15.75" customHeight="1" x14ac:dyDescent="0.35">
      <c r="A14" s="139"/>
      <c r="B14" s="50" t="s">
        <v>237</v>
      </c>
      <c r="C14" s="50"/>
      <c r="D14" s="50"/>
      <c r="E14" s="50"/>
      <c r="F14" s="50"/>
      <c r="G14" s="50"/>
      <c r="H14" s="45"/>
      <c r="I14" s="47"/>
    </row>
    <row r="15" spans="1:11" ht="5.9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404"/>
      <c r="B18" s="405"/>
      <c r="C18" s="405"/>
      <c r="D18" s="405"/>
      <c r="E18" s="405"/>
      <c r="F18" s="405"/>
      <c r="G18" s="405"/>
      <c r="H18" s="405"/>
      <c r="I18" s="406"/>
    </row>
    <row r="19" spans="1:15" x14ac:dyDescent="0.35">
      <c r="A19" s="166"/>
      <c r="B19" s="327" t="s">
        <v>89</v>
      </c>
      <c r="C19" s="69" t="s">
        <v>115</v>
      </c>
      <c r="D19" s="49" t="s">
        <v>422</v>
      </c>
      <c r="E19" s="49"/>
      <c r="F19" s="49"/>
      <c r="G19" s="40"/>
      <c r="H19" s="122" t="s">
        <v>114</v>
      </c>
      <c r="I19" s="117"/>
    </row>
    <row r="20" spans="1:15" x14ac:dyDescent="0.35">
      <c r="A20" s="166"/>
      <c r="B20" s="62" t="s">
        <v>495</v>
      </c>
      <c r="C20" s="64" t="s">
        <v>119</v>
      </c>
      <c r="D20" s="257" t="s">
        <v>423</v>
      </c>
      <c r="E20" s="107"/>
      <c r="F20" s="41"/>
      <c r="G20" s="85"/>
      <c r="H20" s="101" t="s">
        <v>118</v>
      </c>
      <c r="I20" s="156"/>
    </row>
    <row r="21" spans="1:15" x14ac:dyDescent="0.35">
      <c r="A21" s="166"/>
      <c r="B21" s="71"/>
      <c r="C21" s="70" t="s">
        <v>129</v>
      </c>
      <c r="D21" s="41" t="s">
        <v>424</v>
      </c>
      <c r="E21" s="41"/>
      <c r="F21" s="41"/>
      <c r="G21" s="85"/>
      <c r="H21" s="101"/>
      <c r="I21" s="93" t="s">
        <v>123</v>
      </c>
    </row>
    <row r="22" spans="1:15" x14ac:dyDescent="0.35">
      <c r="A22" s="166"/>
      <c r="B22" s="328"/>
      <c r="C22" s="57" t="s">
        <v>129</v>
      </c>
      <c r="D22" s="258" t="s">
        <v>425</v>
      </c>
      <c r="E22" s="171"/>
      <c r="F22" s="50"/>
      <c r="G22" s="263"/>
      <c r="H22" s="124"/>
      <c r="I22" s="144"/>
    </row>
    <row r="23" spans="1:15" x14ac:dyDescent="0.35">
      <c r="A23" s="166"/>
      <c r="B23" s="327" t="s">
        <v>90</v>
      </c>
      <c r="C23" s="55">
        <v>10</v>
      </c>
      <c r="D23" s="110" t="s">
        <v>426</v>
      </c>
      <c r="E23" s="111"/>
      <c r="F23" s="49"/>
      <c r="G23" s="51"/>
      <c r="H23" s="65" t="s">
        <v>114</v>
      </c>
      <c r="I23" s="155"/>
    </row>
    <row r="24" spans="1:15" x14ac:dyDescent="0.35">
      <c r="A24" s="166"/>
      <c r="B24" s="62" t="s">
        <v>496</v>
      </c>
      <c r="C24" s="55" t="s">
        <v>115</v>
      </c>
      <c r="D24" s="109" t="s">
        <v>252</v>
      </c>
      <c r="E24" s="107"/>
      <c r="F24" s="41"/>
      <c r="G24" s="42"/>
      <c r="H24" s="66" t="s">
        <v>114</v>
      </c>
      <c r="I24" s="114"/>
      <c r="K24" s="101"/>
    </row>
    <row r="25" spans="1:15" x14ac:dyDescent="0.35">
      <c r="A25" s="166"/>
      <c r="B25" s="71"/>
      <c r="C25" s="55" t="s">
        <v>115</v>
      </c>
      <c r="D25" s="109" t="s">
        <v>427</v>
      </c>
      <c r="E25" s="107"/>
      <c r="F25" s="41"/>
      <c r="G25" s="42"/>
      <c r="H25" s="66" t="s">
        <v>118</v>
      </c>
      <c r="I25" s="93"/>
      <c r="K25" s="102"/>
      <c r="L25" s="158"/>
    </row>
    <row r="26" spans="1:15" x14ac:dyDescent="0.35">
      <c r="A26" s="166"/>
      <c r="B26" s="328"/>
      <c r="C26" s="63"/>
      <c r="D26" s="46"/>
      <c r="E26" s="50"/>
      <c r="F26" s="50"/>
      <c r="G26" s="45"/>
      <c r="H26" s="67"/>
      <c r="I26" s="93"/>
    </row>
    <row r="27" spans="1:15" x14ac:dyDescent="0.35">
      <c r="A27" s="164"/>
      <c r="B27" s="72" t="s">
        <v>91</v>
      </c>
      <c r="C27" s="64" t="s">
        <v>129</v>
      </c>
      <c r="D27" s="43" t="s">
        <v>428</v>
      </c>
      <c r="E27" s="41"/>
      <c r="F27" s="41"/>
      <c r="G27" s="41"/>
      <c r="H27" s="95" t="s">
        <v>118</v>
      </c>
      <c r="I27" s="117" t="s">
        <v>123</v>
      </c>
      <c r="L27" s="162"/>
    </row>
    <row r="28" spans="1:15" x14ac:dyDescent="0.35">
      <c r="A28" s="165"/>
      <c r="B28" s="62" t="s">
        <v>497</v>
      </c>
      <c r="C28" s="64" t="s">
        <v>129</v>
      </c>
      <c r="D28" s="43" t="s">
        <v>429</v>
      </c>
      <c r="E28" s="41"/>
      <c r="F28" s="41"/>
      <c r="G28" s="41"/>
      <c r="H28" s="55" t="s">
        <v>207</v>
      </c>
      <c r="I28" s="153"/>
      <c r="L28" s="158"/>
    </row>
    <row r="29" spans="1:15" x14ac:dyDescent="0.35">
      <c r="A29" s="165"/>
      <c r="B29" s="71"/>
      <c r="C29" s="64" t="s">
        <v>115</v>
      </c>
      <c r="D29" s="43" t="s">
        <v>430</v>
      </c>
      <c r="E29" s="41"/>
      <c r="F29" s="41"/>
      <c r="G29" s="41"/>
      <c r="H29" s="55" t="s">
        <v>118</v>
      </c>
      <c r="I29" s="93"/>
    </row>
    <row r="30" spans="1:15" ht="15" customHeight="1" x14ac:dyDescent="0.35">
      <c r="A30" s="167"/>
      <c r="B30" s="329"/>
      <c r="C30" s="88"/>
      <c r="D30" s="50"/>
      <c r="E30" s="50"/>
      <c r="F30" s="50"/>
      <c r="G30" s="50"/>
      <c r="H30" s="63"/>
      <c r="I30" s="57"/>
      <c r="L30" s="158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115</v>
      </c>
      <c r="D34" s="125" t="s">
        <v>255</v>
      </c>
      <c r="E34" s="49"/>
      <c r="F34" s="49"/>
      <c r="G34" s="94"/>
      <c r="H34" s="95" t="s">
        <v>114</v>
      </c>
      <c r="I34" s="168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 t="s">
        <v>117</v>
      </c>
      <c r="D35" s="43" t="s">
        <v>431</v>
      </c>
      <c r="E35" s="41"/>
      <c r="F35" s="41"/>
      <c r="G35" s="42"/>
      <c r="H35" s="55" t="s">
        <v>118</v>
      </c>
      <c r="I35" s="153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/>
      <c r="D36" s="126"/>
      <c r="E36" s="41"/>
      <c r="F36" s="41"/>
      <c r="G36" s="118"/>
      <c r="H36" s="55"/>
      <c r="I36" s="93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152"/>
      <c r="E37" s="50"/>
      <c r="F37" s="50"/>
      <c r="G37" s="45"/>
      <c r="H37" s="159"/>
      <c r="I37" s="144"/>
    </row>
    <row r="38" spans="1:15" x14ac:dyDescent="0.35">
      <c r="A38" s="81"/>
      <c r="B38" s="89" t="s">
        <v>108</v>
      </c>
      <c r="C38" s="56" t="s">
        <v>117</v>
      </c>
      <c r="D38" s="43" t="s">
        <v>432</v>
      </c>
      <c r="E38" s="41"/>
      <c r="F38" s="41"/>
      <c r="G38" s="42"/>
      <c r="H38" s="66" t="s">
        <v>118</v>
      </c>
      <c r="I38" s="127"/>
    </row>
    <row r="39" spans="1:15" ht="15.75" customHeight="1" x14ac:dyDescent="0.35">
      <c r="A39" s="81"/>
      <c r="B39" s="68" t="s">
        <v>499</v>
      </c>
      <c r="C39" s="64" t="s">
        <v>115</v>
      </c>
      <c r="D39" s="43" t="s">
        <v>256</v>
      </c>
      <c r="E39" s="41"/>
      <c r="F39" s="41"/>
      <c r="G39" s="42"/>
      <c r="H39" s="66" t="s">
        <v>114</v>
      </c>
      <c r="I39" s="153"/>
    </row>
    <row r="40" spans="1:15" ht="15.75" customHeight="1" x14ac:dyDescent="0.35">
      <c r="A40" s="81"/>
      <c r="B40" s="91"/>
      <c r="C40" s="64"/>
      <c r="D40" s="43"/>
      <c r="E40" s="41"/>
      <c r="F40" s="41"/>
      <c r="G40" s="42"/>
      <c r="H40" s="66"/>
      <c r="I40" s="153"/>
    </row>
    <row r="41" spans="1:15" ht="15.75" customHeight="1" x14ac:dyDescent="0.35">
      <c r="A41" s="82"/>
      <c r="B41" s="79"/>
      <c r="C41" s="57"/>
      <c r="D41" s="46"/>
      <c r="E41" s="50"/>
      <c r="F41" s="50"/>
      <c r="G41" s="45"/>
      <c r="H41" s="67"/>
      <c r="I41" s="134"/>
    </row>
    <row r="42" spans="1:15" ht="11.25" customHeight="1" x14ac:dyDescent="0.35">
      <c r="A42" s="43"/>
      <c r="B42" s="154"/>
      <c r="C42" s="101"/>
      <c r="D42" s="41"/>
      <c r="E42" s="41"/>
      <c r="F42" s="41"/>
      <c r="G42" s="41"/>
      <c r="H42" s="101"/>
      <c r="I42" s="163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15" ht="15.75" customHeight="1" x14ac:dyDescent="0.35">
      <c r="A45" s="391"/>
      <c r="B45" s="392"/>
      <c r="C45" s="392"/>
      <c r="D45" s="393"/>
      <c r="E45" s="394"/>
      <c r="F45" s="394"/>
      <c r="G45" s="395" t="s">
        <v>253</v>
      </c>
      <c r="H45" s="396"/>
      <c r="I45" s="397"/>
    </row>
    <row r="46" spans="1:15" ht="15.75" customHeight="1" x14ac:dyDescent="0.35">
      <c r="A46" s="398"/>
      <c r="B46" s="399"/>
      <c r="C46" s="399"/>
      <c r="D46" s="400"/>
      <c r="E46" s="386"/>
      <c r="F46" s="386"/>
      <c r="G46" s="401" t="s">
        <v>254</v>
      </c>
      <c r="H46" s="402"/>
      <c r="I46" s="403"/>
    </row>
    <row r="47" spans="1:15" ht="15.75" customHeight="1" x14ac:dyDescent="0.35">
      <c r="A47" s="268"/>
      <c r="B47" s="269"/>
      <c r="C47" s="269"/>
      <c r="D47" s="270"/>
      <c r="E47" s="154"/>
      <c r="F47" s="154"/>
      <c r="G47" s="346"/>
      <c r="H47" s="347"/>
      <c r="I47" s="348"/>
    </row>
    <row r="48" spans="1:15" ht="15.75" customHeight="1" x14ac:dyDescent="0.35">
      <c r="A48" s="791"/>
      <c r="B48" s="378"/>
      <c r="C48" s="378"/>
      <c r="D48" s="379"/>
      <c r="E48" s="367"/>
      <c r="F48" s="367"/>
      <c r="G48" s="380"/>
      <c r="H48" s="381"/>
      <c r="I48" s="382"/>
    </row>
    <row r="49" spans="1:9" ht="15.75" customHeight="1" x14ac:dyDescent="0.35">
      <c r="A49" s="792" t="s">
        <v>433</v>
      </c>
      <c r="B49" s="793"/>
      <c r="C49" s="793"/>
      <c r="D49" s="794"/>
      <c r="E49" s="386"/>
      <c r="F49" s="387"/>
      <c r="G49" s="388" t="s">
        <v>257</v>
      </c>
      <c r="H49" s="389"/>
      <c r="I49" s="390"/>
    </row>
    <row r="50" spans="1:9" ht="15.75" customHeight="1" x14ac:dyDescent="0.35">
      <c r="A50" s="145" t="s">
        <v>434</v>
      </c>
      <c r="B50" s="146"/>
      <c r="C50" s="146"/>
      <c r="D50" s="147"/>
      <c r="E50" s="367"/>
      <c r="F50" s="368"/>
      <c r="G50" s="148"/>
      <c r="H50" s="149"/>
      <c r="I50" s="150"/>
    </row>
    <row r="51" spans="1:9" ht="15.75" customHeight="1" x14ac:dyDescent="0.35">
      <c r="A51" s="369"/>
      <c r="B51" s="370"/>
      <c r="C51" s="370"/>
      <c r="D51" s="371"/>
      <c r="E51" s="372"/>
      <c r="F51" s="373"/>
      <c r="G51" s="788"/>
      <c r="H51" s="789"/>
      <c r="I51" s="790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35">
    <mergeCell ref="A1:E2"/>
    <mergeCell ref="F1:H2"/>
    <mergeCell ref="I1:I2"/>
    <mergeCell ref="A3:B3"/>
    <mergeCell ref="A4:H5"/>
    <mergeCell ref="I4:I5"/>
    <mergeCell ref="A6:H7"/>
    <mergeCell ref="I6:I7"/>
    <mergeCell ref="A16:B17"/>
    <mergeCell ref="C16:C17"/>
    <mergeCell ref="D16:G17"/>
    <mergeCell ref="H16:H17"/>
    <mergeCell ref="I16:I17"/>
    <mergeCell ref="A18:I18"/>
    <mergeCell ref="A31:I32"/>
    <mergeCell ref="A33:I33"/>
    <mergeCell ref="A43:D44"/>
    <mergeCell ref="E43:F44"/>
    <mergeCell ref="G43:I44"/>
    <mergeCell ref="A45:D45"/>
    <mergeCell ref="E45:F45"/>
    <mergeCell ref="G45:I45"/>
    <mergeCell ref="A46:D46"/>
    <mergeCell ref="E46:F46"/>
    <mergeCell ref="G46:I46"/>
    <mergeCell ref="E50:F50"/>
    <mergeCell ref="A51:D51"/>
    <mergeCell ref="E51:F51"/>
    <mergeCell ref="G51:I51"/>
    <mergeCell ref="A48:D48"/>
    <mergeCell ref="E48:F48"/>
    <mergeCell ref="G48:I48"/>
    <mergeCell ref="A49:D49"/>
    <mergeCell ref="E49:F49"/>
    <mergeCell ref="G49:I49"/>
  </mergeCells>
  <hyperlinks>
    <hyperlink ref="I21" r:id="rId1" location="doc/55614/18" display="https://edu.suissetec.ch/ - doc/55614/18" xr:uid="{1CB4ADF7-7EA8-4B6F-AB92-00E58E9C6871}"/>
    <hyperlink ref="I27" r:id="rId2" location="doc/24597/21" display="https://edu.suissetec.ch/ - doc/24597/21" xr:uid="{999348A7-1979-43AC-8B42-895C2331FC32}"/>
    <hyperlink ref="A49:D49" r:id="rId3" display="Fertigstellung 1.2_Übungen_4" xr:uid="{4BD3D83D-962E-40BC-A1C4-2A522D6A896B}"/>
  </hyperlinks>
  <pageMargins left="0.25" right="0.25" top="0.75" bottom="0.75" header="0.3" footer="0.3"/>
  <pageSetup paperSize="9" orientation="portrait" r:id="rId4"/>
  <headerFooter>
    <oddHeader>&amp;LGBS SG
&amp;CSAIa25-29&amp;RBKU</oddHeader>
    <oddFooter>&amp;Rarto</oddFooter>
  </headerFooter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A119-95EA-4606-B0EA-07F9B5EB92B3}">
  <dimension ref="A1:O56"/>
  <sheetViews>
    <sheetView view="pageLayout" zoomScaleNormal="100" workbookViewId="0">
      <selection activeCell="F47" sqref="F47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3.1796875" customWidth="1"/>
    <col min="8" max="8" width="5.1796875" customWidth="1"/>
    <col min="9" max="9" width="17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Kompetenzraster!R29</f>
        <v>45988</v>
      </c>
      <c r="G1" s="439"/>
      <c r="H1" s="440"/>
      <c r="I1" s="444">
        <v>13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6" t="s">
        <v>51</v>
      </c>
      <c r="B4" s="447"/>
      <c r="C4" s="447"/>
      <c r="D4" s="447"/>
      <c r="E4" s="447"/>
      <c r="F4" s="447"/>
      <c r="G4" s="447"/>
      <c r="H4" s="448"/>
      <c r="I4" s="452">
        <v>1.6</v>
      </c>
    </row>
    <row r="5" spans="1:11" ht="15.75" customHeight="1" x14ac:dyDescent="0.35">
      <c r="A5" s="449"/>
      <c r="B5" s="450"/>
      <c r="C5" s="450"/>
      <c r="D5" s="450"/>
      <c r="E5" s="450"/>
      <c r="F5" s="450"/>
      <c r="G5" s="450"/>
      <c r="H5" s="451"/>
      <c r="I5" s="452"/>
    </row>
    <row r="6" spans="1:11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8.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164"/>
      <c r="B10" s="41" t="s">
        <v>250</v>
      </c>
      <c r="C10" s="41"/>
      <c r="D10" s="41"/>
      <c r="E10" s="41"/>
      <c r="F10" s="41"/>
      <c r="G10" s="41"/>
      <c r="H10" s="41"/>
      <c r="I10" s="52"/>
    </row>
    <row r="11" spans="1:11" ht="15.75" customHeight="1" x14ac:dyDescent="0.35">
      <c r="A11" s="165"/>
      <c r="B11" s="41" t="s">
        <v>251</v>
      </c>
      <c r="C11" s="41"/>
      <c r="D11" s="41"/>
      <c r="E11" s="41"/>
      <c r="F11" s="41"/>
      <c r="G11" s="41"/>
      <c r="H11" s="41"/>
      <c r="I11" s="44"/>
    </row>
    <row r="12" spans="1:11" ht="15.75" customHeight="1" x14ac:dyDescent="0.35">
      <c r="A12" s="165"/>
      <c r="I12" s="47"/>
    </row>
    <row r="13" spans="1:11" ht="15.75" customHeight="1" x14ac:dyDescent="0.35">
      <c r="A13" s="161"/>
      <c r="B13" s="49" t="s">
        <v>208</v>
      </c>
      <c r="C13" s="49"/>
      <c r="D13" s="49"/>
      <c r="E13" s="49"/>
      <c r="F13" s="49"/>
      <c r="G13" s="49"/>
      <c r="H13" s="51"/>
      <c r="I13" s="52"/>
      <c r="K13" s="100"/>
    </row>
    <row r="14" spans="1:11" ht="15.75" customHeight="1" x14ac:dyDescent="0.35">
      <c r="A14" s="139"/>
      <c r="B14" s="50" t="s">
        <v>237</v>
      </c>
      <c r="C14" s="50"/>
      <c r="D14" s="50"/>
      <c r="E14" s="50"/>
      <c r="F14" s="50"/>
      <c r="G14" s="50"/>
      <c r="H14" s="45"/>
      <c r="I14" s="47"/>
    </row>
    <row r="15" spans="1:11" ht="5.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404"/>
      <c r="B18" s="405"/>
      <c r="C18" s="405"/>
      <c r="D18" s="405"/>
      <c r="E18" s="405"/>
      <c r="F18" s="405"/>
      <c r="G18" s="405"/>
      <c r="H18" s="405"/>
      <c r="I18" s="406"/>
    </row>
    <row r="19" spans="1:15" x14ac:dyDescent="0.35">
      <c r="A19" s="166"/>
      <c r="B19" s="327" t="s">
        <v>89</v>
      </c>
      <c r="C19" s="54" t="s">
        <v>119</v>
      </c>
      <c r="D19" s="48" t="s">
        <v>258</v>
      </c>
      <c r="E19" s="49"/>
      <c r="F19" s="49"/>
      <c r="G19" s="51"/>
      <c r="H19" s="122" t="s">
        <v>114</v>
      </c>
      <c r="I19" s="117"/>
    </row>
    <row r="20" spans="1:15" x14ac:dyDescent="0.35">
      <c r="A20" s="166"/>
      <c r="B20" s="62" t="s">
        <v>495</v>
      </c>
      <c r="C20" s="55" t="s">
        <v>115</v>
      </c>
      <c r="D20" s="675" t="s">
        <v>261</v>
      </c>
      <c r="E20" s="386"/>
      <c r="F20" s="386"/>
      <c r="G20" s="387"/>
      <c r="H20" s="101" t="s">
        <v>118</v>
      </c>
      <c r="I20" s="156"/>
    </row>
    <row r="21" spans="1:15" x14ac:dyDescent="0.35">
      <c r="A21" s="166"/>
      <c r="B21" s="71"/>
      <c r="C21" s="55" t="s">
        <v>129</v>
      </c>
      <c r="D21" s="43" t="s">
        <v>259</v>
      </c>
      <c r="E21" s="41"/>
      <c r="F21" s="41"/>
      <c r="G21" s="42"/>
      <c r="H21" s="101" t="s">
        <v>114</v>
      </c>
      <c r="I21" s="93"/>
    </row>
    <row r="22" spans="1:15" x14ac:dyDescent="0.35">
      <c r="A22" s="166"/>
      <c r="B22" s="328"/>
      <c r="C22" s="63"/>
      <c r="D22" s="43" t="s">
        <v>260</v>
      </c>
      <c r="E22" s="41"/>
      <c r="F22" s="41"/>
      <c r="G22" s="42"/>
      <c r="H22" s="124" t="s">
        <v>114</v>
      </c>
      <c r="I22" s="144"/>
    </row>
    <row r="23" spans="1:15" x14ac:dyDescent="0.35">
      <c r="A23" s="166"/>
      <c r="B23" s="327" t="s">
        <v>90</v>
      </c>
      <c r="C23" s="95" t="s">
        <v>98</v>
      </c>
      <c r="D23" s="110" t="s">
        <v>262</v>
      </c>
      <c r="E23" s="111"/>
      <c r="F23" s="49"/>
      <c r="G23" s="51"/>
      <c r="H23" s="65" t="s">
        <v>118</v>
      </c>
      <c r="I23" s="155"/>
    </row>
    <row r="24" spans="1:15" x14ac:dyDescent="0.35">
      <c r="A24" s="166"/>
      <c r="B24" s="62" t="s">
        <v>496</v>
      </c>
      <c r="C24" s="55" t="s">
        <v>99</v>
      </c>
      <c r="D24" s="109"/>
      <c r="E24" s="107"/>
      <c r="F24" s="41"/>
      <c r="G24" s="42"/>
      <c r="H24" s="66" t="s">
        <v>118</v>
      </c>
      <c r="I24" s="114"/>
      <c r="K24" s="101"/>
    </row>
    <row r="25" spans="1:15" x14ac:dyDescent="0.35">
      <c r="A25" s="166"/>
      <c r="B25" s="71"/>
      <c r="C25" s="55"/>
      <c r="D25" s="109"/>
      <c r="E25" s="107"/>
      <c r="F25" s="41"/>
      <c r="G25" s="42"/>
      <c r="H25" s="66"/>
      <c r="I25" s="353" t="s">
        <v>505</v>
      </c>
      <c r="K25" s="102"/>
      <c r="L25" s="158"/>
    </row>
    <row r="26" spans="1:15" x14ac:dyDescent="0.35">
      <c r="A26" s="166"/>
      <c r="B26" s="328"/>
      <c r="C26" s="63"/>
      <c r="D26" s="170"/>
      <c r="E26" s="171"/>
      <c r="F26" s="50"/>
      <c r="G26" s="45"/>
      <c r="H26" s="67"/>
      <c r="I26" s="144"/>
    </row>
    <row r="27" spans="1:15" x14ac:dyDescent="0.35">
      <c r="A27" s="164"/>
      <c r="B27" s="72" t="s">
        <v>91</v>
      </c>
      <c r="C27" s="55" t="s">
        <v>144</v>
      </c>
      <c r="D27" s="110" t="s">
        <v>263</v>
      </c>
      <c r="E27" s="49"/>
      <c r="F27" s="49"/>
      <c r="G27" s="51"/>
      <c r="H27" s="65" t="s">
        <v>114</v>
      </c>
      <c r="I27" s="140"/>
      <c r="L27" s="162"/>
    </row>
    <row r="28" spans="1:15" x14ac:dyDescent="0.35">
      <c r="A28" s="165"/>
      <c r="B28" s="62" t="s">
        <v>497</v>
      </c>
      <c r="C28" s="55" t="s">
        <v>129</v>
      </c>
      <c r="D28" s="43" t="s">
        <v>264</v>
      </c>
      <c r="E28" s="41"/>
      <c r="F28" s="41"/>
      <c r="G28" s="42"/>
      <c r="H28" s="66" t="s">
        <v>207</v>
      </c>
      <c r="I28" s="96"/>
      <c r="L28" s="158"/>
    </row>
    <row r="29" spans="1:15" x14ac:dyDescent="0.35">
      <c r="A29" s="165"/>
      <c r="B29" s="71"/>
      <c r="C29" s="55"/>
      <c r="D29" s="43"/>
      <c r="E29" s="41"/>
      <c r="F29" s="41"/>
      <c r="G29" s="42"/>
      <c r="H29" s="66" t="s">
        <v>118</v>
      </c>
      <c r="I29" s="93"/>
    </row>
    <row r="30" spans="1:15" ht="15" customHeight="1" x14ac:dyDescent="0.35">
      <c r="A30" s="167"/>
      <c r="B30" s="329"/>
      <c r="C30" s="169"/>
      <c r="D30" s="46"/>
      <c r="E30" s="50"/>
      <c r="F30" s="50"/>
      <c r="G30" s="45"/>
      <c r="H30" s="67"/>
      <c r="I30" s="57"/>
      <c r="L30" s="158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J31" s="323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J32" s="323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97</v>
      </c>
      <c r="D34" s="48" t="s">
        <v>265</v>
      </c>
      <c r="E34" s="49"/>
      <c r="F34" s="49"/>
      <c r="G34" s="94"/>
      <c r="H34" s="95" t="s">
        <v>114</v>
      </c>
      <c r="I34" s="117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/>
      <c r="D35" s="43"/>
      <c r="E35" s="41"/>
      <c r="F35" s="41"/>
      <c r="G35" s="42"/>
      <c r="H35" s="55" t="s">
        <v>118</v>
      </c>
      <c r="I35" s="153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/>
      <c r="D36" s="126"/>
      <c r="E36" s="41"/>
      <c r="F36" s="41"/>
      <c r="G36" s="118"/>
      <c r="H36" s="55"/>
      <c r="I36" s="93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152"/>
      <c r="E37" s="50"/>
      <c r="F37" s="50"/>
      <c r="G37" s="45"/>
      <c r="H37" s="159"/>
      <c r="I37" s="144"/>
    </row>
    <row r="38" spans="1:15" x14ac:dyDescent="0.35">
      <c r="A38" s="81"/>
      <c r="B38" s="89" t="s">
        <v>108</v>
      </c>
      <c r="C38" s="56" t="s">
        <v>120</v>
      </c>
      <c r="D38" s="43" t="s">
        <v>450</v>
      </c>
      <c r="E38" s="41"/>
      <c r="F38" s="41"/>
      <c r="G38" s="42"/>
      <c r="H38" s="66" t="s">
        <v>118</v>
      </c>
      <c r="I38" s="127"/>
    </row>
    <row r="39" spans="1:15" ht="15.75" customHeight="1" x14ac:dyDescent="0.35">
      <c r="A39" s="81"/>
      <c r="B39" s="68" t="s">
        <v>499</v>
      </c>
      <c r="C39" s="64" t="s">
        <v>119</v>
      </c>
      <c r="D39" s="43" t="s">
        <v>451</v>
      </c>
      <c r="E39" s="41"/>
      <c r="F39" s="41"/>
      <c r="G39" s="42"/>
      <c r="H39" s="66" t="s">
        <v>114</v>
      </c>
      <c r="I39" s="153"/>
    </row>
    <row r="40" spans="1:15" ht="15.75" customHeight="1" x14ac:dyDescent="0.35">
      <c r="A40" s="81"/>
      <c r="B40" s="91"/>
      <c r="C40" s="64"/>
      <c r="D40" s="43"/>
      <c r="E40" s="41"/>
      <c r="F40" s="41"/>
      <c r="G40" s="42"/>
      <c r="H40" s="66"/>
      <c r="I40" s="153"/>
    </row>
    <row r="41" spans="1:15" ht="15.75" customHeight="1" x14ac:dyDescent="0.35">
      <c r="A41" s="82"/>
      <c r="B41" s="79"/>
      <c r="C41" s="57"/>
      <c r="D41" s="46"/>
      <c r="E41" s="50"/>
      <c r="F41" s="50"/>
      <c r="G41" s="45"/>
      <c r="H41" s="67"/>
      <c r="I41" s="134"/>
    </row>
    <row r="42" spans="1:15" ht="3.65" customHeight="1" x14ac:dyDescent="0.35">
      <c r="A42" s="43"/>
      <c r="B42" s="154"/>
      <c r="C42" s="101"/>
      <c r="D42" s="41"/>
      <c r="E42" s="41"/>
      <c r="F42" s="41"/>
      <c r="G42" s="41"/>
      <c r="H42" s="101"/>
      <c r="I42" s="163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15" ht="15.75" customHeight="1" x14ac:dyDescent="0.35">
      <c r="A45" s="391" t="s">
        <v>267</v>
      </c>
      <c r="B45" s="392"/>
      <c r="C45" s="392"/>
      <c r="D45" s="393"/>
      <c r="E45" s="394"/>
      <c r="F45" s="394"/>
      <c r="G45" s="798" t="s">
        <v>266</v>
      </c>
      <c r="H45" s="799"/>
      <c r="I45" s="800"/>
    </row>
    <row r="46" spans="1:15" ht="15.75" customHeight="1" x14ac:dyDescent="0.35">
      <c r="A46" s="398" t="s">
        <v>268</v>
      </c>
      <c r="B46" s="399"/>
      <c r="C46" s="399"/>
      <c r="D46" s="400"/>
      <c r="E46" s="386"/>
      <c r="F46" s="386"/>
      <c r="G46" s="795" t="s">
        <v>507</v>
      </c>
      <c r="H46" s="796"/>
      <c r="I46" s="797"/>
    </row>
    <row r="47" spans="1:15" ht="15.75" customHeight="1" x14ac:dyDescent="0.35">
      <c r="A47" s="268"/>
      <c r="B47" s="269"/>
      <c r="C47" s="269"/>
      <c r="D47" s="270"/>
      <c r="E47" s="154"/>
      <c r="F47" s="154"/>
      <c r="G47" s="349"/>
      <c r="H47" s="350"/>
      <c r="I47" s="351"/>
    </row>
    <row r="48" spans="1:15" ht="15.75" customHeight="1" x14ac:dyDescent="0.35">
      <c r="A48" s="791"/>
      <c r="B48" s="378"/>
      <c r="C48" s="378"/>
      <c r="D48" s="379"/>
      <c r="E48" s="367"/>
      <c r="F48" s="367"/>
      <c r="G48" s="380"/>
      <c r="H48" s="381"/>
      <c r="I48" s="382"/>
    </row>
    <row r="49" spans="1:9" ht="15.75" customHeight="1" x14ac:dyDescent="0.35">
      <c r="A49" s="383" t="s">
        <v>460</v>
      </c>
      <c r="B49" s="384"/>
      <c r="C49" s="384"/>
      <c r="D49" s="385"/>
      <c r="E49" s="386"/>
      <c r="F49" s="387"/>
      <c r="G49" s="388" t="s">
        <v>257</v>
      </c>
      <c r="H49" s="389"/>
      <c r="I49" s="390"/>
    </row>
    <row r="50" spans="1:9" ht="15.75" customHeight="1" x14ac:dyDescent="0.35">
      <c r="A50" s="145"/>
      <c r="B50" s="146"/>
      <c r="C50" s="146"/>
      <c r="D50" s="147"/>
      <c r="E50" s="367"/>
      <c r="F50" s="368"/>
      <c r="G50" s="148"/>
      <c r="H50" s="149"/>
      <c r="I50" s="150"/>
    </row>
    <row r="51" spans="1:9" ht="15.75" customHeight="1" x14ac:dyDescent="0.35">
      <c r="A51" s="369"/>
      <c r="B51" s="370"/>
      <c r="C51" s="370"/>
      <c r="D51" s="371"/>
      <c r="E51" s="372"/>
      <c r="F51" s="373"/>
      <c r="G51" s="374"/>
      <c r="H51" s="375"/>
      <c r="I51" s="376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36">
    <mergeCell ref="A1:E2"/>
    <mergeCell ref="F1:H2"/>
    <mergeCell ref="I1:I2"/>
    <mergeCell ref="A3:B3"/>
    <mergeCell ref="A4:H5"/>
    <mergeCell ref="I4:I5"/>
    <mergeCell ref="A6:H7"/>
    <mergeCell ref="I6:I7"/>
    <mergeCell ref="A16:B17"/>
    <mergeCell ref="C16:C17"/>
    <mergeCell ref="D16:G17"/>
    <mergeCell ref="H16:H17"/>
    <mergeCell ref="I16:I17"/>
    <mergeCell ref="G46:I46"/>
    <mergeCell ref="A18:I18"/>
    <mergeCell ref="A31:I32"/>
    <mergeCell ref="A33:I33"/>
    <mergeCell ref="A43:D44"/>
    <mergeCell ref="E43:F44"/>
    <mergeCell ref="G43:I44"/>
    <mergeCell ref="D20:G20"/>
    <mergeCell ref="A45:D45"/>
    <mergeCell ref="E45:F45"/>
    <mergeCell ref="G45:I45"/>
    <mergeCell ref="A46:D46"/>
    <mergeCell ref="E46:F46"/>
    <mergeCell ref="E50:F50"/>
    <mergeCell ref="A51:D51"/>
    <mergeCell ref="E51:F51"/>
    <mergeCell ref="G51:I51"/>
    <mergeCell ref="A48:D48"/>
    <mergeCell ref="E48:F48"/>
    <mergeCell ref="G48:I48"/>
    <mergeCell ref="A49:D49"/>
    <mergeCell ref="E49:F49"/>
    <mergeCell ref="G49:I49"/>
  </mergeCells>
  <hyperlinks>
    <hyperlink ref="I25" r:id="rId1" display="https://sanitaerlernen.ch/0_Datenbank/2_Uebungen/1.Semester/1.6_Uebungen_1.pdf" xr:uid="{964357FA-BB65-422D-ABBB-FFC0B06F1237}"/>
  </hyperlinks>
  <pageMargins left="0.25" right="0.25" top="0.75" bottom="0.75" header="0.3" footer="0.3"/>
  <pageSetup paperSize="9" orientation="portrait" r:id="rId2"/>
  <headerFooter>
    <oddHeader>&amp;LGBS SG
&amp;CSAIa25-29&amp;RBKU</oddHeader>
    <oddFooter>&amp;Rarto</oddFooter>
  </headerFooter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9D85-DBAD-4D44-8D42-412A36CC4ADF}">
  <dimension ref="A1:P55"/>
  <sheetViews>
    <sheetView view="pageLayout" topLeftCell="A13" zoomScale="85" zoomScaleNormal="100" zoomScalePageLayoutView="85" workbookViewId="0">
      <selection activeCell="F24" sqref="F24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2.1796875" customWidth="1"/>
    <col min="8" max="8" width="2.81640625" customWidth="1"/>
    <col min="9" max="9" width="3.81640625" customWidth="1"/>
    <col min="10" max="10" width="17.1796875" customWidth="1"/>
  </cols>
  <sheetData>
    <row r="1" spans="1:12" ht="15" customHeight="1" x14ac:dyDescent="0.35">
      <c r="A1" s="432" t="s">
        <v>96</v>
      </c>
      <c r="B1" s="433"/>
      <c r="C1" s="433"/>
      <c r="D1" s="433"/>
      <c r="E1" s="434"/>
      <c r="F1" s="438">
        <f>Kompetenzraster!R31</f>
        <v>45995</v>
      </c>
      <c r="G1" s="439"/>
      <c r="H1" s="439"/>
      <c r="I1" s="440"/>
      <c r="J1" s="444">
        <v>14</v>
      </c>
    </row>
    <row r="2" spans="1:12" ht="15" customHeight="1" x14ac:dyDescent="0.35">
      <c r="A2" s="435"/>
      <c r="B2" s="436"/>
      <c r="C2" s="436"/>
      <c r="D2" s="436"/>
      <c r="E2" s="437"/>
      <c r="F2" s="441"/>
      <c r="G2" s="442"/>
      <c r="H2" s="442"/>
      <c r="I2" s="443"/>
      <c r="J2" s="444"/>
    </row>
    <row r="3" spans="1:12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  <c r="J3" s="61"/>
    </row>
    <row r="4" spans="1:12" ht="15.75" customHeight="1" x14ac:dyDescent="0.35">
      <c r="A4" s="446" t="s">
        <v>271</v>
      </c>
      <c r="B4" s="447"/>
      <c r="C4" s="447"/>
      <c r="D4" s="447"/>
      <c r="E4" s="447"/>
      <c r="F4" s="447"/>
      <c r="G4" s="447"/>
      <c r="H4" s="447"/>
      <c r="I4" s="448"/>
      <c r="J4" s="452">
        <v>1.8</v>
      </c>
    </row>
    <row r="5" spans="1:12" ht="15.75" customHeight="1" x14ac:dyDescent="0.35">
      <c r="A5" s="449"/>
      <c r="B5" s="450"/>
      <c r="C5" s="450"/>
      <c r="D5" s="450"/>
      <c r="E5" s="450"/>
      <c r="F5" s="450"/>
      <c r="G5" s="450"/>
      <c r="H5" s="450"/>
      <c r="I5" s="451"/>
      <c r="J5" s="452"/>
    </row>
    <row r="6" spans="1:12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3"/>
      <c r="I6" s="424"/>
      <c r="J6" s="428">
        <v>1.2</v>
      </c>
    </row>
    <row r="7" spans="1:12" ht="15.75" customHeight="1" x14ac:dyDescent="0.35">
      <c r="A7" s="425"/>
      <c r="B7" s="426"/>
      <c r="C7" s="426"/>
      <c r="D7" s="426"/>
      <c r="E7" s="426"/>
      <c r="F7" s="426"/>
      <c r="G7" s="426"/>
      <c r="H7" s="426"/>
      <c r="I7" s="427"/>
      <c r="J7" s="429"/>
    </row>
    <row r="8" spans="1:12" ht="5.9" customHeight="1" x14ac:dyDescent="0.35">
      <c r="A8" s="41"/>
      <c r="B8" s="76"/>
      <c r="C8" s="76"/>
      <c r="D8" s="76"/>
      <c r="E8" s="76"/>
      <c r="F8" s="76"/>
      <c r="G8" s="76"/>
      <c r="H8" s="76"/>
      <c r="I8" s="76"/>
      <c r="J8" s="61"/>
    </row>
    <row r="9" spans="1:12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4"/>
      <c r="J9" s="75"/>
    </row>
    <row r="10" spans="1:12" ht="15.75" customHeight="1" x14ac:dyDescent="0.35">
      <c r="A10" s="164"/>
      <c r="B10" s="41" t="s">
        <v>269</v>
      </c>
      <c r="C10" s="41"/>
      <c r="D10" s="41"/>
      <c r="E10" s="41"/>
      <c r="F10" s="41"/>
      <c r="G10" s="41"/>
      <c r="H10" s="41"/>
      <c r="I10" s="41"/>
      <c r="J10" s="52"/>
    </row>
    <row r="11" spans="1:12" ht="15.75" customHeight="1" x14ac:dyDescent="0.35">
      <c r="A11" s="165"/>
      <c r="B11" s="41" t="s">
        <v>437</v>
      </c>
      <c r="C11" s="41"/>
      <c r="D11" s="41"/>
      <c r="E11" s="41"/>
      <c r="F11" s="41"/>
      <c r="G11" s="41"/>
      <c r="H11" s="41"/>
      <c r="I11" s="41"/>
      <c r="J11" s="44"/>
    </row>
    <row r="12" spans="1:12" ht="15.75" customHeight="1" x14ac:dyDescent="0.35">
      <c r="A12" s="165"/>
      <c r="B12" t="s">
        <v>436</v>
      </c>
      <c r="J12" s="47"/>
    </row>
    <row r="13" spans="1:12" ht="15.75" customHeight="1" x14ac:dyDescent="0.35">
      <c r="A13" s="138"/>
      <c r="B13" s="49" t="s">
        <v>208</v>
      </c>
      <c r="C13" s="49"/>
      <c r="D13" s="49"/>
      <c r="E13" s="49"/>
      <c r="F13" s="49"/>
      <c r="G13" s="49"/>
      <c r="H13" s="49"/>
      <c r="I13" s="51"/>
      <c r="J13" s="52"/>
      <c r="L13" s="100"/>
    </row>
    <row r="14" spans="1:12" ht="15.75" customHeight="1" x14ac:dyDescent="0.35">
      <c r="A14" s="139"/>
      <c r="B14" s="50" t="s">
        <v>237</v>
      </c>
      <c r="C14" s="50"/>
      <c r="D14" s="50"/>
      <c r="E14" s="50"/>
      <c r="F14" s="50"/>
      <c r="G14" s="50"/>
      <c r="H14" s="50"/>
      <c r="I14" s="45"/>
      <c r="J14" s="47"/>
    </row>
    <row r="15" spans="1:12" ht="5.9" customHeight="1" x14ac:dyDescent="0.35">
      <c r="A15" s="41"/>
      <c r="B15" s="53"/>
      <c r="C15" s="53"/>
      <c r="D15" s="53"/>
      <c r="E15" s="53"/>
      <c r="F15" s="53"/>
      <c r="G15" s="53"/>
      <c r="H15" s="53"/>
      <c r="I15" s="41"/>
      <c r="J15" s="41"/>
    </row>
    <row r="16" spans="1:12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805" t="s">
        <v>435</v>
      </c>
      <c r="I16" s="431" t="s">
        <v>106</v>
      </c>
      <c r="J16" s="430" t="s">
        <v>87</v>
      </c>
    </row>
    <row r="17" spans="1:16" x14ac:dyDescent="0.35">
      <c r="A17" s="430"/>
      <c r="B17" s="430"/>
      <c r="C17" s="430"/>
      <c r="D17" s="430"/>
      <c r="E17" s="430"/>
      <c r="F17" s="430"/>
      <c r="G17" s="430"/>
      <c r="H17" s="806"/>
      <c r="I17" s="431"/>
      <c r="J17" s="430"/>
    </row>
    <row r="18" spans="1:16" ht="9.75" customHeight="1" x14ac:dyDescent="0.35">
      <c r="A18" s="404"/>
      <c r="B18" s="405"/>
      <c r="C18" s="405"/>
      <c r="D18" s="405"/>
      <c r="E18" s="405"/>
      <c r="F18" s="405"/>
      <c r="G18" s="405"/>
      <c r="H18" s="405"/>
      <c r="I18" s="405"/>
      <c r="J18" s="406"/>
    </row>
    <row r="19" spans="1:16" x14ac:dyDescent="0.35">
      <c r="A19" s="166"/>
      <c r="B19" s="327" t="s">
        <v>89</v>
      </c>
      <c r="C19" s="54" t="s">
        <v>98</v>
      </c>
      <c r="D19" s="287" t="s">
        <v>439</v>
      </c>
      <c r="E19" s="49"/>
      <c r="F19" s="49"/>
      <c r="G19" s="51"/>
      <c r="H19" s="271" t="s">
        <v>438</v>
      </c>
      <c r="I19" s="122" t="s">
        <v>114</v>
      </c>
      <c r="J19" s="117"/>
    </row>
    <row r="20" spans="1:16" x14ac:dyDescent="0.35">
      <c r="A20" s="166"/>
      <c r="B20" s="62" t="s">
        <v>495</v>
      </c>
      <c r="C20" s="55" t="s">
        <v>129</v>
      </c>
      <c r="D20" s="43" t="s">
        <v>441</v>
      </c>
      <c r="E20" s="41"/>
      <c r="F20" s="41"/>
      <c r="G20" s="42"/>
      <c r="H20" s="272"/>
      <c r="I20" s="101" t="s">
        <v>145</v>
      </c>
      <c r="J20" s="156"/>
    </row>
    <row r="21" spans="1:16" x14ac:dyDescent="0.35">
      <c r="A21" s="166"/>
      <c r="B21" s="71"/>
      <c r="C21" s="55" t="s">
        <v>115</v>
      </c>
      <c r="D21" s="43" t="s">
        <v>442</v>
      </c>
      <c r="E21" s="41"/>
      <c r="F21" s="41"/>
      <c r="G21" s="42"/>
      <c r="H21" s="273" t="s">
        <v>440</v>
      </c>
      <c r="I21" s="101" t="s">
        <v>207</v>
      </c>
      <c r="J21" s="93"/>
    </row>
    <row r="22" spans="1:16" x14ac:dyDescent="0.35">
      <c r="A22" s="166"/>
      <c r="B22" s="328"/>
      <c r="C22" s="63"/>
      <c r="D22" s="46"/>
      <c r="E22" s="50"/>
      <c r="F22" s="50"/>
      <c r="G22" s="45"/>
      <c r="H22" s="274"/>
      <c r="I22" s="124"/>
      <c r="J22" s="144"/>
    </row>
    <row r="23" spans="1:16" x14ac:dyDescent="0.35">
      <c r="A23" s="166"/>
      <c r="B23" s="327" t="s">
        <v>90</v>
      </c>
      <c r="C23" s="95" t="s">
        <v>129</v>
      </c>
      <c r="D23" s="110" t="s">
        <v>443</v>
      </c>
      <c r="E23" s="111"/>
      <c r="F23" s="49"/>
      <c r="G23" s="51"/>
      <c r="H23" s="275" t="s">
        <v>440</v>
      </c>
      <c r="I23" s="65" t="s">
        <v>118</v>
      </c>
      <c r="J23" s="155"/>
    </row>
    <row r="24" spans="1:16" x14ac:dyDescent="0.35">
      <c r="A24" s="166"/>
      <c r="B24" s="62" t="s">
        <v>496</v>
      </c>
      <c r="C24" s="55" t="s">
        <v>115</v>
      </c>
      <c r="D24" s="109" t="s">
        <v>444</v>
      </c>
      <c r="E24" s="264"/>
      <c r="F24" s="265"/>
      <c r="G24" s="266"/>
      <c r="H24" s="276" t="s">
        <v>447</v>
      </c>
      <c r="I24" s="66" t="s">
        <v>114</v>
      </c>
      <c r="J24" s="267"/>
      <c r="L24" s="101"/>
    </row>
    <row r="25" spans="1:16" x14ac:dyDescent="0.35">
      <c r="A25" s="166"/>
      <c r="B25" s="71"/>
      <c r="C25" s="55" t="s">
        <v>129</v>
      </c>
      <c r="D25" s="109" t="s">
        <v>445</v>
      </c>
      <c r="E25" s="107"/>
      <c r="F25" s="41"/>
      <c r="G25" s="42"/>
      <c r="H25" s="276"/>
      <c r="I25" s="66" t="s">
        <v>207</v>
      </c>
      <c r="J25" s="93"/>
      <c r="L25" s="102"/>
      <c r="M25" s="158"/>
    </row>
    <row r="26" spans="1:16" x14ac:dyDescent="0.35">
      <c r="A26" s="166"/>
      <c r="B26" s="328"/>
      <c r="C26" s="63" t="s">
        <v>119</v>
      </c>
      <c r="D26" s="170" t="s">
        <v>446</v>
      </c>
      <c r="E26" s="171"/>
      <c r="F26" s="50"/>
      <c r="G26" s="45"/>
      <c r="H26" s="277"/>
      <c r="I26" s="67" t="s">
        <v>114</v>
      </c>
      <c r="J26" s="144" t="s">
        <v>123</v>
      </c>
    </row>
    <row r="27" spans="1:16" x14ac:dyDescent="0.35">
      <c r="A27" s="164"/>
      <c r="B27" s="72" t="s">
        <v>91</v>
      </c>
      <c r="C27" s="55" t="s">
        <v>97</v>
      </c>
      <c r="D27" s="110" t="s">
        <v>453</v>
      </c>
      <c r="E27" s="49"/>
      <c r="F27" s="49"/>
      <c r="G27" s="51"/>
      <c r="H27" s="286"/>
      <c r="I27" s="65" t="s">
        <v>118</v>
      </c>
      <c r="J27" s="140"/>
      <c r="M27" s="162"/>
    </row>
    <row r="28" spans="1:16" x14ac:dyDescent="0.35">
      <c r="A28" s="165"/>
      <c r="B28" s="62" t="s">
        <v>497</v>
      </c>
      <c r="C28" s="55"/>
      <c r="D28" s="43" t="s">
        <v>452</v>
      </c>
      <c r="E28" s="41"/>
      <c r="F28" s="41"/>
      <c r="G28" s="42"/>
      <c r="H28" s="276"/>
      <c r="I28" s="66" t="s">
        <v>118</v>
      </c>
      <c r="J28" s="96"/>
      <c r="M28" s="158"/>
    </row>
    <row r="29" spans="1:16" x14ac:dyDescent="0.35">
      <c r="A29" s="165"/>
      <c r="B29" s="71"/>
      <c r="C29" s="55"/>
      <c r="D29" s="43" t="s">
        <v>449</v>
      </c>
      <c r="E29" s="41"/>
      <c r="F29" s="41"/>
      <c r="G29" s="42"/>
      <c r="H29" s="278" t="s">
        <v>448</v>
      </c>
      <c r="I29" s="66"/>
      <c r="J29" s="93"/>
    </row>
    <row r="30" spans="1:16" ht="15" customHeight="1" x14ac:dyDescent="0.35">
      <c r="A30" s="167"/>
      <c r="B30" s="329"/>
      <c r="C30" s="169"/>
      <c r="D30" s="46"/>
      <c r="E30" s="50"/>
      <c r="F30" s="50"/>
      <c r="G30" s="45"/>
      <c r="H30" s="279"/>
      <c r="I30" s="67"/>
      <c r="J30" s="57"/>
      <c r="M30" s="158"/>
    </row>
    <row r="31" spans="1:16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8"/>
      <c r="J31" s="409"/>
      <c r="L31" s="41"/>
      <c r="M31" s="41"/>
      <c r="N31" s="41"/>
      <c r="O31" s="41"/>
      <c r="P31" s="41"/>
    </row>
    <row r="32" spans="1:16" x14ac:dyDescent="0.35">
      <c r="A32" s="410"/>
      <c r="B32" s="411"/>
      <c r="C32" s="411"/>
      <c r="D32" s="411"/>
      <c r="E32" s="411"/>
      <c r="F32" s="411"/>
      <c r="G32" s="411"/>
      <c r="H32" s="411"/>
      <c r="I32" s="411"/>
      <c r="J32" s="412"/>
      <c r="L32" s="41"/>
      <c r="M32" s="41"/>
      <c r="N32" s="41"/>
      <c r="O32" s="41"/>
      <c r="P32" s="41"/>
    </row>
    <row r="33" spans="1:16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4"/>
      <c r="J33" s="415"/>
      <c r="L33" s="41"/>
      <c r="M33" s="41"/>
      <c r="N33" s="41"/>
      <c r="O33" s="41"/>
      <c r="P33" s="41"/>
    </row>
    <row r="34" spans="1:16" ht="15.75" customHeight="1" x14ac:dyDescent="0.35">
      <c r="A34" s="81"/>
      <c r="B34" s="90" t="s">
        <v>107</v>
      </c>
      <c r="C34" s="95" t="s">
        <v>97</v>
      </c>
      <c r="D34" s="125" t="s">
        <v>457</v>
      </c>
      <c r="E34" s="49"/>
      <c r="F34" s="49"/>
      <c r="G34" s="94"/>
      <c r="H34" s="282" t="s">
        <v>447</v>
      </c>
      <c r="I34" s="95" t="s">
        <v>118</v>
      </c>
      <c r="J34" s="117"/>
      <c r="L34" s="41"/>
      <c r="M34" s="41"/>
      <c r="N34" s="41"/>
      <c r="O34" s="41"/>
      <c r="P34" s="41"/>
    </row>
    <row r="35" spans="1:16" x14ac:dyDescent="0.35">
      <c r="A35" s="81"/>
      <c r="B35" s="62" t="s">
        <v>498</v>
      </c>
      <c r="C35" s="55"/>
      <c r="D35" s="43"/>
      <c r="E35" s="41"/>
      <c r="F35" s="41"/>
      <c r="G35" s="42"/>
      <c r="H35" s="283"/>
      <c r="I35" s="55"/>
      <c r="J35" s="153"/>
      <c r="L35" s="41"/>
      <c r="M35" s="41"/>
      <c r="N35" s="41"/>
      <c r="O35" s="41"/>
      <c r="P35" s="41"/>
    </row>
    <row r="36" spans="1:16" ht="15.75" customHeight="1" x14ac:dyDescent="0.35">
      <c r="A36" s="81"/>
      <c r="B36" s="91"/>
      <c r="C36" s="55"/>
      <c r="D36" s="126"/>
      <c r="E36" s="41"/>
      <c r="F36" s="41"/>
      <c r="G36" s="118"/>
      <c r="H36" s="284"/>
      <c r="I36" s="55"/>
      <c r="J36" s="93"/>
      <c r="L36" s="41"/>
      <c r="M36" s="41"/>
      <c r="N36" s="41"/>
      <c r="O36" s="41"/>
      <c r="P36" s="41"/>
    </row>
    <row r="37" spans="1:16" ht="15.75" customHeight="1" x14ac:dyDescent="0.35">
      <c r="A37" s="81"/>
      <c r="B37" s="92"/>
      <c r="C37" s="55"/>
      <c r="D37" s="152"/>
      <c r="E37" s="50"/>
      <c r="F37" s="50"/>
      <c r="G37" s="45"/>
      <c r="H37" s="285"/>
      <c r="I37" s="159"/>
      <c r="J37" s="144"/>
    </row>
    <row r="38" spans="1:16" x14ac:dyDescent="0.35">
      <c r="A38" s="81"/>
      <c r="B38" s="89" t="s">
        <v>108</v>
      </c>
      <c r="C38" s="56" t="s">
        <v>117</v>
      </c>
      <c r="D38" s="43" t="s">
        <v>454</v>
      </c>
      <c r="E38" s="41"/>
      <c r="F38" s="41"/>
      <c r="G38" s="42"/>
      <c r="H38" s="280" t="s">
        <v>448</v>
      </c>
      <c r="I38" s="66" t="s">
        <v>118</v>
      </c>
      <c r="J38" s="127"/>
    </row>
    <row r="39" spans="1:16" ht="15.75" customHeight="1" x14ac:dyDescent="0.35">
      <c r="A39" s="81"/>
      <c r="B39" s="68" t="s">
        <v>499</v>
      </c>
      <c r="C39" s="64" t="s">
        <v>115</v>
      </c>
      <c r="D39" s="43" t="s">
        <v>458</v>
      </c>
      <c r="E39" s="41"/>
      <c r="F39" s="41"/>
      <c r="G39" s="42"/>
      <c r="H39" s="280"/>
      <c r="I39" s="66" t="s">
        <v>114</v>
      </c>
      <c r="J39" s="153"/>
    </row>
    <row r="40" spans="1:16" ht="15.75" customHeight="1" x14ac:dyDescent="0.35">
      <c r="A40" s="81"/>
      <c r="B40" s="91"/>
      <c r="C40" s="64"/>
      <c r="D40" s="43"/>
      <c r="E40" s="41"/>
      <c r="F40" s="41"/>
      <c r="G40" s="42"/>
      <c r="H40" s="280"/>
      <c r="I40" s="66"/>
      <c r="J40" s="153"/>
    </row>
    <row r="41" spans="1:16" ht="15.75" customHeight="1" x14ac:dyDescent="0.35">
      <c r="A41" s="82"/>
      <c r="B41" s="79"/>
      <c r="C41" s="57"/>
      <c r="D41" s="46"/>
      <c r="E41" s="50"/>
      <c r="F41" s="50"/>
      <c r="G41" s="45"/>
      <c r="H41" s="281"/>
      <c r="I41" s="67"/>
      <c r="J41" s="134"/>
    </row>
    <row r="42" spans="1:16" ht="5.9" customHeight="1" x14ac:dyDescent="0.35">
      <c r="A42" s="43"/>
      <c r="B42" s="154"/>
      <c r="C42" s="101"/>
      <c r="D42" s="41"/>
      <c r="E42" s="41"/>
      <c r="F42" s="41"/>
      <c r="G42" s="41"/>
      <c r="H42" s="41"/>
      <c r="I42" s="101"/>
      <c r="J42" s="163"/>
    </row>
    <row r="43" spans="1:16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7"/>
      <c r="J43" s="418"/>
    </row>
    <row r="44" spans="1:16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0"/>
      <c r="J44" s="421"/>
    </row>
    <row r="45" spans="1:16" ht="15.75" customHeight="1" x14ac:dyDescent="0.35">
      <c r="A45" s="391" t="s">
        <v>456</v>
      </c>
      <c r="B45" s="392"/>
      <c r="C45" s="392"/>
      <c r="D45" s="393"/>
      <c r="E45" s="394"/>
      <c r="F45" s="394"/>
      <c r="G45" s="798" t="s">
        <v>455</v>
      </c>
      <c r="H45" s="799"/>
      <c r="I45" s="799"/>
      <c r="J45" s="800"/>
    </row>
    <row r="46" spans="1:16" ht="15.75" customHeight="1" x14ac:dyDescent="0.35">
      <c r="A46" s="398"/>
      <c r="B46" s="399"/>
      <c r="C46" s="399"/>
      <c r="D46" s="400"/>
      <c r="E46" s="386"/>
      <c r="F46" s="386"/>
      <c r="G46" s="401"/>
      <c r="H46" s="803"/>
      <c r="I46" s="402"/>
      <c r="J46" s="403"/>
    </row>
    <row r="47" spans="1:16" ht="15.75" customHeight="1" x14ac:dyDescent="0.35">
      <c r="A47" s="268"/>
      <c r="B47" s="269"/>
      <c r="C47" s="269"/>
      <c r="D47" s="270"/>
      <c r="E47" s="686"/>
      <c r="F47" s="368"/>
      <c r="G47" s="401" t="s">
        <v>272</v>
      </c>
      <c r="H47" s="803"/>
      <c r="I47" s="803"/>
      <c r="J47" s="804"/>
    </row>
    <row r="48" spans="1:16" ht="15.75" customHeight="1" x14ac:dyDescent="0.35">
      <c r="A48" s="377"/>
      <c r="B48" s="378"/>
      <c r="C48" s="378"/>
      <c r="D48" s="379"/>
      <c r="E48" s="367"/>
      <c r="F48" s="367"/>
      <c r="G48" s="380" t="s">
        <v>506</v>
      </c>
      <c r="H48" s="381"/>
      <c r="I48" s="381"/>
      <c r="J48" s="382"/>
    </row>
    <row r="49" spans="1:10" ht="15.75" customHeight="1" x14ac:dyDescent="0.35">
      <c r="A49" s="383" t="s">
        <v>459</v>
      </c>
      <c r="B49" s="728"/>
      <c r="C49" s="728"/>
      <c r="D49" s="729"/>
      <c r="E49" s="386"/>
      <c r="F49" s="387"/>
      <c r="G49" s="388" t="s">
        <v>257</v>
      </c>
      <c r="H49" s="389"/>
      <c r="I49" s="389"/>
      <c r="J49" s="390"/>
    </row>
    <row r="50" spans="1:10" ht="15.75" customHeight="1" x14ac:dyDescent="0.35">
      <c r="A50" s="733"/>
      <c r="B50" s="734"/>
      <c r="C50" s="734"/>
      <c r="D50" s="735"/>
      <c r="E50" s="367"/>
      <c r="F50" s="368"/>
      <c r="G50" s="148"/>
      <c r="H50" s="149"/>
      <c r="I50" s="149"/>
      <c r="J50" s="150"/>
    </row>
    <row r="51" spans="1:10" ht="15.75" customHeight="1" x14ac:dyDescent="0.35">
      <c r="A51" s="369"/>
      <c r="B51" s="801"/>
      <c r="C51" s="801"/>
      <c r="D51" s="802"/>
      <c r="E51" s="372"/>
      <c r="F51" s="373"/>
      <c r="G51" s="374"/>
      <c r="H51" s="375"/>
      <c r="I51" s="375"/>
      <c r="J51" s="376"/>
    </row>
    <row r="52" spans="1:10" ht="15.75" customHeight="1" x14ac:dyDescent="0.35"/>
    <row r="53" spans="1:10" ht="15.75" customHeight="1" x14ac:dyDescent="0.35"/>
    <row r="54" spans="1:10" ht="15.75" customHeight="1" x14ac:dyDescent="0.35"/>
    <row r="55" spans="1:10" ht="15.75" customHeight="1" x14ac:dyDescent="0.35"/>
  </sheetData>
  <mergeCells count="39">
    <mergeCell ref="G43:J44"/>
    <mergeCell ref="A6:I7"/>
    <mergeCell ref="J6:J7"/>
    <mergeCell ref="A16:B17"/>
    <mergeCell ref="C16:C17"/>
    <mergeCell ref="D16:G17"/>
    <mergeCell ref="I16:I17"/>
    <mergeCell ref="J16:J17"/>
    <mergeCell ref="H16:H17"/>
    <mergeCell ref="A18:J18"/>
    <mergeCell ref="A31:J32"/>
    <mergeCell ref="A33:J33"/>
    <mergeCell ref="A43:D44"/>
    <mergeCell ref="E43:F44"/>
    <mergeCell ref="A1:E2"/>
    <mergeCell ref="F1:I2"/>
    <mergeCell ref="J1:J2"/>
    <mergeCell ref="A3:B3"/>
    <mergeCell ref="A4:I5"/>
    <mergeCell ref="J4:J5"/>
    <mergeCell ref="A45:D45"/>
    <mergeCell ref="E45:F45"/>
    <mergeCell ref="A49:D49"/>
    <mergeCell ref="E49:F49"/>
    <mergeCell ref="G45:J45"/>
    <mergeCell ref="A46:D46"/>
    <mergeCell ref="E46:F46"/>
    <mergeCell ref="G46:J46"/>
    <mergeCell ref="A48:D48"/>
    <mergeCell ref="E48:F48"/>
    <mergeCell ref="G48:J48"/>
    <mergeCell ref="A51:D51"/>
    <mergeCell ref="E51:F51"/>
    <mergeCell ref="G51:J51"/>
    <mergeCell ref="G47:J47"/>
    <mergeCell ref="E47:F47"/>
    <mergeCell ref="G49:J49"/>
    <mergeCell ref="A50:D50"/>
    <mergeCell ref="E50:F50"/>
  </mergeCells>
  <hyperlinks>
    <hyperlink ref="J26" r:id="rId1" location="doc/55614/28" display="https://edu.suissetec.ch/ - doc/55614/28" xr:uid="{0DF82C54-48DC-44BB-81BC-B8FE6516A2B2}"/>
    <hyperlink ref="D19" r:id="rId2" xr:uid="{2309A043-9176-406E-B8B1-4B0E3A4E3A12}"/>
  </hyperlinks>
  <pageMargins left="0.25" right="0.25" top="0.75" bottom="0.75" header="0.3" footer="0.3"/>
  <pageSetup paperSize="9" orientation="portrait" r:id="rId3"/>
  <headerFooter>
    <oddHeader>&amp;LGBS SG
&amp;CSAIa25-29&amp;RBKU</oddHeader>
    <oddFooter>&amp;Rarto</oddFooter>
  </headerFooter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7815-601E-48FF-88D3-7F189C5D332F}">
  <dimension ref="A1:O56"/>
  <sheetViews>
    <sheetView view="pageLayout" topLeftCell="A13" zoomScale="85" zoomScaleNormal="100" zoomScalePageLayoutView="85" workbookViewId="0">
      <selection activeCell="E49" sqref="E49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3.1796875" customWidth="1"/>
    <col min="8" max="8" width="5.1796875" customWidth="1"/>
    <col min="9" max="9" width="17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Kompetenzraster!R33</f>
        <v>46002</v>
      </c>
      <c r="G1" s="439"/>
      <c r="H1" s="440"/>
      <c r="I1" s="444">
        <v>15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6" t="s">
        <v>271</v>
      </c>
      <c r="B4" s="447"/>
      <c r="C4" s="447"/>
      <c r="D4" s="447"/>
      <c r="E4" s="447"/>
      <c r="F4" s="447"/>
      <c r="G4" s="447"/>
      <c r="H4" s="448"/>
      <c r="I4" s="452">
        <v>1.8</v>
      </c>
    </row>
    <row r="5" spans="1:11" ht="15.75" customHeight="1" x14ac:dyDescent="0.35">
      <c r="A5" s="449"/>
      <c r="B5" s="450"/>
      <c r="C5" s="450"/>
      <c r="D5" s="450"/>
      <c r="E5" s="450"/>
      <c r="F5" s="450"/>
      <c r="G5" s="450"/>
      <c r="H5" s="451"/>
      <c r="I5" s="452"/>
    </row>
    <row r="6" spans="1:11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8.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164"/>
      <c r="B10" s="41" t="s">
        <v>269</v>
      </c>
      <c r="C10" s="41"/>
      <c r="D10" s="41"/>
      <c r="E10" s="41"/>
      <c r="F10" s="41"/>
      <c r="G10" s="41"/>
      <c r="H10" s="41"/>
      <c r="I10" s="52"/>
    </row>
    <row r="11" spans="1:11" ht="15.75" customHeight="1" x14ac:dyDescent="0.35">
      <c r="A11" s="165"/>
      <c r="B11" s="41" t="s">
        <v>437</v>
      </c>
      <c r="C11" s="41"/>
      <c r="D11" s="41"/>
      <c r="E11" s="41"/>
      <c r="F11" s="41"/>
      <c r="G11" s="41"/>
      <c r="H11" s="41"/>
      <c r="I11" s="44"/>
    </row>
    <row r="12" spans="1:11" ht="15.75" customHeight="1" x14ac:dyDescent="0.35">
      <c r="A12" s="165"/>
      <c r="B12" t="s">
        <v>270</v>
      </c>
      <c r="I12" s="47"/>
    </row>
    <row r="13" spans="1:11" ht="15.75" customHeight="1" x14ac:dyDescent="0.35">
      <c r="A13" s="161"/>
      <c r="B13" s="49" t="s">
        <v>208</v>
      </c>
      <c r="C13" s="49"/>
      <c r="D13" s="49"/>
      <c r="E13" s="49"/>
      <c r="F13" s="49"/>
      <c r="G13" s="49"/>
      <c r="H13" s="51"/>
      <c r="I13" s="52"/>
      <c r="K13" s="100"/>
    </row>
    <row r="14" spans="1:11" ht="15.75" customHeight="1" x14ac:dyDescent="0.35">
      <c r="A14" s="139"/>
      <c r="B14" s="50" t="s">
        <v>237</v>
      </c>
      <c r="C14" s="50"/>
      <c r="D14" s="50"/>
      <c r="E14" s="50"/>
      <c r="F14" s="50"/>
      <c r="G14" s="50"/>
      <c r="H14" s="45"/>
      <c r="I14" s="47"/>
    </row>
    <row r="15" spans="1:11" ht="5.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404"/>
      <c r="B18" s="405"/>
      <c r="C18" s="405"/>
      <c r="D18" s="405"/>
      <c r="E18" s="405"/>
      <c r="F18" s="405"/>
      <c r="G18" s="405"/>
      <c r="H18" s="405"/>
      <c r="I18" s="406"/>
    </row>
    <row r="19" spans="1:15" x14ac:dyDescent="0.35">
      <c r="A19" s="164"/>
      <c r="B19" s="327" t="s">
        <v>89</v>
      </c>
      <c r="C19" s="54" t="s">
        <v>115</v>
      </c>
      <c r="D19" s="48" t="s">
        <v>258</v>
      </c>
      <c r="E19" s="49"/>
      <c r="F19" s="49"/>
      <c r="G19" s="51"/>
      <c r="H19" s="122" t="s">
        <v>114</v>
      </c>
      <c r="I19" s="117"/>
    </row>
    <row r="20" spans="1:15" x14ac:dyDescent="0.35">
      <c r="A20" s="165"/>
      <c r="B20" s="62" t="s">
        <v>495</v>
      </c>
      <c r="C20" s="180" t="s">
        <v>99</v>
      </c>
      <c r="D20" s="181" t="s">
        <v>461</v>
      </c>
      <c r="E20" s="182"/>
      <c r="F20" s="182"/>
      <c r="G20" s="183"/>
      <c r="H20" s="235" t="s">
        <v>118</v>
      </c>
      <c r="I20" s="291" t="s">
        <v>462</v>
      </c>
    </row>
    <row r="21" spans="1:15" x14ac:dyDescent="0.35">
      <c r="A21" s="165"/>
      <c r="B21" s="71"/>
      <c r="C21" s="180"/>
      <c r="D21" s="181"/>
      <c r="E21" s="182"/>
      <c r="F21" s="182"/>
      <c r="G21" s="183"/>
      <c r="H21" s="235"/>
      <c r="I21" s="292" t="s">
        <v>463</v>
      </c>
    </row>
    <row r="22" spans="1:15" x14ac:dyDescent="0.35">
      <c r="A22" s="165"/>
      <c r="B22" s="328"/>
      <c r="C22" s="63" t="s">
        <v>115</v>
      </c>
      <c r="D22" s="43" t="s">
        <v>464</v>
      </c>
      <c r="E22" s="41"/>
      <c r="F22" s="41"/>
      <c r="G22" s="42"/>
      <c r="H22" s="124" t="s">
        <v>465</v>
      </c>
      <c r="I22" s="293"/>
    </row>
    <row r="23" spans="1:15" x14ac:dyDescent="0.35">
      <c r="A23" s="165"/>
      <c r="B23" s="327" t="s">
        <v>90</v>
      </c>
      <c r="C23" s="95" t="s">
        <v>115</v>
      </c>
      <c r="D23" s="110" t="s">
        <v>466</v>
      </c>
      <c r="E23" s="111"/>
      <c r="F23" s="49"/>
      <c r="G23" s="51"/>
      <c r="H23" s="65" t="s">
        <v>118</v>
      </c>
      <c r="I23" s="117" t="s">
        <v>123</v>
      </c>
    </row>
    <row r="24" spans="1:15" x14ac:dyDescent="0.35">
      <c r="A24" s="165"/>
      <c r="B24" s="62" t="s">
        <v>496</v>
      </c>
      <c r="C24" s="55" t="s">
        <v>117</v>
      </c>
      <c r="D24" s="109" t="s">
        <v>467</v>
      </c>
      <c r="E24" s="107"/>
      <c r="F24" s="41"/>
      <c r="G24" s="42"/>
      <c r="H24" s="66" t="s">
        <v>118</v>
      </c>
      <c r="I24" s="175"/>
      <c r="K24" s="101"/>
    </row>
    <row r="25" spans="1:15" x14ac:dyDescent="0.35">
      <c r="A25" s="165"/>
      <c r="B25" s="71"/>
      <c r="C25" s="55"/>
      <c r="D25" s="109"/>
      <c r="E25" s="107"/>
      <c r="F25" s="41"/>
      <c r="G25" s="42"/>
      <c r="H25" s="66"/>
      <c r="I25" s="173"/>
      <c r="K25" s="102"/>
      <c r="L25" s="158"/>
    </row>
    <row r="26" spans="1:15" x14ac:dyDescent="0.35">
      <c r="A26" s="165"/>
      <c r="B26" s="328"/>
      <c r="C26" s="63"/>
      <c r="D26" s="170"/>
      <c r="E26" s="171"/>
      <c r="F26" s="50"/>
      <c r="G26" s="45"/>
      <c r="H26" s="67"/>
      <c r="I26" s="174"/>
    </row>
    <row r="27" spans="1:15" x14ac:dyDescent="0.35">
      <c r="A27" s="165"/>
      <c r="B27" s="72" t="s">
        <v>91</v>
      </c>
      <c r="C27" s="55" t="s">
        <v>129</v>
      </c>
      <c r="D27" s="110" t="s">
        <v>468</v>
      </c>
      <c r="E27" s="49"/>
      <c r="F27" s="49"/>
      <c r="G27" s="51"/>
      <c r="H27" s="65" t="s">
        <v>114</v>
      </c>
      <c r="I27" s="140"/>
      <c r="L27" s="162"/>
    </row>
    <row r="28" spans="1:15" x14ac:dyDescent="0.35">
      <c r="A28" s="165"/>
      <c r="B28" s="62" t="s">
        <v>497</v>
      </c>
      <c r="C28" s="55" t="s">
        <v>119</v>
      </c>
      <c r="D28" s="43" t="s">
        <v>469</v>
      </c>
      <c r="E28" s="41"/>
      <c r="F28" s="41"/>
      <c r="G28" s="42"/>
      <c r="H28" s="66" t="s">
        <v>114</v>
      </c>
      <c r="I28" s="96"/>
      <c r="L28" s="158"/>
    </row>
    <row r="29" spans="1:15" x14ac:dyDescent="0.35">
      <c r="A29" s="165"/>
      <c r="B29" s="71"/>
      <c r="C29" s="55" t="s">
        <v>98</v>
      </c>
      <c r="D29" s="43" t="s">
        <v>470</v>
      </c>
      <c r="E29" s="41"/>
      <c r="F29" s="41"/>
      <c r="G29" s="42"/>
      <c r="H29" s="66" t="s">
        <v>118</v>
      </c>
      <c r="I29" s="93"/>
    </row>
    <row r="30" spans="1:15" ht="15" customHeight="1" x14ac:dyDescent="0.35">
      <c r="A30" s="167"/>
      <c r="B30" s="329"/>
      <c r="C30" s="169"/>
      <c r="D30" s="46"/>
      <c r="E30" s="50"/>
      <c r="F30" s="50"/>
      <c r="G30" s="45"/>
      <c r="H30" s="67"/>
      <c r="I30" s="57"/>
      <c r="L30" s="158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138"/>
      <c r="B34" s="90" t="s">
        <v>107</v>
      </c>
      <c r="C34" s="95" t="s">
        <v>97</v>
      </c>
      <c r="D34" s="125" t="s">
        <v>471</v>
      </c>
      <c r="E34" s="49"/>
      <c r="F34" s="49"/>
      <c r="G34" s="94"/>
      <c r="H34" s="95" t="s">
        <v>114</v>
      </c>
      <c r="I34" s="141"/>
      <c r="K34" s="41"/>
      <c r="L34" s="41"/>
      <c r="M34" s="41"/>
      <c r="N34" s="41"/>
      <c r="O34" s="41"/>
    </row>
    <row r="35" spans="1:15" x14ac:dyDescent="0.35">
      <c r="A35" s="161"/>
      <c r="B35" s="62" t="s">
        <v>498</v>
      </c>
      <c r="C35" s="55"/>
      <c r="D35" s="43" t="s">
        <v>472</v>
      </c>
      <c r="E35" s="41"/>
      <c r="F35" s="41"/>
      <c r="G35" s="42"/>
      <c r="H35" s="55"/>
      <c r="I35" s="153"/>
      <c r="K35" s="41"/>
      <c r="L35" s="41"/>
      <c r="M35" s="41"/>
      <c r="N35" s="41"/>
      <c r="O35" s="41"/>
    </row>
    <row r="36" spans="1:15" ht="15.75" customHeight="1" x14ac:dyDescent="0.35">
      <c r="A36" s="161"/>
      <c r="B36" s="91"/>
      <c r="C36" s="55"/>
      <c r="D36" s="126"/>
      <c r="E36" s="41"/>
      <c r="F36" s="41"/>
      <c r="G36" s="118"/>
      <c r="H36" s="55"/>
      <c r="I36" s="93"/>
      <c r="K36" s="41"/>
      <c r="L36" s="41"/>
      <c r="M36" s="41"/>
      <c r="N36" s="41"/>
      <c r="O36" s="41"/>
    </row>
    <row r="37" spans="1:15" ht="15.75" customHeight="1" x14ac:dyDescent="0.35">
      <c r="A37" s="161"/>
      <c r="B37" s="92"/>
      <c r="C37" s="55"/>
      <c r="D37" s="152"/>
      <c r="E37" s="50"/>
      <c r="F37" s="50"/>
      <c r="G37" s="45"/>
      <c r="H37" s="159"/>
      <c r="I37" s="144"/>
    </row>
    <row r="38" spans="1:15" x14ac:dyDescent="0.35">
      <c r="A38" s="161"/>
      <c r="B38" s="89" t="s">
        <v>108</v>
      </c>
      <c r="C38" s="56" t="s">
        <v>117</v>
      </c>
      <c r="D38" s="43" t="s">
        <v>473</v>
      </c>
      <c r="E38" s="41"/>
      <c r="F38" s="41"/>
      <c r="G38" s="42"/>
      <c r="H38" s="66" t="s">
        <v>118</v>
      </c>
      <c r="I38" s="127"/>
    </row>
    <row r="39" spans="1:15" ht="15.75" customHeight="1" x14ac:dyDescent="0.35">
      <c r="A39" s="161"/>
      <c r="B39" s="68" t="s">
        <v>499</v>
      </c>
      <c r="C39" s="64"/>
      <c r="D39" s="43" t="s">
        <v>474</v>
      </c>
      <c r="E39" s="41"/>
      <c r="F39" s="41"/>
      <c r="G39" s="42"/>
      <c r="H39" s="66" t="s">
        <v>118</v>
      </c>
      <c r="I39" s="153"/>
    </row>
    <row r="40" spans="1:15" ht="15.75" customHeight="1" x14ac:dyDescent="0.35">
      <c r="A40" s="161"/>
      <c r="B40" s="91"/>
      <c r="C40" s="64" t="s">
        <v>115</v>
      </c>
      <c r="D40" s="43" t="s">
        <v>274</v>
      </c>
      <c r="E40" s="41"/>
      <c r="F40" s="41"/>
      <c r="G40" s="42"/>
      <c r="H40" s="66" t="s">
        <v>114</v>
      </c>
      <c r="I40" s="153"/>
    </row>
    <row r="41" spans="1:15" ht="15.75" customHeight="1" x14ac:dyDescent="0.35">
      <c r="A41" s="139"/>
      <c r="B41" s="79"/>
      <c r="C41" s="57"/>
      <c r="D41" s="46"/>
      <c r="E41" s="50"/>
      <c r="F41" s="50"/>
      <c r="G41" s="45"/>
      <c r="H41" s="67"/>
      <c r="I41" s="134"/>
    </row>
    <row r="42" spans="1:15" ht="3.65" customHeight="1" x14ac:dyDescent="0.35">
      <c r="A42" s="43"/>
      <c r="B42" s="154"/>
      <c r="C42" s="101"/>
      <c r="D42" s="41"/>
      <c r="E42" s="41"/>
      <c r="F42" s="41"/>
      <c r="G42" s="41"/>
      <c r="H42" s="101"/>
      <c r="I42" s="163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15" ht="14.9" customHeight="1" x14ac:dyDescent="0.35">
      <c r="A45" s="391" t="s">
        <v>476</v>
      </c>
      <c r="B45" s="392"/>
      <c r="C45" s="392"/>
      <c r="D45" s="393"/>
      <c r="E45" s="129"/>
      <c r="F45" s="131"/>
      <c r="G45" s="395" t="s">
        <v>273</v>
      </c>
      <c r="H45" s="807"/>
      <c r="I45" s="808"/>
    </row>
    <row r="46" spans="1:15" ht="14.9" customHeight="1" x14ac:dyDescent="0.35">
      <c r="A46" s="398"/>
      <c r="B46" s="399"/>
      <c r="C46" s="399"/>
      <c r="D46" s="400"/>
      <c r="E46" s="297"/>
      <c r="F46" s="132"/>
      <c r="G46" s="401"/>
      <c r="H46" s="402"/>
      <c r="I46" s="403"/>
    </row>
    <row r="47" spans="1:15" ht="14.9" customHeight="1" x14ac:dyDescent="0.35">
      <c r="A47" s="268"/>
      <c r="B47" s="269"/>
      <c r="C47" s="269"/>
      <c r="D47" s="270"/>
      <c r="E47" s="297"/>
      <c r="F47" s="132"/>
      <c r="G47" s="346"/>
      <c r="H47" s="347"/>
      <c r="I47" s="348"/>
    </row>
    <row r="48" spans="1:15" ht="14.9" customHeight="1" x14ac:dyDescent="0.35">
      <c r="A48" s="398"/>
      <c r="B48" s="812"/>
      <c r="C48" s="812"/>
      <c r="D48" s="813"/>
      <c r="E48" s="297"/>
      <c r="F48" s="132"/>
      <c r="G48" s="814"/>
      <c r="H48" s="402"/>
      <c r="I48" s="403"/>
    </row>
    <row r="49" spans="1:9" ht="14.9" customHeight="1" x14ac:dyDescent="0.35">
      <c r="A49" s="383" t="s">
        <v>475</v>
      </c>
      <c r="B49" s="728"/>
      <c r="C49" s="728"/>
      <c r="D49" s="729"/>
      <c r="E49" s="297"/>
      <c r="F49" s="132"/>
      <c r="G49" s="809" t="s">
        <v>477</v>
      </c>
      <c r="H49" s="810"/>
      <c r="I49" s="811"/>
    </row>
    <row r="50" spans="1:9" ht="14.9" customHeight="1" x14ac:dyDescent="0.35">
      <c r="A50" s="145" t="s">
        <v>510</v>
      </c>
      <c r="B50" s="146"/>
      <c r="C50" s="146"/>
      <c r="D50" s="147"/>
      <c r="E50" s="297"/>
      <c r="F50" s="132"/>
      <c r="G50" s="148"/>
      <c r="H50" s="149"/>
      <c r="I50" s="150"/>
    </row>
    <row r="51" spans="1:9" ht="14.9" customHeight="1" x14ac:dyDescent="0.35">
      <c r="A51" s="145"/>
      <c r="B51" s="146"/>
      <c r="C51" s="146"/>
      <c r="D51" s="147"/>
      <c r="E51" s="297"/>
      <c r="F51" s="132"/>
      <c r="G51" s="148"/>
      <c r="H51" s="149"/>
      <c r="I51" s="150"/>
    </row>
    <row r="52" spans="1:9" ht="14.9" customHeight="1" x14ac:dyDescent="0.35">
      <c r="A52" s="294"/>
      <c r="B52" s="295"/>
      <c r="C52" s="295"/>
      <c r="D52" s="296"/>
      <c r="E52" s="159"/>
      <c r="F52" s="298"/>
      <c r="G52" s="294"/>
      <c r="H52" s="295"/>
      <c r="I52" s="296"/>
    </row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27">
    <mergeCell ref="A49:D49"/>
    <mergeCell ref="G49:I49"/>
    <mergeCell ref="A46:D46"/>
    <mergeCell ref="G46:I46"/>
    <mergeCell ref="A48:D48"/>
    <mergeCell ref="G48:I48"/>
    <mergeCell ref="A33:I33"/>
    <mergeCell ref="A43:D44"/>
    <mergeCell ref="E43:F44"/>
    <mergeCell ref="G43:I44"/>
    <mergeCell ref="A45:D45"/>
    <mergeCell ref="G45:I45"/>
    <mergeCell ref="A1:E2"/>
    <mergeCell ref="F1:H2"/>
    <mergeCell ref="I1:I2"/>
    <mergeCell ref="A3:B3"/>
    <mergeCell ref="A4:H5"/>
    <mergeCell ref="I4:I5"/>
    <mergeCell ref="A18:I18"/>
    <mergeCell ref="A31:I32"/>
    <mergeCell ref="A6:H7"/>
    <mergeCell ref="I6:I7"/>
    <mergeCell ref="A16:B17"/>
    <mergeCell ref="C16:C17"/>
    <mergeCell ref="D16:G17"/>
    <mergeCell ref="H16:H17"/>
    <mergeCell ref="I16:I17"/>
  </mergeCells>
  <hyperlinks>
    <hyperlink ref="I23" r:id="rId1" location="doc/55614/31" display="https://edu.suissetec.ch/ - doc/55614/31" xr:uid="{C2851B90-1AF8-4911-8229-16150C6232C7}"/>
  </hyperlinks>
  <pageMargins left="0.25" right="0.25" top="0.75" bottom="0.75" header="0.3" footer="0.3"/>
  <pageSetup paperSize="9" orientation="portrait" r:id="rId2"/>
  <headerFooter>
    <oddHeader>&amp;LGBS SG
&amp;CSAIa25-29&amp;RBKU</oddHeader>
    <oddFooter>&amp;Rarto</oddFooter>
  </headerFooter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46BA-34D8-4338-8649-BB72331C6406}">
  <dimension ref="A1:O56"/>
  <sheetViews>
    <sheetView view="pageLayout" zoomScale="85" zoomScaleNormal="100" zoomScalePageLayoutView="85" workbookViewId="0">
      <selection activeCell="G28" sqref="G28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3.1796875" customWidth="1"/>
    <col min="8" max="8" width="5.1796875" customWidth="1"/>
    <col min="9" max="9" width="17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Kompetenzraster!R35</f>
        <v>46009</v>
      </c>
      <c r="G1" s="439"/>
      <c r="H1" s="440"/>
      <c r="I1" s="444">
        <v>16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446" t="s">
        <v>271</v>
      </c>
      <c r="B4" s="447"/>
      <c r="C4" s="447"/>
      <c r="D4" s="447"/>
      <c r="E4" s="447"/>
      <c r="F4" s="447"/>
      <c r="G4" s="447"/>
      <c r="H4" s="448"/>
      <c r="I4" s="452">
        <v>1.8</v>
      </c>
    </row>
    <row r="5" spans="1:11" ht="15.75" customHeight="1" x14ac:dyDescent="0.35">
      <c r="A5" s="449"/>
      <c r="B5" s="450"/>
      <c r="C5" s="450"/>
      <c r="D5" s="450"/>
      <c r="E5" s="450"/>
      <c r="F5" s="450"/>
      <c r="G5" s="450"/>
      <c r="H5" s="451"/>
      <c r="I5" s="452"/>
    </row>
    <row r="6" spans="1:11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8.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164"/>
      <c r="B10" s="41" t="s">
        <v>277</v>
      </c>
      <c r="C10" s="41"/>
      <c r="D10" s="41"/>
      <c r="E10" s="41"/>
      <c r="F10" s="41"/>
      <c r="G10" s="41"/>
      <c r="H10" s="41"/>
      <c r="I10" s="52"/>
    </row>
    <row r="11" spans="1:11" ht="15.75" customHeight="1" x14ac:dyDescent="0.35">
      <c r="A11" s="165"/>
      <c r="B11" s="41" t="s">
        <v>278</v>
      </c>
      <c r="C11" s="41"/>
      <c r="D11" s="41"/>
      <c r="E11" s="41"/>
      <c r="F11" s="41"/>
      <c r="G11" s="41"/>
      <c r="H11" s="41"/>
      <c r="I11" s="44"/>
    </row>
    <row r="12" spans="1:11" ht="15.75" customHeight="1" x14ac:dyDescent="0.35">
      <c r="A12" s="165"/>
      <c r="B12" t="s">
        <v>279</v>
      </c>
      <c r="I12" s="47"/>
    </row>
    <row r="13" spans="1:11" ht="15.75" customHeight="1" x14ac:dyDescent="0.35">
      <c r="A13" s="161"/>
      <c r="B13" s="49" t="s">
        <v>208</v>
      </c>
      <c r="C13" s="49"/>
      <c r="D13" s="49"/>
      <c r="E13" s="49"/>
      <c r="F13" s="49"/>
      <c r="G13" s="49"/>
      <c r="H13" s="51"/>
      <c r="I13" s="52"/>
      <c r="K13" s="100"/>
    </row>
    <row r="14" spans="1:11" ht="15.75" customHeight="1" x14ac:dyDescent="0.35">
      <c r="A14" s="139"/>
      <c r="B14" s="50" t="s">
        <v>237</v>
      </c>
      <c r="C14" s="50"/>
      <c r="D14" s="50"/>
      <c r="E14" s="50"/>
      <c r="F14" s="50"/>
      <c r="G14" s="50"/>
      <c r="H14" s="45"/>
      <c r="I14" s="47"/>
    </row>
    <row r="15" spans="1:11" ht="5.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404"/>
      <c r="B18" s="405"/>
      <c r="C18" s="405"/>
      <c r="D18" s="405"/>
      <c r="E18" s="405"/>
      <c r="F18" s="405"/>
      <c r="G18" s="405"/>
      <c r="H18" s="405"/>
      <c r="I18" s="406"/>
    </row>
    <row r="19" spans="1:15" ht="13.5" customHeight="1" x14ac:dyDescent="0.35">
      <c r="A19" s="166"/>
      <c r="B19" s="327" t="s">
        <v>89</v>
      </c>
      <c r="C19" s="54" t="s">
        <v>115</v>
      </c>
      <c r="D19" s="48" t="s">
        <v>258</v>
      </c>
      <c r="E19" s="49"/>
      <c r="F19" s="49"/>
      <c r="G19" s="51"/>
      <c r="H19" s="122" t="s">
        <v>114</v>
      </c>
      <c r="I19" s="117"/>
    </row>
    <row r="20" spans="1:15" ht="13.5" customHeight="1" x14ac:dyDescent="0.35">
      <c r="A20" s="166"/>
      <c r="B20" s="62" t="s">
        <v>495</v>
      </c>
      <c r="C20" s="55" t="s">
        <v>117</v>
      </c>
      <c r="D20" s="43" t="s">
        <v>280</v>
      </c>
      <c r="E20" s="41"/>
      <c r="F20" s="41"/>
      <c r="G20" s="42"/>
      <c r="H20" s="101" t="s">
        <v>114</v>
      </c>
      <c r="I20" s="156"/>
    </row>
    <row r="21" spans="1:15" ht="13.5" customHeight="1" x14ac:dyDescent="0.35">
      <c r="A21" s="166"/>
      <c r="B21" s="71"/>
      <c r="C21" s="55"/>
      <c r="D21" s="43"/>
      <c r="E21" s="41"/>
      <c r="F21" s="41"/>
      <c r="G21" s="42"/>
      <c r="H21" s="101" t="s">
        <v>114</v>
      </c>
      <c r="I21" s="93"/>
    </row>
    <row r="22" spans="1:15" ht="13.5" customHeight="1" x14ac:dyDescent="0.35">
      <c r="A22" s="166"/>
      <c r="B22" s="328"/>
      <c r="C22" s="63"/>
      <c r="D22" s="43"/>
      <c r="E22" s="41"/>
      <c r="F22" s="41"/>
      <c r="G22" s="42"/>
      <c r="H22" s="124"/>
      <c r="I22" s="144"/>
    </row>
    <row r="23" spans="1:15" ht="13.5" customHeight="1" x14ac:dyDescent="0.35">
      <c r="A23" s="164"/>
      <c r="B23" s="327" t="s">
        <v>90</v>
      </c>
      <c r="C23" s="95" t="s">
        <v>99</v>
      </c>
      <c r="D23" s="110" t="s">
        <v>281</v>
      </c>
      <c r="E23" s="111"/>
      <c r="F23" s="49"/>
      <c r="G23" s="51"/>
      <c r="H23" s="65" t="s">
        <v>118</v>
      </c>
      <c r="I23" s="117"/>
    </row>
    <row r="24" spans="1:15" ht="13.5" customHeight="1" x14ac:dyDescent="0.35">
      <c r="A24" s="165"/>
      <c r="B24" s="62" t="s">
        <v>496</v>
      </c>
      <c r="C24" s="55" t="s">
        <v>115</v>
      </c>
      <c r="D24" s="109" t="s">
        <v>483</v>
      </c>
      <c r="E24" s="107"/>
      <c r="F24" s="41"/>
      <c r="G24" s="42"/>
      <c r="H24" s="66" t="s">
        <v>145</v>
      </c>
      <c r="I24" s="93"/>
      <c r="K24" s="101"/>
    </row>
    <row r="25" spans="1:15" ht="13.5" customHeight="1" x14ac:dyDescent="0.35">
      <c r="A25" s="165"/>
      <c r="B25" s="71"/>
      <c r="C25" s="55" t="s">
        <v>115</v>
      </c>
      <c r="D25" s="109" t="s">
        <v>484</v>
      </c>
      <c r="E25" s="107"/>
      <c r="F25" s="41"/>
      <c r="G25" s="42"/>
      <c r="H25" s="66" t="s">
        <v>145</v>
      </c>
      <c r="I25" s="173"/>
      <c r="K25" s="102"/>
      <c r="L25" s="158"/>
    </row>
    <row r="26" spans="1:15" ht="13.5" customHeight="1" x14ac:dyDescent="0.35">
      <c r="A26" s="167"/>
      <c r="B26" s="328"/>
      <c r="C26" s="63"/>
      <c r="D26" s="170"/>
      <c r="E26" s="171"/>
      <c r="F26" s="50"/>
      <c r="G26" s="45"/>
      <c r="H26" s="67"/>
      <c r="I26" s="174"/>
    </row>
    <row r="27" spans="1:15" ht="13.5" customHeight="1" x14ac:dyDescent="0.35">
      <c r="A27" s="138"/>
      <c r="B27" s="72" t="s">
        <v>91</v>
      </c>
      <c r="C27" s="55" t="s">
        <v>97</v>
      </c>
      <c r="D27" s="125" t="s">
        <v>485</v>
      </c>
      <c r="E27" s="49"/>
      <c r="F27" s="49"/>
      <c r="G27" s="51"/>
      <c r="H27" s="65" t="s">
        <v>118</v>
      </c>
      <c r="I27" s="140"/>
      <c r="L27" s="162"/>
    </row>
    <row r="28" spans="1:15" ht="13.5" customHeight="1" x14ac:dyDescent="0.35">
      <c r="A28" s="161"/>
      <c r="B28" s="62" t="s">
        <v>497</v>
      </c>
      <c r="C28" s="55"/>
      <c r="D28" s="43"/>
      <c r="E28" s="41"/>
      <c r="F28" s="41"/>
      <c r="G28" s="42"/>
      <c r="H28" s="66"/>
      <c r="I28" s="93"/>
      <c r="L28" s="158"/>
    </row>
    <row r="29" spans="1:15" ht="13.5" customHeight="1" x14ac:dyDescent="0.35">
      <c r="A29" s="161"/>
      <c r="B29" s="71"/>
      <c r="C29" s="55"/>
      <c r="D29" s="43"/>
      <c r="E29" s="41"/>
      <c r="F29" s="41"/>
      <c r="G29" s="42"/>
      <c r="H29" s="66"/>
      <c r="I29" s="93"/>
    </row>
    <row r="30" spans="1:15" ht="13.5" customHeight="1" x14ac:dyDescent="0.35">
      <c r="A30" s="139"/>
      <c r="B30" s="329"/>
      <c r="C30" s="169"/>
      <c r="D30" s="46"/>
      <c r="E30" s="50"/>
      <c r="F30" s="50"/>
      <c r="G30" s="45"/>
      <c r="H30" s="67"/>
      <c r="I30" s="57"/>
      <c r="L30" s="158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144</v>
      </c>
      <c r="D34" s="125" t="s">
        <v>478</v>
      </c>
      <c r="E34" s="49"/>
      <c r="F34" s="49"/>
      <c r="G34" s="94"/>
      <c r="H34" s="95" t="s">
        <v>118</v>
      </c>
      <c r="I34" s="185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 t="s">
        <v>129</v>
      </c>
      <c r="D35" s="43" t="s">
        <v>486</v>
      </c>
      <c r="E35" s="41"/>
      <c r="F35" s="41"/>
      <c r="G35" s="42"/>
      <c r="H35" s="55"/>
      <c r="I35" s="153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/>
      <c r="D36" s="126"/>
      <c r="E36" s="41"/>
      <c r="F36" s="41"/>
      <c r="G36" s="118"/>
      <c r="H36" s="55"/>
      <c r="I36" s="93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152"/>
      <c r="E37" s="50"/>
      <c r="F37" s="50"/>
      <c r="G37" s="45"/>
      <c r="H37" s="159"/>
      <c r="I37" s="144"/>
    </row>
    <row r="38" spans="1:15" x14ac:dyDescent="0.35">
      <c r="A38" s="138"/>
      <c r="B38" s="89" t="s">
        <v>108</v>
      </c>
      <c r="C38" s="56" t="s">
        <v>129</v>
      </c>
      <c r="D38" s="43" t="s">
        <v>482</v>
      </c>
      <c r="E38" s="41"/>
      <c r="F38" s="41"/>
      <c r="G38" s="42"/>
      <c r="H38" s="66" t="s">
        <v>118</v>
      </c>
      <c r="I38" s="127"/>
    </row>
    <row r="39" spans="1:15" ht="15.75" customHeight="1" x14ac:dyDescent="0.35">
      <c r="A39" s="161"/>
      <c r="B39" s="68" t="s">
        <v>499</v>
      </c>
      <c r="C39" s="64" t="s">
        <v>99</v>
      </c>
      <c r="D39" s="43" t="s">
        <v>282</v>
      </c>
      <c r="E39" s="41"/>
      <c r="F39" s="41"/>
      <c r="G39" s="42"/>
      <c r="H39" s="66" t="s">
        <v>114</v>
      </c>
      <c r="I39" s="153"/>
    </row>
    <row r="40" spans="1:15" ht="15.75" customHeight="1" x14ac:dyDescent="0.35">
      <c r="A40" s="161"/>
      <c r="B40" s="91"/>
      <c r="C40" s="64"/>
      <c r="D40" s="43"/>
      <c r="E40" s="41"/>
      <c r="F40" s="41"/>
      <c r="G40" s="42"/>
      <c r="H40" s="66"/>
      <c r="I40" s="153"/>
    </row>
    <row r="41" spans="1:15" ht="15.75" customHeight="1" x14ac:dyDescent="0.35">
      <c r="A41" s="139"/>
      <c r="B41" s="79"/>
      <c r="C41" s="57" t="s">
        <v>283</v>
      </c>
      <c r="D41" s="46" t="s">
        <v>130</v>
      </c>
      <c r="E41" s="50"/>
      <c r="F41" s="50"/>
      <c r="G41" s="45"/>
      <c r="H41" s="67"/>
      <c r="I41" s="151"/>
    </row>
    <row r="42" spans="1:15" ht="3.65" customHeight="1" x14ac:dyDescent="0.35">
      <c r="A42" s="43"/>
      <c r="B42" s="154"/>
      <c r="C42" s="101"/>
      <c r="D42" s="41"/>
      <c r="E42" s="41"/>
      <c r="F42" s="41"/>
      <c r="G42" s="41"/>
      <c r="H42" s="101"/>
      <c r="I42" s="163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15" ht="15.75" customHeight="1" x14ac:dyDescent="0.35">
      <c r="A45" s="391" t="s">
        <v>284</v>
      </c>
      <c r="B45" s="392"/>
      <c r="C45" s="392"/>
      <c r="D45" s="393"/>
      <c r="E45" s="821" t="s">
        <v>479</v>
      </c>
      <c r="F45" s="822"/>
      <c r="G45" s="823" t="s">
        <v>481</v>
      </c>
      <c r="H45" s="824"/>
      <c r="I45" s="825"/>
    </row>
    <row r="46" spans="1:15" ht="15.75" customHeight="1" x14ac:dyDescent="0.35">
      <c r="A46" s="398"/>
      <c r="B46" s="399"/>
      <c r="C46" s="399"/>
      <c r="D46" s="400"/>
      <c r="E46" s="686" t="s">
        <v>508</v>
      </c>
      <c r="F46" s="368"/>
      <c r="G46" s="826"/>
      <c r="H46" s="827"/>
      <c r="I46" s="828"/>
    </row>
    <row r="47" spans="1:15" ht="15.75" customHeight="1" x14ac:dyDescent="0.35">
      <c r="A47" s="268"/>
      <c r="B47" s="269"/>
      <c r="C47" s="269"/>
      <c r="D47" s="270"/>
      <c r="E47" s="254"/>
      <c r="F47" s="193"/>
      <c r="G47" s="288"/>
      <c r="H47" s="289"/>
      <c r="I47" s="290"/>
    </row>
    <row r="48" spans="1:15" ht="15.75" customHeight="1" x14ac:dyDescent="0.35">
      <c r="A48" s="377"/>
      <c r="B48" s="378"/>
      <c r="C48" s="378"/>
      <c r="D48" s="379"/>
      <c r="E48" s="817" t="s">
        <v>480</v>
      </c>
      <c r="F48" s="752"/>
      <c r="G48" s="818"/>
      <c r="H48" s="819"/>
      <c r="I48" s="820"/>
    </row>
    <row r="49" spans="1:9" ht="15.75" customHeight="1" x14ac:dyDescent="0.35">
      <c r="A49" s="383"/>
      <c r="B49" s="728"/>
      <c r="C49" s="728"/>
      <c r="D49" s="729"/>
      <c r="E49" s="817">
        <v>46030</v>
      </c>
      <c r="F49" s="752"/>
      <c r="G49" s="809" t="s">
        <v>509</v>
      </c>
      <c r="H49" s="684"/>
      <c r="I49" s="685"/>
    </row>
    <row r="50" spans="1:9" ht="15.75" customHeight="1" x14ac:dyDescent="0.35">
      <c r="A50" s="733"/>
      <c r="B50" s="734"/>
      <c r="C50" s="734"/>
      <c r="D50" s="735"/>
      <c r="E50" s="751"/>
      <c r="F50" s="752"/>
      <c r="G50" s="148"/>
      <c r="H50" s="149"/>
      <c r="I50" s="150"/>
    </row>
    <row r="51" spans="1:9" ht="15.75" customHeight="1" x14ac:dyDescent="0.35">
      <c r="A51" s="145"/>
      <c r="B51" s="146"/>
      <c r="C51" s="146"/>
      <c r="D51" s="147"/>
      <c r="E51" s="338"/>
      <c r="F51" s="339"/>
      <c r="G51" s="148"/>
      <c r="H51" s="149"/>
      <c r="I51" s="150"/>
    </row>
    <row r="52" spans="1:9" ht="15.75" customHeight="1" x14ac:dyDescent="0.35">
      <c r="A52" s="369"/>
      <c r="B52" s="801"/>
      <c r="C52" s="801"/>
      <c r="D52" s="802"/>
      <c r="E52" s="815"/>
      <c r="F52" s="816"/>
      <c r="G52" s="374"/>
      <c r="H52" s="375"/>
      <c r="I52" s="376"/>
    </row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36">
    <mergeCell ref="A1:E2"/>
    <mergeCell ref="F1:H2"/>
    <mergeCell ref="I1:I2"/>
    <mergeCell ref="A3:B3"/>
    <mergeCell ref="A4:H5"/>
    <mergeCell ref="I4:I5"/>
    <mergeCell ref="A6:H7"/>
    <mergeCell ref="I6:I7"/>
    <mergeCell ref="A16:B17"/>
    <mergeCell ref="C16:C17"/>
    <mergeCell ref="D16:G17"/>
    <mergeCell ref="H16:H17"/>
    <mergeCell ref="I16:I17"/>
    <mergeCell ref="A18:I18"/>
    <mergeCell ref="A31:I32"/>
    <mergeCell ref="A33:I33"/>
    <mergeCell ref="A43:D44"/>
    <mergeCell ref="E43:F44"/>
    <mergeCell ref="G43:I44"/>
    <mergeCell ref="A45:D45"/>
    <mergeCell ref="E45:F45"/>
    <mergeCell ref="G45:I45"/>
    <mergeCell ref="A46:D46"/>
    <mergeCell ref="E46:F46"/>
    <mergeCell ref="G46:I46"/>
    <mergeCell ref="A48:D48"/>
    <mergeCell ref="E48:F48"/>
    <mergeCell ref="G48:I48"/>
    <mergeCell ref="A49:D49"/>
    <mergeCell ref="E49:F49"/>
    <mergeCell ref="G49:I49"/>
    <mergeCell ref="A50:D50"/>
    <mergeCell ref="E50:F50"/>
    <mergeCell ref="A52:D52"/>
    <mergeCell ref="E52:F52"/>
    <mergeCell ref="G52:I52"/>
  </mergeCells>
  <pageMargins left="0.25" right="0.25" top="0.75" bottom="0.75" header="0.3" footer="0.3"/>
  <pageSetup paperSize="9" orientation="portrait" r:id="rId1"/>
  <headerFooter>
    <oddHeader>&amp;LGBS SG
&amp;CSAIa25-29&amp;RBKU</oddHeader>
    <oddFooter>&amp;Rarto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F77D-AE0A-4774-ADBA-D78C25C32A42}">
  <dimension ref="A1:O55"/>
  <sheetViews>
    <sheetView view="pageLayout" zoomScale="85" zoomScaleNormal="100" zoomScalePageLayoutView="85" workbookViewId="0">
      <selection activeCell="F40" sqref="F40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3.1796875" customWidth="1"/>
    <col min="8" max="8" width="5.1796875" customWidth="1"/>
    <col min="9" max="9" width="17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Kompetenzraster!R37</f>
        <v>46030</v>
      </c>
      <c r="G1" s="439"/>
      <c r="H1" s="440"/>
      <c r="I1" s="444">
        <v>17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844" t="s">
        <v>70</v>
      </c>
      <c r="B4" s="845"/>
      <c r="C4" s="845"/>
      <c r="D4" s="845"/>
      <c r="E4" s="845"/>
      <c r="F4" s="845"/>
      <c r="G4" s="845"/>
      <c r="H4" s="846"/>
      <c r="I4" s="698">
        <v>1.9</v>
      </c>
    </row>
    <row r="5" spans="1:11" ht="15.75" customHeight="1" x14ac:dyDescent="0.35">
      <c r="A5" s="847"/>
      <c r="B5" s="848"/>
      <c r="C5" s="848"/>
      <c r="D5" s="848"/>
      <c r="E5" s="848"/>
      <c r="F5" s="848"/>
      <c r="G5" s="848"/>
      <c r="H5" s="849"/>
      <c r="I5" s="698"/>
    </row>
    <row r="6" spans="1:11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8.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176"/>
      <c r="B10" s="41" t="s">
        <v>275</v>
      </c>
      <c r="C10" s="41"/>
      <c r="D10" s="41"/>
      <c r="E10" s="41"/>
      <c r="F10" s="41"/>
      <c r="G10" s="41"/>
      <c r="H10" s="41"/>
      <c r="I10" s="52"/>
    </row>
    <row r="11" spans="1:11" ht="15.75" customHeight="1" x14ac:dyDescent="0.35">
      <c r="A11" s="177"/>
      <c r="B11" s="41" t="s">
        <v>276</v>
      </c>
      <c r="C11" s="41"/>
      <c r="D11" s="41"/>
      <c r="E11" s="41"/>
      <c r="F11" s="41"/>
      <c r="G11" s="41"/>
      <c r="H11" s="41"/>
      <c r="I11" s="44"/>
    </row>
    <row r="12" spans="1:11" ht="15.75" customHeight="1" x14ac:dyDescent="0.35">
      <c r="A12" s="177"/>
      <c r="B12" t="s">
        <v>286</v>
      </c>
      <c r="I12" s="47"/>
    </row>
    <row r="13" spans="1:11" ht="15.75" customHeight="1" x14ac:dyDescent="0.35">
      <c r="A13" s="161"/>
      <c r="B13" s="49" t="s">
        <v>208</v>
      </c>
      <c r="C13" s="49"/>
      <c r="D13" s="49"/>
      <c r="E13" s="49"/>
      <c r="F13" s="49"/>
      <c r="G13" s="49"/>
      <c r="H13" s="51"/>
      <c r="I13" s="52"/>
      <c r="K13" s="100"/>
    </row>
    <row r="14" spans="1:11" ht="15.75" customHeight="1" x14ac:dyDescent="0.35">
      <c r="A14" s="139"/>
      <c r="B14" s="50" t="s">
        <v>237</v>
      </c>
      <c r="C14" s="50"/>
      <c r="D14" s="50"/>
      <c r="E14" s="50"/>
      <c r="F14" s="50"/>
      <c r="G14" s="50"/>
      <c r="H14" s="45"/>
      <c r="I14" s="47"/>
    </row>
    <row r="15" spans="1:11" ht="5.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841"/>
      <c r="B18" s="842"/>
      <c r="C18" s="842"/>
      <c r="D18" s="842"/>
      <c r="E18" s="842"/>
      <c r="F18" s="842"/>
      <c r="G18" s="842"/>
      <c r="H18" s="842"/>
      <c r="I18" s="843"/>
    </row>
    <row r="19" spans="1:15" x14ac:dyDescent="0.35">
      <c r="A19" s="77"/>
      <c r="B19" s="327" t="s">
        <v>89</v>
      </c>
      <c r="C19" s="54" t="s">
        <v>115</v>
      </c>
      <c r="D19" s="48" t="s">
        <v>287</v>
      </c>
      <c r="E19" s="49"/>
      <c r="F19" s="49"/>
      <c r="G19" s="51"/>
      <c r="H19" s="122" t="s">
        <v>114</v>
      </c>
      <c r="I19" s="117"/>
    </row>
    <row r="20" spans="1:15" x14ac:dyDescent="0.35">
      <c r="A20" s="77"/>
      <c r="B20" s="62" t="s">
        <v>495</v>
      </c>
      <c r="C20" s="55" t="s">
        <v>115</v>
      </c>
      <c r="D20" s="43" t="s">
        <v>288</v>
      </c>
      <c r="E20" s="41"/>
      <c r="F20" s="41"/>
      <c r="G20" s="42"/>
      <c r="H20" s="101" t="s">
        <v>118</v>
      </c>
      <c r="I20" s="156"/>
    </row>
    <row r="21" spans="1:15" x14ac:dyDescent="0.35">
      <c r="A21" s="77"/>
      <c r="B21" s="71"/>
      <c r="C21" s="55" t="s">
        <v>98</v>
      </c>
      <c r="D21" s="43" t="s">
        <v>289</v>
      </c>
      <c r="E21" s="41"/>
      <c r="F21" s="41"/>
      <c r="G21" s="42"/>
      <c r="H21" s="101" t="s">
        <v>145</v>
      </c>
      <c r="I21" s="93" t="s">
        <v>123</v>
      </c>
    </row>
    <row r="22" spans="1:15" x14ac:dyDescent="0.35">
      <c r="A22" s="77"/>
      <c r="B22" s="328"/>
      <c r="C22" s="63"/>
      <c r="D22" s="43"/>
      <c r="E22" s="41"/>
      <c r="F22" s="41"/>
      <c r="G22" s="42"/>
      <c r="H22" s="124"/>
      <c r="I22" s="144"/>
    </row>
    <row r="23" spans="1:15" x14ac:dyDescent="0.35">
      <c r="A23" s="77"/>
      <c r="B23" s="327" t="s">
        <v>90</v>
      </c>
      <c r="C23" s="95" t="s">
        <v>115</v>
      </c>
      <c r="D23" s="110" t="s">
        <v>487</v>
      </c>
      <c r="E23" s="111"/>
      <c r="F23" s="49"/>
      <c r="G23" s="51"/>
      <c r="H23" s="65" t="s">
        <v>114</v>
      </c>
      <c r="I23" s="117"/>
    </row>
    <row r="24" spans="1:15" x14ac:dyDescent="0.35">
      <c r="A24" s="77"/>
      <c r="B24" s="62" t="s">
        <v>496</v>
      </c>
      <c r="C24" s="55" t="s">
        <v>129</v>
      </c>
      <c r="D24" s="109" t="s">
        <v>290</v>
      </c>
      <c r="E24" s="107"/>
      <c r="F24" s="41"/>
      <c r="G24" s="42"/>
      <c r="H24" s="66" t="s">
        <v>118</v>
      </c>
      <c r="I24" s="175"/>
      <c r="K24" s="101"/>
    </row>
    <row r="25" spans="1:15" x14ac:dyDescent="0.35">
      <c r="A25" s="77"/>
      <c r="B25" s="71"/>
      <c r="C25" s="55" t="s">
        <v>98</v>
      </c>
      <c r="D25" s="109" t="s">
        <v>292</v>
      </c>
      <c r="E25" s="107"/>
      <c r="F25" s="41"/>
      <c r="G25" s="42"/>
      <c r="H25" s="66" t="s">
        <v>118</v>
      </c>
      <c r="I25" s="120" t="s">
        <v>291</v>
      </c>
      <c r="K25" s="102"/>
      <c r="L25" s="158"/>
    </row>
    <row r="26" spans="1:15" x14ac:dyDescent="0.35">
      <c r="A26" s="77"/>
      <c r="B26" s="328"/>
      <c r="C26" s="63"/>
      <c r="D26" s="170" t="s">
        <v>293</v>
      </c>
      <c r="E26" s="171"/>
      <c r="F26" s="50"/>
      <c r="G26" s="45"/>
      <c r="H26" s="67"/>
      <c r="I26" s="144"/>
    </row>
    <row r="27" spans="1:15" x14ac:dyDescent="0.35">
      <c r="A27" s="176"/>
      <c r="B27" s="72" t="s">
        <v>91</v>
      </c>
      <c r="C27" s="55" t="s">
        <v>119</v>
      </c>
      <c r="D27" s="110" t="s">
        <v>294</v>
      </c>
      <c r="E27" s="49"/>
      <c r="F27" s="49"/>
      <c r="G27" s="51"/>
      <c r="H27" s="65" t="s">
        <v>114</v>
      </c>
      <c r="I27" s="140"/>
      <c r="L27" s="162"/>
    </row>
    <row r="28" spans="1:15" x14ac:dyDescent="0.35">
      <c r="A28" s="177"/>
      <c r="B28" s="62" t="s">
        <v>497</v>
      </c>
      <c r="C28" s="55" t="s">
        <v>120</v>
      </c>
      <c r="D28" s="43" t="s">
        <v>295</v>
      </c>
      <c r="E28" s="41"/>
      <c r="F28" s="41"/>
      <c r="G28" s="42"/>
      <c r="H28" s="66" t="s">
        <v>118</v>
      </c>
      <c r="I28" s="93"/>
      <c r="L28" s="158"/>
    </row>
    <row r="29" spans="1:15" x14ac:dyDescent="0.35">
      <c r="A29" s="177"/>
      <c r="B29" s="71"/>
      <c r="C29" s="55"/>
      <c r="D29" s="43"/>
      <c r="E29" s="41"/>
      <c r="F29" s="41"/>
      <c r="G29" s="42"/>
      <c r="H29" s="66"/>
      <c r="I29" s="153"/>
    </row>
    <row r="30" spans="1:15" ht="15" customHeight="1" x14ac:dyDescent="0.35">
      <c r="A30" s="178"/>
      <c r="B30" s="329"/>
      <c r="C30" s="169"/>
      <c r="D30" s="46"/>
      <c r="E30" s="50"/>
      <c r="F30" s="50"/>
      <c r="G30" s="45"/>
      <c r="H30" s="67"/>
      <c r="I30" s="57"/>
      <c r="L30" s="158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302" t="s">
        <v>97</v>
      </c>
      <c r="D34" s="303" t="s">
        <v>488</v>
      </c>
      <c r="E34" s="179"/>
      <c r="F34" s="179"/>
      <c r="G34" s="304"/>
      <c r="H34" s="302" t="s">
        <v>118</v>
      </c>
      <c r="I34" s="141" t="s">
        <v>491</v>
      </c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180"/>
      <c r="D35" s="181"/>
      <c r="E35" s="182"/>
      <c r="F35" s="182"/>
      <c r="G35" s="183"/>
      <c r="H35" s="180"/>
      <c r="I35" s="153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180"/>
      <c r="D36" s="305"/>
      <c r="E36" s="182"/>
      <c r="F36" s="182"/>
      <c r="G36" s="306"/>
      <c r="H36" s="180"/>
      <c r="I36" s="93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180"/>
      <c r="D37" s="307"/>
      <c r="E37" s="184"/>
      <c r="F37" s="184"/>
      <c r="G37" s="308"/>
      <c r="H37" s="309"/>
      <c r="I37" s="144"/>
    </row>
    <row r="38" spans="1:15" x14ac:dyDescent="0.35">
      <c r="A38" s="138"/>
      <c r="B38" s="89" t="s">
        <v>108</v>
      </c>
      <c r="C38" s="56" t="s">
        <v>129</v>
      </c>
      <c r="D38" s="43" t="s">
        <v>489</v>
      </c>
      <c r="E38" s="41"/>
      <c r="F38" s="41"/>
      <c r="G38" s="42"/>
      <c r="H38" s="66" t="s">
        <v>207</v>
      </c>
      <c r="I38" s="127"/>
    </row>
    <row r="39" spans="1:15" ht="15.75" customHeight="1" x14ac:dyDescent="0.35">
      <c r="A39" s="161"/>
      <c r="B39" s="68" t="s">
        <v>499</v>
      </c>
      <c r="C39" s="64" t="s">
        <v>99</v>
      </c>
      <c r="D39" s="43" t="s">
        <v>490</v>
      </c>
      <c r="E39" s="41"/>
      <c r="F39" s="41"/>
      <c r="G39" s="42"/>
      <c r="H39" s="66" t="s">
        <v>118</v>
      </c>
      <c r="I39" s="153"/>
    </row>
    <row r="40" spans="1:15" ht="15.75" customHeight="1" x14ac:dyDescent="0.35">
      <c r="A40" s="161"/>
      <c r="B40" s="91"/>
      <c r="C40" s="64" t="s">
        <v>119</v>
      </c>
      <c r="D40" s="43" t="s">
        <v>346</v>
      </c>
      <c r="E40" s="41"/>
      <c r="F40" s="41"/>
      <c r="G40" s="42"/>
      <c r="H40" s="66" t="s">
        <v>114</v>
      </c>
      <c r="I40" s="153"/>
    </row>
    <row r="41" spans="1:15" ht="15.75" customHeight="1" x14ac:dyDescent="0.35">
      <c r="A41" s="139"/>
      <c r="B41" s="79"/>
      <c r="C41" s="57"/>
      <c r="D41" s="46"/>
      <c r="E41" s="50"/>
      <c r="F41" s="50"/>
      <c r="G41" s="45"/>
      <c r="H41" s="67"/>
      <c r="I41" s="134"/>
    </row>
    <row r="42" spans="1:15" ht="12.75" customHeight="1" x14ac:dyDescent="0.35">
      <c r="A42" s="43"/>
      <c r="B42" s="154"/>
      <c r="C42" s="101"/>
      <c r="D42" s="41"/>
      <c r="E42" s="41"/>
      <c r="F42" s="41"/>
      <c r="G42" s="41"/>
      <c r="H42" s="101"/>
      <c r="I42" s="163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15" ht="15.75" customHeight="1" x14ac:dyDescent="0.35">
      <c r="A45" s="832" t="s">
        <v>296</v>
      </c>
      <c r="B45" s="833"/>
      <c r="C45" s="833"/>
      <c r="D45" s="834"/>
      <c r="E45" s="394"/>
      <c r="F45" s="394"/>
      <c r="G45" s="835" t="s">
        <v>298</v>
      </c>
      <c r="H45" s="836"/>
      <c r="I45" s="837"/>
    </row>
    <row r="46" spans="1:15" ht="15.75" customHeight="1" x14ac:dyDescent="0.35">
      <c r="A46" s="838">
        <v>46037</v>
      </c>
      <c r="B46" s="839"/>
      <c r="C46" s="839"/>
      <c r="D46" s="840"/>
      <c r="E46" s="386"/>
      <c r="F46" s="386"/>
      <c r="G46" s="826"/>
      <c r="H46" s="827"/>
      <c r="I46" s="828"/>
    </row>
    <row r="47" spans="1:15" ht="15.75" customHeight="1" x14ac:dyDescent="0.35">
      <c r="A47" s="352"/>
      <c r="B47" s="300"/>
      <c r="C47" s="300"/>
      <c r="D47" s="301"/>
      <c r="E47" s="154"/>
      <c r="F47" s="154"/>
      <c r="G47" s="288"/>
      <c r="H47" s="289"/>
      <c r="I47" s="290"/>
    </row>
    <row r="48" spans="1:15" ht="15.75" customHeight="1" x14ac:dyDescent="0.35">
      <c r="A48" s="829"/>
      <c r="B48" s="830"/>
      <c r="C48" s="830"/>
      <c r="D48" s="831"/>
      <c r="E48" s="367"/>
      <c r="F48" s="367"/>
      <c r="G48" s="818"/>
      <c r="H48" s="819"/>
      <c r="I48" s="820"/>
    </row>
    <row r="49" spans="1:9" ht="15.75" customHeight="1" x14ac:dyDescent="0.35">
      <c r="A49" s="383" t="s">
        <v>297</v>
      </c>
      <c r="B49" s="728"/>
      <c r="C49" s="728"/>
      <c r="D49" s="729"/>
      <c r="E49" s="386"/>
      <c r="F49" s="387"/>
      <c r="G49" s="388" t="s">
        <v>74</v>
      </c>
      <c r="H49" s="389"/>
      <c r="I49" s="390"/>
    </row>
    <row r="50" spans="1:9" ht="15.75" customHeight="1" x14ac:dyDescent="0.35">
      <c r="A50" s="733"/>
      <c r="B50" s="734"/>
      <c r="C50" s="734"/>
      <c r="D50" s="735"/>
      <c r="E50" s="367"/>
      <c r="F50" s="368"/>
      <c r="G50" s="148"/>
      <c r="H50" s="149"/>
      <c r="I50" s="150"/>
    </row>
    <row r="51" spans="1:9" ht="15.75" customHeight="1" x14ac:dyDescent="0.35">
      <c r="A51" s="369"/>
      <c r="B51" s="801"/>
      <c r="C51" s="801"/>
      <c r="D51" s="802"/>
      <c r="E51" s="372"/>
      <c r="F51" s="373"/>
      <c r="G51" s="374"/>
      <c r="H51" s="375"/>
      <c r="I51" s="376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</sheetData>
  <mergeCells count="36">
    <mergeCell ref="A1:E2"/>
    <mergeCell ref="F1:H2"/>
    <mergeCell ref="I1:I2"/>
    <mergeCell ref="A3:B3"/>
    <mergeCell ref="A4:H5"/>
    <mergeCell ref="I4:I5"/>
    <mergeCell ref="A6:H7"/>
    <mergeCell ref="I6:I7"/>
    <mergeCell ref="A16:B17"/>
    <mergeCell ref="C16:C17"/>
    <mergeCell ref="D16:G17"/>
    <mergeCell ref="H16:H17"/>
    <mergeCell ref="I16:I17"/>
    <mergeCell ref="A18:I18"/>
    <mergeCell ref="A31:I32"/>
    <mergeCell ref="A33:I33"/>
    <mergeCell ref="A43:D44"/>
    <mergeCell ref="E43:F44"/>
    <mergeCell ref="G43:I44"/>
    <mergeCell ref="A45:D45"/>
    <mergeCell ref="E45:F45"/>
    <mergeCell ref="G45:I45"/>
    <mergeCell ref="A46:D46"/>
    <mergeCell ref="E46:F46"/>
    <mergeCell ref="G46:I46"/>
    <mergeCell ref="A48:D48"/>
    <mergeCell ref="E48:F48"/>
    <mergeCell ref="G48:I48"/>
    <mergeCell ref="A49:D49"/>
    <mergeCell ref="E49:F49"/>
    <mergeCell ref="G49:I49"/>
    <mergeCell ref="A50:D50"/>
    <mergeCell ref="E50:F50"/>
    <mergeCell ref="A51:D51"/>
    <mergeCell ref="E51:F51"/>
    <mergeCell ref="G51:I51"/>
  </mergeCells>
  <hyperlinks>
    <hyperlink ref="I21" r:id="rId1" location="doc/19229/26" display="https://edu.suissetec.ch/ - doc/19229/26" xr:uid="{77B010D6-D2DD-4647-9AF5-DB2A18606045}"/>
    <hyperlink ref="I25" r:id="rId2" xr:uid="{BC34C443-9324-411E-905B-6529A4F8BD41}"/>
  </hyperlinks>
  <pageMargins left="0.25" right="0.25" top="0.75" bottom="0.75" header="0.3" footer="0.3"/>
  <pageSetup paperSize="9" orientation="portrait" r:id="rId3"/>
  <headerFooter>
    <oddHeader>&amp;LGBS SG
&amp;CSAIa25-29&amp;RBKU</oddHeader>
    <oddFooter>&amp;Rarto</oddFooter>
  </headerFooter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BD88-36D4-437C-A599-C465EE040838}">
  <dimension ref="A1:O56"/>
  <sheetViews>
    <sheetView view="pageLayout" zoomScale="115" zoomScaleNormal="100" zoomScalePageLayoutView="115" workbookViewId="0">
      <selection activeCell="F47" sqref="F47"/>
    </sheetView>
  </sheetViews>
  <sheetFormatPr baseColWidth="10" defaultColWidth="11.453125" defaultRowHeight="14.5" x14ac:dyDescent="0.35"/>
  <cols>
    <col min="1" max="1" width="1.54296875" customWidth="1"/>
    <col min="2" max="2" width="13.81640625" customWidth="1"/>
    <col min="3" max="3" width="4.7265625" customWidth="1"/>
    <col min="4" max="4" width="16.26953125" customWidth="1"/>
    <col min="5" max="5" width="13.26953125" customWidth="1"/>
    <col min="6" max="6" width="13" customWidth="1"/>
    <col min="7" max="7" width="13.1796875" customWidth="1"/>
    <col min="8" max="8" width="5.1796875" customWidth="1"/>
    <col min="9" max="9" width="17.7265625" customWidth="1"/>
  </cols>
  <sheetData>
    <row r="1" spans="1:11" ht="15" customHeight="1" x14ac:dyDescent="0.35">
      <c r="A1" s="432" t="s">
        <v>96</v>
      </c>
      <c r="B1" s="433"/>
      <c r="C1" s="433"/>
      <c r="D1" s="433"/>
      <c r="E1" s="434"/>
      <c r="F1" s="438">
        <f>Kompetenzraster!R39</f>
        <v>46037</v>
      </c>
      <c r="G1" s="439"/>
      <c r="H1" s="440"/>
      <c r="I1" s="444">
        <v>18</v>
      </c>
    </row>
    <row r="2" spans="1:11" ht="15" customHeight="1" x14ac:dyDescent="0.35">
      <c r="A2" s="435"/>
      <c r="B2" s="436"/>
      <c r="C2" s="436"/>
      <c r="D2" s="436"/>
      <c r="E2" s="437"/>
      <c r="F2" s="441"/>
      <c r="G2" s="442"/>
      <c r="H2" s="443"/>
      <c r="I2" s="444"/>
    </row>
    <row r="3" spans="1:11" ht="15.75" customHeight="1" x14ac:dyDescent="0.35">
      <c r="A3" s="445" t="s">
        <v>84</v>
      </c>
      <c r="B3" s="445"/>
      <c r="C3" s="60"/>
      <c r="D3" s="60"/>
      <c r="E3" s="60"/>
      <c r="F3" s="61"/>
      <c r="G3" s="61"/>
      <c r="H3" s="61"/>
      <c r="I3" s="61"/>
    </row>
    <row r="4" spans="1:11" ht="15.75" customHeight="1" x14ac:dyDescent="0.35">
      <c r="A4" s="844" t="s">
        <v>70</v>
      </c>
      <c r="B4" s="845"/>
      <c r="C4" s="845"/>
      <c r="D4" s="845"/>
      <c r="E4" s="845"/>
      <c r="F4" s="845"/>
      <c r="G4" s="845"/>
      <c r="H4" s="846"/>
      <c r="I4" s="698">
        <v>1.9</v>
      </c>
    </row>
    <row r="5" spans="1:11" ht="15.75" customHeight="1" x14ac:dyDescent="0.35">
      <c r="A5" s="847"/>
      <c r="B5" s="848"/>
      <c r="C5" s="848"/>
      <c r="D5" s="848"/>
      <c r="E5" s="848"/>
      <c r="F5" s="848"/>
      <c r="G5" s="848"/>
      <c r="H5" s="849"/>
      <c r="I5" s="698"/>
    </row>
    <row r="6" spans="1:11" ht="15.75" customHeight="1" x14ac:dyDescent="0.35">
      <c r="A6" s="422" t="s">
        <v>209</v>
      </c>
      <c r="B6" s="423"/>
      <c r="C6" s="423"/>
      <c r="D6" s="423"/>
      <c r="E6" s="423"/>
      <c r="F6" s="423"/>
      <c r="G6" s="423"/>
      <c r="H6" s="424"/>
      <c r="I6" s="428">
        <v>1.2</v>
      </c>
    </row>
    <row r="7" spans="1:11" ht="15.75" customHeight="1" x14ac:dyDescent="0.35">
      <c r="A7" s="425"/>
      <c r="B7" s="426"/>
      <c r="C7" s="426"/>
      <c r="D7" s="426"/>
      <c r="E7" s="426"/>
      <c r="F7" s="426"/>
      <c r="G7" s="426"/>
      <c r="H7" s="427"/>
      <c r="I7" s="429"/>
    </row>
    <row r="8" spans="1:11" ht="8.5" customHeight="1" x14ac:dyDescent="0.35">
      <c r="A8" s="41"/>
      <c r="B8" s="76"/>
      <c r="C8" s="76"/>
      <c r="D8" s="76"/>
      <c r="E8" s="76"/>
      <c r="F8" s="76"/>
      <c r="G8" s="76"/>
      <c r="H8" s="76"/>
      <c r="I8" s="61"/>
    </row>
    <row r="9" spans="1:11" ht="15.75" customHeight="1" x14ac:dyDescent="0.35">
      <c r="A9" s="160" t="s">
        <v>80</v>
      </c>
      <c r="B9" s="74"/>
      <c r="C9" s="74"/>
      <c r="D9" s="74"/>
      <c r="E9" s="74"/>
      <c r="F9" s="74"/>
      <c r="G9" s="74"/>
      <c r="H9" s="74"/>
      <c r="I9" s="75"/>
    </row>
    <row r="10" spans="1:11" ht="15.75" customHeight="1" x14ac:dyDescent="0.35">
      <c r="A10" s="176"/>
      <c r="B10" s="41" t="s">
        <v>275</v>
      </c>
      <c r="C10" s="41"/>
      <c r="D10" s="41"/>
      <c r="E10" s="41"/>
      <c r="F10" s="41"/>
      <c r="G10" s="41"/>
      <c r="H10" s="41"/>
      <c r="I10" s="52"/>
    </row>
    <row r="11" spans="1:11" ht="15.75" customHeight="1" x14ac:dyDescent="0.35">
      <c r="A11" s="177"/>
      <c r="B11" s="41" t="s">
        <v>276</v>
      </c>
      <c r="C11" s="41"/>
      <c r="D11" s="41"/>
      <c r="E11" s="41"/>
      <c r="F11" s="41"/>
      <c r="G11" s="41"/>
      <c r="H11" s="41"/>
      <c r="I11" s="44"/>
    </row>
    <row r="12" spans="1:11" ht="15.75" customHeight="1" x14ac:dyDescent="0.35">
      <c r="A12" s="177"/>
      <c r="B12" t="s">
        <v>286</v>
      </c>
      <c r="I12" s="47"/>
    </row>
    <row r="13" spans="1:11" ht="15.75" customHeight="1" x14ac:dyDescent="0.35">
      <c r="A13" s="161"/>
      <c r="B13" s="49" t="s">
        <v>208</v>
      </c>
      <c r="C13" s="49"/>
      <c r="D13" s="49"/>
      <c r="E13" s="49"/>
      <c r="F13" s="49"/>
      <c r="G13" s="49"/>
      <c r="H13" s="51"/>
      <c r="I13" s="52"/>
      <c r="K13" s="100"/>
    </row>
    <row r="14" spans="1:11" ht="15.75" customHeight="1" x14ac:dyDescent="0.35">
      <c r="A14" s="139"/>
      <c r="B14" s="50" t="s">
        <v>237</v>
      </c>
      <c r="C14" s="50"/>
      <c r="D14" s="50"/>
      <c r="E14" s="50"/>
      <c r="F14" s="50"/>
      <c r="G14" s="50"/>
      <c r="H14" s="45"/>
      <c r="I14" s="47"/>
    </row>
    <row r="15" spans="1:11" ht="5.5" customHeight="1" x14ac:dyDescent="0.35">
      <c r="A15" s="41"/>
      <c r="B15" s="53"/>
      <c r="C15" s="53"/>
      <c r="D15" s="53"/>
      <c r="E15" s="53"/>
      <c r="F15" s="53"/>
      <c r="G15" s="53"/>
      <c r="H15" s="41"/>
      <c r="I15" s="41"/>
    </row>
    <row r="16" spans="1:11" ht="15.75" customHeight="1" x14ac:dyDescent="0.35">
      <c r="A16" s="430" t="s">
        <v>85</v>
      </c>
      <c r="B16" s="430"/>
      <c r="C16" s="430" t="s">
        <v>86</v>
      </c>
      <c r="D16" s="430" t="s">
        <v>88</v>
      </c>
      <c r="E16" s="430"/>
      <c r="F16" s="430"/>
      <c r="G16" s="430"/>
      <c r="H16" s="431" t="s">
        <v>106</v>
      </c>
      <c r="I16" s="430" t="s">
        <v>87</v>
      </c>
    </row>
    <row r="17" spans="1:15" x14ac:dyDescent="0.35">
      <c r="A17" s="430"/>
      <c r="B17" s="430"/>
      <c r="C17" s="430"/>
      <c r="D17" s="430"/>
      <c r="E17" s="430"/>
      <c r="F17" s="430"/>
      <c r="G17" s="430"/>
      <c r="H17" s="431"/>
      <c r="I17" s="430"/>
    </row>
    <row r="18" spans="1:15" ht="9.75" customHeight="1" x14ac:dyDescent="0.35">
      <c r="A18" s="841"/>
      <c r="B18" s="842"/>
      <c r="C18" s="842"/>
      <c r="D18" s="842"/>
      <c r="E18" s="842"/>
      <c r="F18" s="842"/>
      <c r="G18" s="842"/>
      <c r="H18" s="842"/>
      <c r="I18" s="843"/>
    </row>
    <row r="19" spans="1:15" x14ac:dyDescent="0.35">
      <c r="A19" s="77"/>
      <c r="B19" s="327" t="s">
        <v>89</v>
      </c>
      <c r="C19" s="54" t="s">
        <v>115</v>
      </c>
      <c r="D19" s="48" t="s">
        <v>287</v>
      </c>
      <c r="E19" s="49"/>
      <c r="F19" s="49"/>
      <c r="G19" s="51"/>
      <c r="H19" s="122" t="s">
        <v>114</v>
      </c>
      <c r="I19" s="117"/>
    </row>
    <row r="20" spans="1:15" x14ac:dyDescent="0.35">
      <c r="A20" s="77"/>
      <c r="B20" s="62" t="s">
        <v>495</v>
      </c>
      <c r="C20" s="55" t="s">
        <v>117</v>
      </c>
      <c r="D20" s="43" t="s">
        <v>304</v>
      </c>
      <c r="E20" s="41"/>
      <c r="F20" s="41"/>
      <c r="G20" s="42"/>
      <c r="H20" s="101" t="s">
        <v>114</v>
      </c>
      <c r="I20" s="156"/>
    </row>
    <row r="21" spans="1:15" x14ac:dyDescent="0.35">
      <c r="A21" s="77"/>
      <c r="B21" s="71"/>
      <c r="C21" s="55"/>
      <c r="D21" s="189" t="s">
        <v>303</v>
      </c>
      <c r="E21" s="41"/>
      <c r="F21" s="41"/>
      <c r="G21" s="42"/>
      <c r="H21" s="101" t="s">
        <v>118</v>
      </c>
      <c r="I21" s="93"/>
    </row>
    <row r="22" spans="1:15" x14ac:dyDescent="0.35">
      <c r="A22" s="77"/>
      <c r="B22" s="328"/>
      <c r="C22" s="63"/>
      <c r="D22" s="43"/>
      <c r="E22" s="41"/>
      <c r="F22" s="41"/>
      <c r="G22" s="42"/>
      <c r="H22" s="124"/>
      <c r="I22" s="144"/>
    </row>
    <row r="23" spans="1:15" x14ac:dyDescent="0.35">
      <c r="A23" s="77"/>
      <c r="B23" s="327" t="s">
        <v>90</v>
      </c>
      <c r="C23" s="95" t="s">
        <v>98</v>
      </c>
      <c r="D23" s="110" t="s">
        <v>305</v>
      </c>
      <c r="E23" s="111"/>
      <c r="F23" s="49"/>
      <c r="G23" s="51"/>
      <c r="H23" s="122" t="s">
        <v>118</v>
      </c>
      <c r="I23" s="117"/>
    </row>
    <row r="24" spans="1:15" x14ac:dyDescent="0.35">
      <c r="A24" s="77"/>
      <c r="B24" s="62" t="s">
        <v>496</v>
      </c>
      <c r="C24" s="55" t="s">
        <v>119</v>
      </c>
      <c r="D24" s="109" t="s">
        <v>306</v>
      </c>
      <c r="E24" s="107"/>
      <c r="F24" s="41"/>
      <c r="G24" s="42"/>
      <c r="H24" s="101" t="s">
        <v>114</v>
      </c>
      <c r="I24" s="175"/>
      <c r="K24" s="101"/>
    </row>
    <row r="25" spans="1:15" x14ac:dyDescent="0.35">
      <c r="A25" s="77"/>
      <c r="B25" s="71"/>
      <c r="C25" s="55" t="s">
        <v>98</v>
      </c>
      <c r="D25" s="109" t="s">
        <v>308</v>
      </c>
      <c r="E25" s="107"/>
      <c r="F25" s="41"/>
      <c r="G25" s="42"/>
      <c r="H25" s="101" t="s">
        <v>118</v>
      </c>
      <c r="I25" s="93"/>
      <c r="K25" s="102"/>
      <c r="L25" s="158"/>
    </row>
    <row r="26" spans="1:15" x14ac:dyDescent="0.35">
      <c r="A26" s="77"/>
      <c r="B26" s="328"/>
      <c r="C26" s="63"/>
      <c r="D26" s="189" t="s">
        <v>303</v>
      </c>
      <c r="E26" s="171"/>
      <c r="F26" s="50"/>
      <c r="G26" s="45"/>
      <c r="H26" s="124"/>
      <c r="I26" s="192" t="s">
        <v>307</v>
      </c>
    </row>
    <row r="27" spans="1:15" ht="15" customHeight="1" x14ac:dyDescent="0.55000000000000004">
      <c r="A27" s="176"/>
      <c r="B27" s="72" t="s">
        <v>91</v>
      </c>
      <c r="C27" s="55" t="s">
        <v>99</v>
      </c>
      <c r="D27" s="110" t="s">
        <v>309</v>
      </c>
      <c r="E27" s="49"/>
      <c r="F27" s="49"/>
      <c r="G27" s="51"/>
      <c r="H27" s="65" t="s">
        <v>118</v>
      </c>
      <c r="I27" s="191"/>
      <c r="L27" s="162"/>
    </row>
    <row r="28" spans="1:15" ht="15" customHeight="1" x14ac:dyDescent="0.55000000000000004">
      <c r="A28" s="177"/>
      <c r="B28" s="62" t="s">
        <v>497</v>
      </c>
      <c r="C28" s="55" t="s">
        <v>98</v>
      </c>
      <c r="D28" s="43" t="s">
        <v>310</v>
      </c>
      <c r="E28" s="41"/>
      <c r="F28" s="41"/>
      <c r="G28" s="42"/>
      <c r="H28" s="66" t="s">
        <v>118</v>
      </c>
      <c r="I28" s="186"/>
      <c r="L28" s="158"/>
    </row>
    <row r="29" spans="1:15" x14ac:dyDescent="0.35">
      <c r="A29" s="177"/>
      <c r="B29" s="71"/>
      <c r="C29" s="55"/>
      <c r="D29" s="189" t="s">
        <v>303</v>
      </c>
      <c r="E29" s="41"/>
      <c r="F29" s="41"/>
      <c r="G29" s="42"/>
      <c r="H29" s="66"/>
      <c r="I29" s="93"/>
    </row>
    <row r="30" spans="1:15" ht="15" customHeight="1" x14ac:dyDescent="0.35">
      <c r="A30" s="178"/>
      <c r="B30" s="329"/>
      <c r="C30" s="169"/>
      <c r="D30" s="46"/>
      <c r="E30" s="50"/>
      <c r="F30" s="50"/>
      <c r="G30" s="45"/>
      <c r="H30" s="67"/>
      <c r="I30" s="57"/>
      <c r="L30" s="158"/>
    </row>
    <row r="31" spans="1:15" ht="15" customHeight="1" x14ac:dyDescent="0.35">
      <c r="A31" s="407" t="s">
        <v>500</v>
      </c>
      <c r="B31" s="408"/>
      <c r="C31" s="408"/>
      <c r="D31" s="408"/>
      <c r="E31" s="408"/>
      <c r="F31" s="408"/>
      <c r="G31" s="408"/>
      <c r="H31" s="408"/>
      <c r="I31" s="409"/>
      <c r="K31" s="41"/>
      <c r="L31" s="41"/>
      <c r="M31" s="41"/>
      <c r="N31" s="41"/>
      <c r="O31" s="41"/>
    </row>
    <row r="32" spans="1:15" x14ac:dyDescent="0.35">
      <c r="A32" s="410"/>
      <c r="B32" s="411"/>
      <c r="C32" s="411"/>
      <c r="D32" s="411"/>
      <c r="E32" s="411"/>
      <c r="F32" s="411"/>
      <c r="G32" s="411"/>
      <c r="H32" s="411"/>
      <c r="I32" s="412"/>
      <c r="K32" s="41"/>
      <c r="L32" s="41"/>
      <c r="M32" s="41"/>
      <c r="N32" s="41"/>
      <c r="O32" s="41"/>
    </row>
    <row r="33" spans="1:15" ht="9.75" customHeight="1" x14ac:dyDescent="0.35">
      <c r="A33" s="413"/>
      <c r="B33" s="414"/>
      <c r="C33" s="414"/>
      <c r="D33" s="414"/>
      <c r="E33" s="414"/>
      <c r="F33" s="414"/>
      <c r="G33" s="414"/>
      <c r="H33" s="414"/>
      <c r="I33" s="415"/>
      <c r="K33" s="41"/>
      <c r="L33" s="41"/>
      <c r="M33" s="41"/>
      <c r="N33" s="41"/>
      <c r="O33" s="41"/>
    </row>
    <row r="34" spans="1:15" ht="15.75" customHeight="1" x14ac:dyDescent="0.35">
      <c r="A34" s="81"/>
      <c r="B34" s="90" t="s">
        <v>107</v>
      </c>
      <c r="C34" s="95" t="s">
        <v>129</v>
      </c>
      <c r="D34" s="125" t="s">
        <v>299</v>
      </c>
      <c r="E34" s="49"/>
      <c r="F34" s="49"/>
      <c r="G34" s="94"/>
      <c r="H34" s="95" t="s">
        <v>114</v>
      </c>
      <c r="I34" s="141"/>
      <c r="K34" s="41"/>
      <c r="L34" s="41"/>
      <c r="M34" s="41"/>
      <c r="N34" s="41"/>
      <c r="O34" s="41"/>
    </row>
    <row r="35" spans="1:15" x14ac:dyDescent="0.35">
      <c r="A35" s="81"/>
      <c r="B35" s="62" t="s">
        <v>498</v>
      </c>
      <c r="C35" s="55" t="s">
        <v>144</v>
      </c>
      <c r="D35" s="43" t="s">
        <v>302</v>
      </c>
      <c r="E35" s="41"/>
      <c r="F35" s="41"/>
      <c r="G35" s="42"/>
      <c r="H35" s="55" t="s">
        <v>118</v>
      </c>
      <c r="I35" s="153"/>
      <c r="K35" s="41"/>
      <c r="L35" s="41"/>
      <c r="M35" s="41"/>
      <c r="N35" s="41"/>
      <c r="O35" s="41"/>
    </row>
    <row r="36" spans="1:15" ht="15.75" customHeight="1" x14ac:dyDescent="0.35">
      <c r="A36" s="81"/>
      <c r="B36" s="91"/>
      <c r="C36" s="55"/>
      <c r="D36" s="189" t="s">
        <v>303</v>
      </c>
      <c r="E36" s="41"/>
      <c r="F36" s="41"/>
      <c r="G36" s="118"/>
      <c r="H36" s="55" t="s">
        <v>118</v>
      </c>
      <c r="I36" s="93"/>
      <c r="K36" s="41"/>
      <c r="L36" s="41"/>
      <c r="M36" s="41"/>
      <c r="N36" s="41"/>
      <c r="O36" s="41"/>
    </row>
    <row r="37" spans="1:15" ht="15.75" customHeight="1" x14ac:dyDescent="0.35">
      <c r="A37" s="81"/>
      <c r="B37" s="92"/>
      <c r="C37" s="55"/>
      <c r="D37" s="152"/>
      <c r="E37" s="50"/>
      <c r="F37" s="50"/>
      <c r="G37" s="45"/>
      <c r="H37" s="159"/>
      <c r="I37" s="144"/>
    </row>
    <row r="38" spans="1:15" x14ac:dyDescent="0.35">
      <c r="A38" s="138"/>
      <c r="B38" s="89" t="s">
        <v>108</v>
      </c>
      <c r="C38" s="56" t="s">
        <v>144</v>
      </c>
      <c r="D38" s="48" t="s">
        <v>301</v>
      </c>
      <c r="E38" s="49"/>
      <c r="F38" s="49"/>
      <c r="G38" s="51"/>
      <c r="H38" s="66" t="s">
        <v>118</v>
      </c>
      <c r="I38" s="127"/>
    </row>
    <row r="39" spans="1:15" ht="15.75" customHeight="1" x14ac:dyDescent="0.35">
      <c r="A39" s="161"/>
      <c r="B39" s="68" t="s">
        <v>499</v>
      </c>
      <c r="C39" s="64" t="s">
        <v>129</v>
      </c>
      <c r="D39" s="43" t="s">
        <v>300</v>
      </c>
      <c r="E39" s="41"/>
      <c r="F39" s="41"/>
      <c r="G39" s="42"/>
      <c r="H39" s="66" t="s">
        <v>114</v>
      </c>
      <c r="I39" s="153"/>
    </row>
    <row r="40" spans="1:15" ht="15.75" customHeight="1" x14ac:dyDescent="0.35">
      <c r="A40" s="161"/>
      <c r="B40" s="91"/>
      <c r="C40" s="64"/>
      <c r="D40" s="189" t="s">
        <v>303</v>
      </c>
      <c r="E40" s="41"/>
      <c r="F40" s="41"/>
      <c r="G40" s="42"/>
      <c r="H40" s="66"/>
      <c r="I40" s="153"/>
    </row>
    <row r="41" spans="1:15" ht="15.75" customHeight="1" x14ac:dyDescent="0.35">
      <c r="A41" s="139"/>
      <c r="B41" s="79"/>
      <c r="C41" s="57"/>
      <c r="D41" s="190"/>
      <c r="E41" s="50"/>
      <c r="F41" s="50"/>
      <c r="G41" s="45"/>
      <c r="H41" s="67"/>
      <c r="I41" s="134"/>
    </row>
    <row r="42" spans="1:15" ht="3.65" customHeight="1" x14ac:dyDescent="0.35">
      <c r="A42" s="43"/>
      <c r="B42" s="154"/>
      <c r="C42" s="101"/>
      <c r="D42" s="41"/>
      <c r="E42" s="41"/>
      <c r="F42" s="41"/>
      <c r="G42" s="41"/>
      <c r="H42" s="101"/>
      <c r="I42" s="163"/>
    </row>
    <row r="43" spans="1:15" ht="15.75" customHeight="1" x14ac:dyDescent="0.35">
      <c r="A43" s="416" t="s">
        <v>102</v>
      </c>
      <c r="B43" s="417"/>
      <c r="C43" s="417"/>
      <c r="D43" s="418"/>
      <c r="E43" s="416" t="s">
        <v>101</v>
      </c>
      <c r="F43" s="417"/>
      <c r="G43" s="416" t="s">
        <v>100</v>
      </c>
      <c r="H43" s="417"/>
      <c r="I43" s="418"/>
    </row>
    <row r="44" spans="1:15" ht="15.75" customHeight="1" x14ac:dyDescent="0.35">
      <c r="A44" s="419"/>
      <c r="B44" s="420"/>
      <c r="C44" s="420"/>
      <c r="D44" s="421"/>
      <c r="E44" s="419"/>
      <c r="F44" s="420"/>
      <c r="G44" s="419"/>
      <c r="H44" s="420"/>
      <c r="I44" s="421"/>
    </row>
    <row r="45" spans="1:15" ht="15.75" customHeight="1" x14ac:dyDescent="0.35">
      <c r="A45" s="832"/>
      <c r="B45" s="833"/>
      <c r="C45" s="833"/>
      <c r="D45" s="834"/>
      <c r="E45" s="394" t="s">
        <v>511</v>
      </c>
      <c r="F45" s="394"/>
      <c r="G45" s="850" t="s">
        <v>285</v>
      </c>
      <c r="H45" s="851"/>
      <c r="I45" s="852"/>
    </row>
    <row r="46" spans="1:15" ht="15.75" customHeight="1" x14ac:dyDescent="0.35">
      <c r="A46" s="853"/>
      <c r="B46" s="839"/>
      <c r="C46" s="839"/>
      <c r="D46" s="840"/>
      <c r="E46" s="386"/>
      <c r="F46" s="386"/>
      <c r="G46" s="854">
        <v>46044</v>
      </c>
      <c r="H46" s="855"/>
      <c r="I46" s="856"/>
    </row>
    <row r="47" spans="1:15" ht="15.75" customHeight="1" x14ac:dyDescent="0.35">
      <c r="A47" s="299"/>
      <c r="B47" s="300"/>
      <c r="C47" s="300"/>
      <c r="D47" s="301"/>
      <c r="E47" s="154"/>
      <c r="F47" s="154"/>
      <c r="G47" s="310"/>
      <c r="H47" s="187"/>
      <c r="I47" s="188"/>
    </row>
    <row r="48" spans="1:15" ht="15.75" customHeight="1" x14ac:dyDescent="0.35">
      <c r="A48" s="829"/>
      <c r="B48" s="830"/>
      <c r="C48" s="830"/>
      <c r="D48" s="831"/>
      <c r="E48" s="367"/>
      <c r="F48" s="367"/>
      <c r="G48" s="857"/>
      <c r="H48" s="855"/>
      <c r="I48" s="856"/>
    </row>
    <row r="49" spans="1:9" ht="15.75" customHeight="1" x14ac:dyDescent="0.35">
      <c r="A49" s="383"/>
      <c r="B49" s="728"/>
      <c r="C49" s="728"/>
      <c r="D49" s="729"/>
      <c r="E49" s="386"/>
      <c r="F49" s="386"/>
      <c r="G49" s="857"/>
      <c r="H49" s="855"/>
      <c r="I49" s="856"/>
    </row>
    <row r="50" spans="1:9" ht="15.75" customHeight="1" x14ac:dyDescent="0.35">
      <c r="A50" s="733"/>
      <c r="B50" s="734"/>
      <c r="C50" s="734"/>
      <c r="D50" s="735"/>
      <c r="E50" s="367"/>
      <c r="F50" s="367"/>
      <c r="G50" s="68"/>
      <c r="H50" s="187"/>
      <c r="I50" s="188"/>
    </row>
    <row r="51" spans="1:9" ht="15.75" customHeight="1" x14ac:dyDescent="0.35">
      <c r="A51" s="369"/>
      <c r="B51" s="801"/>
      <c r="C51" s="801"/>
      <c r="D51" s="802"/>
      <c r="E51" s="372"/>
      <c r="F51" s="372"/>
      <c r="G51" s="858"/>
      <c r="H51" s="859"/>
      <c r="I51" s="860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</sheetData>
  <mergeCells count="36">
    <mergeCell ref="A50:D50"/>
    <mergeCell ref="E50:F50"/>
    <mergeCell ref="A51:D51"/>
    <mergeCell ref="E51:F51"/>
    <mergeCell ref="G51:I51"/>
    <mergeCell ref="A48:D48"/>
    <mergeCell ref="E48:F48"/>
    <mergeCell ref="G48:I48"/>
    <mergeCell ref="A49:D49"/>
    <mergeCell ref="E49:F49"/>
    <mergeCell ref="G49:I49"/>
    <mergeCell ref="A45:D45"/>
    <mergeCell ref="E45:F45"/>
    <mergeCell ref="G45:I45"/>
    <mergeCell ref="A46:D46"/>
    <mergeCell ref="E46:F46"/>
    <mergeCell ref="G46:I46"/>
    <mergeCell ref="A18:I18"/>
    <mergeCell ref="A31:I32"/>
    <mergeCell ref="A33:I33"/>
    <mergeCell ref="A43:D44"/>
    <mergeCell ref="E43:F44"/>
    <mergeCell ref="G43:I44"/>
    <mergeCell ref="A6:H7"/>
    <mergeCell ref="I6:I7"/>
    <mergeCell ref="A16:B17"/>
    <mergeCell ref="C16:C17"/>
    <mergeCell ref="D16:G17"/>
    <mergeCell ref="H16:H17"/>
    <mergeCell ref="I16:I17"/>
    <mergeCell ref="A1:E2"/>
    <mergeCell ref="F1:H2"/>
    <mergeCell ref="I1:I2"/>
    <mergeCell ref="A3:B3"/>
    <mergeCell ref="A4:H5"/>
    <mergeCell ref="I4:I5"/>
  </mergeCells>
  <hyperlinks>
    <hyperlink ref="I26" r:id="rId1" xr:uid="{7AF13171-A58A-49EB-AF6D-2BD4530CDA3D}"/>
  </hyperlinks>
  <pageMargins left="0.25" right="0.25" top="0.75" bottom="0.75" header="0.3" footer="0.3"/>
  <pageSetup paperSize="9" orientation="portrait" r:id="rId2"/>
  <headerFooter>
    <oddHeader>&amp;LGBS SG
&amp;CSAIa25-29&amp;RBKU</oddHeader>
    <oddFooter>&amp;Rarto</oddFooter>
  </headerFooter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50F8-411F-4B0E-84E4-90C9EEFEB759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Props1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4F57DC-141E-4AB1-87CC-0E2B5E397D59}">
  <ds:schemaRefs>
    <ds:schemaRef ds:uri="http://www.w3.org/XML/1998/namespace"/>
    <ds:schemaRef ds:uri="http://purl.org/dc/dcmitype/"/>
    <ds:schemaRef ds:uri="550b22fb-13da-4cf5-969f-c4932bbd4a2b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6d905db-4f59-4a3b-930f-acb1d61e4a6c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21</vt:i4>
      </vt:variant>
      <vt:variant>
        <vt:lpstr>Benannte Bereiche</vt:lpstr>
      </vt:variant>
      <vt:variant>
        <vt:i4>18</vt:i4>
      </vt:variant>
    </vt:vector>
  </HeadingPairs>
  <TitlesOfParts>
    <vt:vector size="39" baseType="lpstr">
      <vt:lpstr>Kompetenzraster</vt:lpstr>
      <vt:lpstr>ST_1_KW33</vt:lpstr>
      <vt:lpstr>ST_2_KW34 </vt:lpstr>
      <vt:lpstr>ST_03_KW35</vt:lpstr>
      <vt:lpstr>ST_4_KW36</vt:lpstr>
      <vt:lpstr>ST_5_KW37 </vt:lpstr>
      <vt:lpstr>ST_6_KW38_</vt:lpstr>
      <vt:lpstr>ST_7_KW39 </vt:lpstr>
      <vt:lpstr>ST_8_KW43</vt:lpstr>
      <vt:lpstr>ST_9_KW44</vt:lpstr>
      <vt:lpstr>ST_10_KW45</vt:lpstr>
      <vt:lpstr>ST_11_KW46 (2)</vt:lpstr>
      <vt:lpstr>ST_11_KW46</vt:lpstr>
      <vt:lpstr>ST_12_KW47</vt:lpstr>
      <vt:lpstr>ST_13_KW48</vt:lpstr>
      <vt:lpstr>ST_14_KW49.</vt:lpstr>
      <vt:lpstr>ST_15_KW50</vt:lpstr>
      <vt:lpstr>ST_16_KW51</vt:lpstr>
      <vt:lpstr>ST_17_KW02</vt:lpstr>
      <vt:lpstr>ST_18_KW03</vt:lpstr>
      <vt:lpstr>Tabelle1</vt:lpstr>
      <vt:lpstr>Kompetenzraster!Druckbereich</vt:lpstr>
      <vt:lpstr>ST_1_KW33!Druckbereich</vt:lpstr>
      <vt:lpstr>ST_10_KW45!Druckbereich</vt:lpstr>
      <vt:lpstr>ST_11_KW46!Druckbereich</vt:lpstr>
      <vt:lpstr>'ST_11_KW46 (2)'!Druckbereich</vt:lpstr>
      <vt:lpstr>ST_12_KW47!Druckbereich</vt:lpstr>
      <vt:lpstr>ST_13_KW48!Druckbereich</vt:lpstr>
      <vt:lpstr>ST_14_KW49.!Druckbereich</vt:lpstr>
      <vt:lpstr>ST_15_KW50!Druckbereich</vt:lpstr>
      <vt:lpstr>ST_16_KW51!Druckbereich</vt:lpstr>
      <vt:lpstr>ST_17_KW02!Druckbereich</vt:lpstr>
      <vt:lpstr>ST_18_KW03!Druckbereich</vt:lpstr>
      <vt:lpstr>ST_4_KW36!Druckbereich</vt:lpstr>
      <vt:lpstr>'ST_5_KW37 '!Druckbereich</vt:lpstr>
      <vt:lpstr>ST_6_KW38_!Druckbereich</vt:lpstr>
      <vt:lpstr>'ST_7_KW39 '!Druckbereich</vt:lpstr>
      <vt:lpstr>ST_8_KW43!Druckbereich</vt:lpstr>
      <vt:lpstr>ST_9_KW44!Druckbereich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Arnold Tobias GBS-LPGB</cp:lastModifiedBy>
  <cp:revision/>
  <cp:lastPrinted>2025-10-22T07:30:02Z</cp:lastPrinted>
  <dcterms:created xsi:type="dcterms:W3CDTF">2018-02-19T12:02:46Z</dcterms:created>
  <dcterms:modified xsi:type="dcterms:W3CDTF">2026-03-28T13:43:33Z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