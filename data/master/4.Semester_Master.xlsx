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https://bldsg-my.sharepoint.com/personal/marcel_item_gbssg_ch/Documents/1_Sanitärinstallateure/2_Unterrichtsmaterial_EFZ/1_Word_Vorlagen/4.Semester/"/>
    </mc:Choice>
  </mc:AlternateContent>
  <xr:revisionPtr revIDLastSave="194" documentId="13_ncr:1_{102B92E1-855A-4C47-A7DD-961F986DAD14}" xr6:coauthVersionLast="47" xr6:coauthVersionMax="47" xr10:uidLastSave="{9A2AFAA7-4149-44BB-8DA7-AB4ABB589E21}"/>
  <bookViews>
    <workbookView xWindow="-120" yWindow="-120" windowWidth="51840" windowHeight="21120" firstSheet="6" activeTab="21" xr2:uid="{00000000-000D-0000-FFFF-FFFF00000000}"/>
  </bookViews>
  <sheets>
    <sheet name="Kompetenzraster" sheetId="13" r:id="rId1"/>
    <sheet name="ST_1_KW_6" sheetId="14" r:id="rId2"/>
    <sheet name="ST_2_KW_7" sheetId="18" r:id="rId3"/>
    <sheet name="ST_3_KW_8" sheetId="20" r:id="rId4"/>
    <sheet name="ST_4_KW_9" sheetId="21" r:id="rId5"/>
    <sheet name="ST_5_KW_10" sheetId="22" r:id="rId6"/>
    <sheet name="ST_6_KW_11" sheetId="23" r:id="rId7"/>
    <sheet name="ST_7_KW_12" sheetId="24" r:id="rId8"/>
    <sheet name="ST_8_KW_13" sheetId="25" r:id="rId9"/>
    <sheet name="ST_9_KW_14" sheetId="26" r:id="rId10"/>
    <sheet name="ST_10_KW_17" sheetId="27" r:id="rId11"/>
    <sheet name="ST_11_KW_18" sheetId="28" r:id="rId12"/>
    <sheet name="ST_12_KW_19" sheetId="32" r:id="rId13"/>
    <sheet name="ST_13_KW_20" sheetId="33" r:id="rId14"/>
    <sheet name="ST_14_KW_21" sheetId="34" r:id="rId15"/>
    <sheet name="ST_15_KW_22" sheetId="35" r:id="rId16"/>
    <sheet name="ST_16_KW_23" sheetId="36" r:id="rId17"/>
    <sheet name="ST_17_KW_24" sheetId="37" r:id="rId18"/>
    <sheet name="ST_18_KW_25" sheetId="38" r:id="rId19"/>
    <sheet name="ST_19_KW_26" sheetId="39" r:id="rId20"/>
    <sheet name="ST_19_KW_4" sheetId="41" r:id="rId21"/>
    <sheet name="Aufgaben_Teams" sheetId="16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Q5" i="13" l="1"/>
  <c r="N26" i="13"/>
  <c r="N34" i="13"/>
  <c r="B139" i="16" l="1"/>
  <c r="B88" i="16" l="1"/>
  <c r="B73" i="16"/>
  <c r="B33" i="16"/>
  <c r="B46" i="16"/>
  <c r="B59" i="16"/>
  <c r="E1" i="14" l="1"/>
  <c r="B75" i="16"/>
  <c r="B9" i="16"/>
  <c r="Q7" i="13"/>
  <c r="Q9" i="13" l="1"/>
  <c r="E1" i="18"/>
  <c r="Q11" i="13" l="1"/>
  <c r="E1" i="20"/>
  <c r="B77" i="16" l="1"/>
  <c r="Q13" i="13"/>
  <c r="Q15" i="13" l="1"/>
  <c r="E1" i="22"/>
  <c r="E1" i="23"/>
  <c r="B22" i="16"/>
  <c r="B11" i="16"/>
  <c r="Q17" i="13" l="1"/>
  <c r="B90" i="16"/>
  <c r="Q19" i="13" l="1"/>
  <c r="E1" i="24"/>
  <c r="Q21" i="13" l="1"/>
  <c r="B92" i="16"/>
  <c r="E1" i="25"/>
  <c r="E1" i="21"/>
  <c r="E1" i="26" l="1"/>
  <c r="B24" i="16"/>
  <c r="Q23" i="13"/>
  <c r="Q25" i="13" l="1"/>
  <c r="E1" i="27"/>
  <c r="B104" i="16"/>
  <c r="Q27" i="13" l="1"/>
  <c r="E1" i="28"/>
  <c r="Q29" i="13" l="1"/>
  <c r="B35" i="16"/>
  <c r="E1" i="32"/>
  <c r="Q31" i="13" l="1"/>
  <c r="E1" i="33"/>
  <c r="B106" i="16"/>
  <c r="Q33" i="13" l="1"/>
  <c r="E1" i="34"/>
  <c r="B115" i="16"/>
  <c r="B48" i="16"/>
  <c r="B37" i="16"/>
  <c r="Q35" i="13" l="1"/>
  <c r="E1" i="35"/>
  <c r="Q37" i="13" l="1"/>
  <c r="Q39" i="13" s="1"/>
  <c r="E1" i="36"/>
  <c r="Q41" i="13" l="1"/>
  <c r="E1" i="39" s="1"/>
  <c r="B141" i="16"/>
  <c r="Q42" i="13"/>
  <c r="E1" i="37"/>
  <c r="E1" i="38" s="1"/>
  <c r="B128" i="16"/>
  <c r="B50" i="16"/>
  <c r="B117" i="16"/>
  <c r="E1" i="41" l="1"/>
  <c r="B143" i="16"/>
  <c r="B61" i="16"/>
  <c r="B130" i="16"/>
  <c r="B63" i="16"/>
</calcChain>
</file>

<file path=xl/sharedStrings.xml><?xml version="1.0" encoding="utf-8"?>
<sst xmlns="http://schemas.openxmlformats.org/spreadsheetml/2006/main" count="709" uniqueCount="316">
  <si>
    <t>Semesterstart:</t>
  </si>
  <si>
    <t>Schultag:</t>
  </si>
  <si>
    <t>Montag</t>
  </si>
  <si>
    <t xml:space="preserve">HF 1       </t>
  </si>
  <si>
    <r>
      <rPr>
        <b/>
        <sz val="12"/>
        <color theme="1"/>
        <rFont val="Century Gothic"/>
        <family val="2"/>
      </rPr>
      <t>Planen der Arbeiten</t>
    </r>
    <r>
      <rPr>
        <sz val="12"/>
        <color theme="1"/>
        <rFont val="Century Gothic"/>
        <family val="2"/>
      </rPr>
      <t xml:space="preserve">
</t>
    </r>
  </si>
  <si>
    <t xml:space="preserve">HF 4       </t>
  </si>
  <si>
    <t xml:space="preserve">Fachgruppe Sanitär Spengler </t>
  </si>
  <si>
    <t>itm I sanitärlernen.ch</t>
  </si>
  <si>
    <t>Bewertung / Benotung</t>
  </si>
  <si>
    <t>Zeugnisnote</t>
  </si>
  <si>
    <t>Handlungsfelder und Kompetenzen</t>
  </si>
  <si>
    <t>Kompetenzraster 4.Semester  Sanitärinstallateur/in EFZ</t>
  </si>
  <si>
    <t xml:space="preserve">Sie berechnen rechtwinklige Dreiecke. (K3) </t>
  </si>
  <si>
    <t xml:space="preserve">Sie können mit Hilfe von Unterlagen Abzweig - Bogen               
Kombinationen in Schmutzwasserinstallationen bestimmen 
</t>
  </si>
  <si>
    <t>Sie können mit Hilfe von Unterlagen den seitlichen       
Versatz in Schmutzwasserinstallationen unter Berücksichtigung 
des Gefälles bestimmen.</t>
  </si>
  <si>
    <t xml:space="preserve">Sie bestimmen die Ausdehnung von Entsorgungsleitungen anhand von Montagehand-büchern. (K3) </t>
  </si>
  <si>
    <t>Sie ordnen die gebräuchlichen Plansymbole korrekt zu. (K1)</t>
  </si>
  <si>
    <t>Sie bestimmen anhand von Beispielen den Platzbedarf, Achsabstände und Montagehöhen von Apparaten und den zugehörigen Garnituren. (K3)</t>
  </si>
  <si>
    <t>Sie erstellen eine Handskizze eines Apparates oder einer Anlage. (K3)</t>
  </si>
  <si>
    <t>Sie beschreiben die für Vorwände relevanten Inhalte der Schallschutznorm und Brandschutzvorschriften. (K2)</t>
  </si>
  <si>
    <t>Sie erstellen anhand von Planunterlagen einen Werkstattplan für eine Vorwand. (K3)</t>
  </si>
  <si>
    <t>Sie erläutern die Bedingungen, wie es zu einem Brand oder einer Explosion kommen kann. (K2)</t>
  </si>
  <si>
    <t>Sie erläutern die Vorschriften zur Ausser­betriebnahme von Erdgasleitungen. (K2)</t>
  </si>
  <si>
    <t>Sie benennen die Vorschriften für die Befestigung von Erdgasleitungen. (K1)</t>
  </si>
  <si>
    <t>Sie erklären die Erdgasgewinnung. (K2)</t>
  </si>
  <si>
    <t>Sie beschreiben die Funktionsweise der Erdgasversorgung. (K2)</t>
  </si>
  <si>
    <t>Sie beschreiben die verschiedenen Gasarten. (K2)</t>
  </si>
  <si>
    <t>Sie beschreiben die wichtigsten Eigenschaften von Gas. (K2)</t>
  </si>
  <si>
    <t>Sie beschreiben die Inhalte der geltenden Vorschriften in Bezug auf die Installation von Entsorgungsleitungen. (K2)</t>
  </si>
  <si>
    <t>Sie bestimmen geeignete Leitungs-befestigungen mit Hilfe von Montage-hand¬büchern (z.B. Ausdehnung, Rohr-schellentyp). (K1)</t>
  </si>
  <si>
    <t>Sie unterscheiden Rohrbefestigungen für verschiedene Bauuntergründe. (K4)</t>
  </si>
  <si>
    <t xml:space="preserve">Sie erläutern die Problematik der Ausdehnung von Entsorgungsleitungen. (K2) </t>
  </si>
  <si>
    <t xml:space="preserve">HF 3     </t>
  </si>
  <si>
    <t>Auftrag 4.1</t>
  </si>
  <si>
    <t>Auftrag 4.2</t>
  </si>
  <si>
    <t>Auftrag 4.3</t>
  </si>
  <si>
    <t>Auftrag 4.4</t>
  </si>
  <si>
    <t>Auftrag 4.5</t>
  </si>
  <si>
    <t>Auftrag 4.7</t>
  </si>
  <si>
    <t>Auftrag 4.8</t>
  </si>
  <si>
    <t>Auftrag 4.9</t>
  </si>
  <si>
    <t>4 Schultage (12L)</t>
  </si>
  <si>
    <t>6 Schultage (18L)</t>
  </si>
  <si>
    <t>3 Schultage (9L)</t>
  </si>
  <si>
    <t>Sie bestimmen die Rohrweiten von Trinkwasserleitungen anhand der geltenden Vorschriften (vereinfachte Rohrweiten­bestimmung). (K3</t>
  </si>
  <si>
    <t>Sie interpretieren und unterscheiden einfache Installations- und Schemapläne. (K4)</t>
  </si>
  <si>
    <t>Sie benennen die Anforderungen an die Apparatemontage. (K1)</t>
  </si>
  <si>
    <t>4 Schultage (8L)</t>
  </si>
  <si>
    <t>Auftrag 4.6</t>
  </si>
  <si>
    <t>Sie unterscheiden die Systeme für Erdgasleitungen nach Material und Verwendungszweck. (K4)</t>
  </si>
  <si>
    <t xml:space="preserve">Auftrag 4.1 </t>
  </si>
  <si>
    <t>3 Schultage (6L)</t>
  </si>
  <si>
    <t>1 Schultage (3L)</t>
  </si>
  <si>
    <t xml:space="preserve">Besprechung Zeugnis </t>
  </si>
  <si>
    <t>Unterichtsplanung 4. Semester</t>
  </si>
  <si>
    <r>
      <t>4.6</t>
    </r>
    <r>
      <rPr>
        <sz val="8"/>
        <color theme="1"/>
        <rFont val="Century Gothic"/>
        <family val="2"/>
      </rPr>
      <t xml:space="preserve">  </t>
    </r>
    <r>
      <rPr>
        <b/>
        <sz val="8"/>
        <color theme="1"/>
        <rFont val="Century Gothic"/>
        <family val="2"/>
      </rPr>
      <t xml:space="preserve"> 4.1</t>
    </r>
  </si>
  <si>
    <r>
      <t>4.6</t>
    </r>
    <r>
      <rPr>
        <sz val="8"/>
        <color theme="1"/>
        <rFont val="Century Gothic"/>
        <family val="2"/>
      </rPr>
      <t xml:space="preserve">   </t>
    </r>
    <r>
      <rPr>
        <b/>
        <sz val="8"/>
        <color theme="1"/>
        <rFont val="Century Gothic"/>
        <family val="2"/>
      </rPr>
      <t xml:space="preserve"> 4.1</t>
    </r>
  </si>
  <si>
    <r>
      <t>4.7</t>
    </r>
    <r>
      <rPr>
        <sz val="8"/>
        <color theme="1"/>
        <rFont val="Century Gothic"/>
        <family val="2"/>
      </rPr>
      <t xml:space="preserve">  </t>
    </r>
    <r>
      <rPr>
        <b/>
        <sz val="8"/>
        <color theme="1"/>
        <rFont val="Century Gothic"/>
        <family val="2"/>
      </rPr>
      <t xml:space="preserve"> 4.2</t>
    </r>
  </si>
  <si>
    <t>4.7  4.2</t>
  </si>
  <si>
    <r>
      <t>4.7</t>
    </r>
    <r>
      <rPr>
        <sz val="8"/>
        <color theme="1"/>
        <rFont val="Century Gothic"/>
        <family val="2"/>
      </rPr>
      <t xml:space="preserve">  </t>
    </r>
    <r>
      <rPr>
        <b/>
        <sz val="8"/>
        <color theme="1"/>
        <rFont val="Century Gothic"/>
        <family val="2"/>
      </rPr>
      <t>4.2</t>
    </r>
  </si>
  <si>
    <r>
      <t>4.8</t>
    </r>
    <r>
      <rPr>
        <sz val="8"/>
        <color theme="1"/>
        <rFont val="Century Gothic"/>
        <family val="2"/>
      </rPr>
      <t xml:space="preserve">   </t>
    </r>
    <r>
      <rPr>
        <b/>
        <sz val="8"/>
        <color theme="1"/>
        <rFont val="Century Gothic"/>
        <family val="2"/>
      </rPr>
      <t xml:space="preserve"> 4.2</t>
    </r>
  </si>
  <si>
    <r>
      <t>4.6</t>
    </r>
    <r>
      <rPr>
        <sz val="8"/>
        <color theme="1"/>
        <rFont val="Century Gothic"/>
        <family val="2"/>
      </rPr>
      <t xml:space="preserve"> </t>
    </r>
    <r>
      <rPr>
        <b/>
        <sz val="8"/>
        <color theme="1"/>
        <rFont val="Century Gothic"/>
        <family val="2"/>
      </rPr>
      <t xml:space="preserve"> 4.2</t>
    </r>
  </si>
  <si>
    <t>5 Schultage (10L)</t>
  </si>
  <si>
    <r>
      <t>4.7</t>
    </r>
    <r>
      <rPr>
        <sz val="8"/>
        <color theme="1"/>
        <rFont val="Century Gothic"/>
        <family val="2"/>
      </rPr>
      <t xml:space="preserve">   </t>
    </r>
    <r>
      <rPr>
        <b/>
        <sz val="8"/>
        <color theme="1"/>
        <rFont val="Century Gothic"/>
        <family val="2"/>
      </rPr>
      <t>4.2</t>
    </r>
  </si>
  <si>
    <t xml:space="preserve">4 Schultage (8L) </t>
  </si>
  <si>
    <r>
      <t>4.8</t>
    </r>
    <r>
      <rPr>
        <sz val="8"/>
        <color theme="1"/>
        <rFont val="Century Gothic"/>
        <family val="2"/>
      </rPr>
      <t xml:space="preserve">   </t>
    </r>
    <r>
      <rPr>
        <b/>
        <sz val="8"/>
        <color theme="1"/>
        <rFont val="Century Gothic"/>
        <family val="2"/>
      </rPr>
      <t xml:space="preserve"> 4.3</t>
    </r>
  </si>
  <si>
    <r>
      <t>4.9</t>
    </r>
    <r>
      <rPr>
        <sz val="8"/>
        <color theme="1"/>
        <rFont val="Century Gothic"/>
        <family val="2"/>
      </rPr>
      <t xml:space="preserve">   </t>
    </r>
    <r>
      <rPr>
        <b/>
        <sz val="8"/>
        <color theme="1"/>
        <rFont val="Century Gothic"/>
        <family val="2"/>
      </rPr>
      <t xml:space="preserve"> 4.4</t>
    </r>
  </si>
  <si>
    <r>
      <t>4.9</t>
    </r>
    <r>
      <rPr>
        <sz val="8"/>
        <color theme="1"/>
        <rFont val="Century Gothic"/>
        <family val="2"/>
      </rPr>
      <t xml:space="preserve">  </t>
    </r>
    <r>
      <rPr>
        <b/>
        <sz val="8"/>
        <color theme="1"/>
        <rFont val="Century Gothic"/>
        <family val="2"/>
      </rPr>
      <t xml:space="preserve"> 4.4</t>
    </r>
  </si>
  <si>
    <t xml:space="preserve">Sie kennen die Grundlagen der X-Mass Methode und wenden diese in einfachen Beispielen an. </t>
  </si>
  <si>
    <t>Sie erstellen selbstständig einfache X-Mass Vorfabrikationszeichnungen inkl. Rohrlängen und Stückliste.</t>
  </si>
  <si>
    <t>Sie erklären den Zweck und die Funktion verschiedener Armaturen für Erdgasleitungen.</t>
  </si>
  <si>
    <t>QV Woche</t>
  </si>
  <si>
    <t>1 Schultag (3L)</t>
  </si>
  <si>
    <t>Auftrag 4.10</t>
  </si>
  <si>
    <t>Exkursion Geberit</t>
  </si>
  <si>
    <t>Arbeitsvorbereitung AVOR X-Mass</t>
  </si>
  <si>
    <t>Fallleitungen, Entlüftung und Sammelleitung</t>
  </si>
  <si>
    <t>Montage von Erdgasleitungen</t>
  </si>
  <si>
    <t>Planung und Einteilung von Apparaten</t>
  </si>
  <si>
    <t>Ausdehnung &amp; Befestigungspunkte</t>
  </si>
  <si>
    <t>Planung von Vorwänden</t>
  </si>
  <si>
    <t>Unterrichtsverlauf</t>
  </si>
  <si>
    <t>Filme / Theorie</t>
  </si>
  <si>
    <t>Auftrag 1</t>
  </si>
  <si>
    <t>Auftrag 2</t>
  </si>
  <si>
    <t>Lernziele</t>
  </si>
  <si>
    <t>Pause</t>
  </si>
  <si>
    <t>Hausaufgaben</t>
  </si>
  <si>
    <t>Administratives</t>
  </si>
  <si>
    <t>Grundlagen Erdgas</t>
  </si>
  <si>
    <t>Rohrweitenbestimmung Wasser</t>
  </si>
  <si>
    <t xml:space="preserve">   der geltenden Vorschriften. </t>
  </si>
  <si>
    <t xml:space="preserve">* Sie bestimmen die Rohrweiten von Trinkwasserleitungen anhand </t>
  </si>
  <si>
    <t>* Sie interpretieren einfache Installations- und Schemapläne.</t>
  </si>
  <si>
    <t xml:space="preserve">* Sie ordnen die gebräuchlichen Plansymbole korrekt zu. </t>
  </si>
  <si>
    <t>Aufgaben Teams</t>
  </si>
  <si>
    <t>Punkte</t>
  </si>
  <si>
    <t>Zuweisung</t>
  </si>
  <si>
    <t>Abgabe</t>
  </si>
  <si>
    <t>* Einstieg mit Gruppendiskussion</t>
  </si>
  <si>
    <t>* Gemeinsamer Versuch im Demoraum "Druckverust"</t>
  </si>
  <si>
    <t>* Gemeinsames lösen mit der Anleitung</t>
  </si>
  <si>
    <t>* Erste einfachere Beispiele lösen</t>
  </si>
  <si>
    <t>Rohrweitenbestimmung Trinkwasser</t>
  </si>
  <si>
    <t>Grundlagen Erdgas inkl. Versorgung</t>
  </si>
  <si>
    <t xml:space="preserve">* Einstieg mit Lehrmittel </t>
  </si>
  <si>
    <t>* Erstellung MindMap "Fakten und Grundlagen"</t>
  </si>
  <si>
    <t>1 - 2 Lektion</t>
  </si>
  <si>
    <t>* Erarbeitung Theorie Fragen 6-8</t>
  </si>
  <si>
    <t>* Sie beschreiben die verschiedenen Gasarten.</t>
  </si>
  <si>
    <t>* Sie beschreiben die wichtigsten Eigenschaften von Erdgas.</t>
  </si>
  <si>
    <t>* Sie erläutern die Bedingungen, wie es zu einem Brand oder einer Explosion kommen kann.</t>
  </si>
  <si>
    <t>* Erarbeitung Theorie Fragen 9-11</t>
  </si>
  <si>
    <t>Auftrag 3</t>
  </si>
  <si>
    <t>Auftrag 4</t>
  </si>
  <si>
    <t>* Komplexeres, grösseres Beispiel (EFH zusammen lösen)</t>
  </si>
  <si>
    <t>* Einstieg mit Schlagzeile / Unfall mit CO!</t>
  </si>
  <si>
    <t>* Versuch / Verbrennung Gase / Feste Stoffe</t>
  </si>
  <si>
    <t>* Evtl. 1.Mal Zeit für Arbeit an LN</t>
  </si>
  <si>
    <t>* Versuch vollständige und unvollständige Verbrennung</t>
  </si>
  <si>
    <t>* Repetition der Aufträge 1 &amp; 2</t>
  </si>
  <si>
    <t>* Ausführung Expertenpuzzle zum Thema</t>
  </si>
  <si>
    <t>* Zeit für Arbeit an LN</t>
  </si>
  <si>
    <t>* Unterschied zwischen Explosion und Verbrennung kennen</t>
  </si>
  <si>
    <t>* Die Gefahren der unvollständigen Verbrennung kennen</t>
  </si>
  <si>
    <t xml:space="preserve">* Aufgabe EFH Carlotta </t>
  </si>
  <si>
    <t>* Aufgabe EFH Dilaria</t>
  </si>
  <si>
    <t xml:space="preserve">* Der Weg des Gases bis ins Haus </t>
  </si>
  <si>
    <t>Auftrag 5</t>
  </si>
  <si>
    <t>* Einstieg mit Demoraum / Arbeit an Fragen zum Thema</t>
  </si>
  <si>
    <t>* Gemeinsames Aufzeichnen des Hausanschlusses</t>
  </si>
  <si>
    <t>* Zeit für Arbeit an Leistungsnachweis</t>
  </si>
  <si>
    <t>Lernziele / Prüfung</t>
  </si>
  <si>
    <t>* Aufgabe EFH Esther</t>
  </si>
  <si>
    <t>Grundlagen AVOR X-Mass</t>
  </si>
  <si>
    <t>* Einstieg mit Herleitung Logik / AVOR X-Mass</t>
  </si>
  <si>
    <t>* Herleitung zum Sinn des 055 Formstückes</t>
  </si>
  <si>
    <t>* Übungen zur Suche von X-Massen in den Unterlagen / Aufgaben 1-3</t>
  </si>
  <si>
    <t xml:space="preserve">* Übbungen zum schneiden des 055 Formstückes / Aufgaben 4 -7 </t>
  </si>
  <si>
    <t>* Sie kennen die Grundlagen der X-Mass Methode und wenden</t>
  </si>
  <si>
    <t xml:space="preserve"> diese in einfachen Beispielen an. </t>
  </si>
  <si>
    <t>Gemeinsamer Einstieg</t>
  </si>
  <si>
    <t>Prüfung Auftrag 4.6</t>
  </si>
  <si>
    <t>25 min</t>
  </si>
  <si>
    <t>Prüfung Auftrag 4.1</t>
  </si>
  <si>
    <t>40 min</t>
  </si>
  <si>
    <t>* Sie beschreiben die Funktionsweise der Erdgasversorgung.</t>
  </si>
  <si>
    <t>* Sie erklären die Erdgasgewinnung.</t>
  </si>
  <si>
    <t>3 - 5 Lektion</t>
  </si>
  <si>
    <t>* Eintieg mit Übung zur Berechnung von Gefälle</t>
  </si>
  <si>
    <t>* Übungen zur Berechnung lösen</t>
  </si>
  <si>
    <t>* Erste gemeinsame Aufgabe lösen.</t>
  </si>
  <si>
    <t>* Bild Gasexplosion Bremerhaven</t>
  </si>
  <si>
    <t>* Gruppeneinteilung &amp; Start Vorbereitung Vortrag</t>
  </si>
  <si>
    <t>* Sie unterscheiden die Systeme für Erdgasleitungen nach Material und Verwendungszweck.</t>
  </si>
  <si>
    <t>* Sie benennen die Vorschriften für die Befestigung von Erdgasleitungen.</t>
  </si>
  <si>
    <t>* Sie erklären den Zweck und die Funktion verschiedener Armaturen für Erdgasleitungen.</t>
  </si>
  <si>
    <t>Montageregeln Erdgas</t>
  </si>
  <si>
    <t>* Arbeit an Vorträgen</t>
  </si>
  <si>
    <t>* Fragen klären &amp; Hilfestellung</t>
  </si>
  <si>
    <t>* Aufgabe 6.6 Reservestutzen</t>
  </si>
  <si>
    <t xml:space="preserve">* Aufgabe 6.9 </t>
  </si>
  <si>
    <t xml:space="preserve">* 1. Etappe der Vorträge </t>
  </si>
  <si>
    <t>* Thema 1 / Hausinstallation bis zum Zähler &amp; Rohrwerkstoffe</t>
  </si>
  <si>
    <t>* Thema 2 / Montageregeln für Erdgasleitungen</t>
  </si>
  <si>
    <t>* Bearbeitung der Fragen im Dossier</t>
  </si>
  <si>
    <t>* Aufgabe 6.7 Duschwannenanschluss</t>
  </si>
  <si>
    <t xml:space="preserve">Auftrag 2 </t>
  </si>
  <si>
    <t>* Vortrag Thema 3 / Bearbeitung Fragen aus Dossier</t>
  </si>
  <si>
    <t>* Vortrag Thema 4 / Bearbeitung Fragen aus Dossier</t>
  </si>
  <si>
    <t xml:space="preserve">Auftrag 3 </t>
  </si>
  <si>
    <t>Pe - WC Anschluss</t>
  </si>
  <si>
    <t>1 - 3 Lektion</t>
  </si>
  <si>
    <t>4 - 5 Lektion</t>
  </si>
  <si>
    <t>* Repetition Bilder Stadtwerke zu Thema 1&amp;2</t>
  </si>
  <si>
    <t>Prüfung Auftrag 4.7</t>
  </si>
  <si>
    <t xml:space="preserve">Auftrag 1 </t>
  </si>
  <si>
    <t>* Einstieg mit Lehrmittel (Erarbeitung Theorie)</t>
  </si>
  <si>
    <t>* Fragen im Dossier bearbeiten / Details erklären</t>
  </si>
  <si>
    <t>* Sie beschreiben die Inhalte der aktuellen Vorschriften in Bezug auf</t>
  </si>
  <si>
    <t xml:space="preserve">   die Installation von Entsorgungsaleitungen.</t>
  </si>
  <si>
    <t xml:space="preserve">   diese in einfachen Beispielen an. </t>
  </si>
  <si>
    <t xml:space="preserve">  diese in einfachen Beispielen an. </t>
  </si>
  <si>
    <t>* Aufgabe 6.10</t>
  </si>
  <si>
    <t>Zwischenetage</t>
  </si>
  <si>
    <t>* Zusatzaufgaben für Prüfungsvorbereitung</t>
  </si>
  <si>
    <t xml:space="preserve">Installieren von Fallleitungen </t>
  </si>
  <si>
    <t>Prüfung Auftrag 4.2</t>
  </si>
  <si>
    <t>45 min</t>
  </si>
  <si>
    <t>* Fragen 5 &amp; 6 im Plenum beantworten und besprechen</t>
  </si>
  <si>
    <t>* Fragen 7 -10 in Einzelarbeit lösen und besprechen</t>
  </si>
  <si>
    <t>* Selbstständiges Erstellen einer MindMap zum Thema Entlüftung</t>
  </si>
  <si>
    <t>* Zeit für Prüfungsvorbereitung</t>
  </si>
  <si>
    <t>Planung von Apparaten</t>
  </si>
  <si>
    <t xml:space="preserve">* Sie bestimmen anhand von Beispielen den Platzbedarf, Achsabstände </t>
  </si>
  <si>
    <t xml:space="preserve">   und Montagehöhen von Apparaten und den zugehörigen Garnituren.</t>
  </si>
  <si>
    <t>* Sie erstellen eine Handskizze eines Apparates oder einer Anlage.</t>
  </si>
  <si>
    <t>* Skizze einer Apparateplanung erstellen</t>
  </si>
  <si>
    <t>* Exakte Planung erstellen / Ansicht &amp; Grundriss</t>
  </si>
  <si>
    <t>* Einstieg mit Korrektur Übung 2</t>
  </si>
  <si>
    <t>* Hinweis &amp; Abgabe Leistungsnachweis</t>
  </si>
  <si>
    <t>* Hinweis Prüfung / Lernziele…</t>
  </si>
  <si>
    <t>* Hinweis zus. Übungen für Prüfungen</t>
  </si>
  <si>
    <t>* Einstieg in handlungsorientierte Übungen</t>
  </si>
  <si>
    <t>* Übung 1 gemeinsam starten</t>
  </si>
  <si>
    <t>* Übung 2 selbstständig lösen</t>
  </si>
  <si>
    <t>Ausdehnung Entsorgungsleitungen</t>
  </si>
  <si>
    <t xml:space="preserve">Einstieg </t>
  </si>
  <si>
    <t xml:space="preserve">* Zeit für Arbeit an Leistungsnachweis </t>
  </si>
  <si>
    <t>* Sie erläutern die Problematik der Ausdehnung von Entsorgungsleitungen.</t>
  </si>
  <si>
    <t>* Sie bestimmen die Ausdehnung von Entsorgungsleitungen anhand von Montagebüchern.</t>
  </si>
  <si>
    <t>* Gruppenarbeit Vorwissen Ausdehnung Entsorgungsleitungen</t>
  </si>
  <si>
    <t>* Herleitung Formeln für die Berechnung / Versuch</t>
  </si>
  <si>
    <t>* Formeln notieren &amp; erste 3 Beispiele rechnen</t>
  </si>
  <si>
    <t>* Aufgaben 1- 3 kontrollieren und Aufgaben rechnen.</t>
  </si>
  <si>
    <t xml:space="preserve">* 3-4 Übungen rechnen / Hinweise für Lösungen </t>
  </si>
  <si>
    <t>* Einstieg in die Planung von Vorwänden / Grundlagen</t>
  </si>
  <si>
    <t>* Gemeinsames Planen mit der Geberit App</t>
  </si>
  <si>
    <t>* Beispiele 1-3 lösen und besprechen</t>
  </si>
  <si>
    <t xml:space="preserve">* Sie erstellen anhand von Planunterlagen einen Werkstattplan </t>
  </si>
  <si>
    <t xml:space="preserve">   für eine Vorwand.</t>
  </si>
  <si>
    <t xml:space="preserve">* Sie beschreiben die für Vorwände relevanten Inhalte der </t>
  </si>
  <si>
    <t xml:space="preserve">   Schallschutznorm  und Brandschutzvorschriften.</t>
  </si>
  <si>
    <t xml:space="preserve">* Sie bestimmen geeignete Leitungsbefestigungen mit Hilfe von Montagehandbüchern. </t>
  </si>
  <si>
    <t>Prüfung Auftrag 4.8</t>
  </si>
  <si>
    <t>*Praxisorientierte Beispiele 12- 16 lösen.</t>
  </si>
  <si>
    <t xml:space="preserve">Abgabe und Arbeit am Leistungsnachweis </t>
  </si>
  <si>
    <t>* Beispiele 4-6 lösen und besprechen</t>
  </si>
  <si>
    <t xml:space="preserve"> - Abgabe und Arbeit am Leistungsnachweis </t>
  </si>
  <si>
    <t>ganzer Tag</t>
  </si>
  <si>
    <t>Anreise individuell</t>
  </si>
  <si>
    <t xml:space="preserve">Besammlung 08.20 Uhr </t>
  </si>
  <si>
    <t xml:space="preserve">* Sie beschreiben die Inhalte der aktuellen Vorschriften in Bezug </t>
  </si>
  <si>
    <t xml:space="preserve">   auf die Installation von Entsorgungsleitungen.</t>
  </si>
  <si>
    <t xml:space="preserve">* Sie beschreiben Einsatzgebiete, und Eigenschaften der Dämmmaterialien für Entsorgungsleitungen. </t>
  </si>
  <si>
    <t xml:space="preserve">* Sie beschreiben die handelsüblichen Vorwandsysteme. 	</t>
  </si>
  <si>
    <t xml:space="preserve">Adresse: </t>
  </si>
  <si>
    <t>Geberit GIZ</t>
  </si>
  <si>
    <t>Schachenstrasse 77</t>
  </si>
  <si>
    <t>8645 Jona</t>
  </si>
  <si>
    <t>Berechnung Verschränkungen</t>
  </si>
  <si>
    <t xml:space="preserve">* Sie berechnen rechtwinklige Dreiecke. (K3) </t>
  </si>
  <si>
    <t>* Sie können mit Hilfe von Unterlagen Abzweig - Bogen Kombinationen bestimmen.</t>
  </si>
  <si>
    <t>* Sie können mit Hilfe von Unterlagen den seitlichen Versatz in Schmutzwasserinstallationen</t>
  </si>
  <si>
    <t xml:space="preserve">   unter Berücksichtigung des Gefälles bestimmen.</t>
  </si>
  <si>
    <t>*Herleitung Theorie mit Montagehelfer</t>
  </si>
  <si>
    <t>*Einfache angewandte Aufgaben in Auftrag lösen</t>
  </si>
  <si>
    <t xml:space="preserve">*Leistungsnachweis - Situationen auf dem Bau lösen </t>
  </si>
  <si>
    <t>Vernetzendes Abschlussprojekt</t>
  </si>
  <si>
    <t>* gemäss Aufgabenbeschrieb Projekt</t>
  </si>
  <si>
    <r>
      <t>4.5</t>
    </r>
    <r>
      <rPr>
        <sz val="8"/>
        <color theme="1"/>
        <rFont val="Century Gothic"/>
        <family val="2"/>
      </rPr>
      <t xml:space="preserve">   </t>
    </r>
    <r>
      <rPr>
        <b/>
        <sz val="8"/>
        <color theme="1"/>
        <rFont val="Century Gothic"/>
        <family val="2"/>
      </rPr>
      <t xml:space="preserve"> 4.10</t>
    </r>
  </si>
  <si>
    <t>Auftrag 4.11</t>
  </si>
  <si>
    <t>0.5 Schultage (3L)</t>
  </si>
  <si>
    <t>Sie berechnen und bestimmen das Gefälle von Entsorgungsleitungen.</t>
  </si>
  <si>
    <t>Sie bestimmen die Rohrweiten von Trinkwasserleitungen anhand der geltenden Vorschriften.</t>
  </si>
  <si>
    <t xml:space="preserve">Sie berechnen den Druck unter Berücksichtigung der  Kompressibilität des Wassers. </t>
  </si>
  <si>
    <t xml:space="preserve">Sie interpretieren einfache Montage- und Einlegepläne für die Installation von Wasserleitungen. </t>
  </si>
  <si>
    <t>Berechnung Überkröpfung AVOR X -Mass</t>
  </si>
  <si>
    <t xml:space="preserve">Vernetzendes Projekt </t>
  </si>
  <si>
    <t>Phase 1</t>
  </si>
  <si>
    <t>*Arbeitsteilung innerhalb der Gruppe</t>
  </si>
  <si>
    <t>Phase 2</t>
  </si>
  <si>
    <t>*Arbeiten an den Teilaufgaben inkl. Besprechungen</t>
  </si>
  <si>
    <t>Phase 3</t>
  </si>
  <si>
    <t>*Zusammenführung und Abgabe</t>
  </si>
  <si>
    <t>Zeugnisbesprechung</t>
  </si>
  <si>
    <t>* Sie erklären die Funktionsweise der Abwassereinigungsanlage.</t>
  </si>
  <si>
    <t>Einstieg</t>
  </si>
  <si>
    <t>* Was wisst ihr alles über Erdgas?</t>
  </si>
  <si>
    <t xml:space="preserve"> =&gt; sanitärbezogen / politisch / Technisch</t>
  </si>
  <si>
    <r>
      <rPr>
        <b/>
        <sz val="11"/>
        <color theme="1"/>
        <rFont val="Calibri"/>
        <family val="2"/>
        <scheme val="minor"/>
      </rPr>
      <t>Lernziele:</t>
    </r>
    <r>
      <rPr>
        <sz val="11"/>
        <color theme="1"/>
        <rFont val="Calibri"/>
        <family val="2"/>
        <scheme val="minor"/>
      </rPr>
      <t xml:space="preserve">
- Sie bestimmen die Rohrweiten von Trinkwasserleitungen anhand der geltenden Vorschriften. 
- Sie interpretieren und unterscheiden einfache Installations und Schemapläne. 
- Sie ordnen die gebräuchlichen Plansymbole korrekt zu. 
</t>
    </r>
    <r>
      <rPr>
        <b/>
        <sz val="11"/>
        <color theme="1"/>
        <rFont val="Calibri"/>
        <family val="2"/>
        <scheme val="minor"/>
      </rPr>
      <t xml:space="preserve">Abzugebende Leistungsnachweise:
</t>
    </r>
    <r>
      <rPr>
        <sz val="11"/>
        <color theme="1"/>
        <rFont val="Calibri"/>
        <family val="2"/>
        <scheme val="minor"/>
      </rPr>
      <t xml:space="preserve">
- Leistungsnachweis «Dimensionierung»
</t>
    </r>
  </si>
  <si>
    <r>
      <rPr>
        <b/>
        <sz val="11"/>
        <color theme="1"/>
        <rFont val="Calibri"/>
        <family val="2"/>
        <scheme val="minor"/>
      </rPr>
      <t>Lernziele:</t>
    </r>
    <r>
      <rPr>
        <sz val="11"/>
        <color theme="1"/>
        <rFont val="Calibri"/>
        <family val="2"/>
        <scheme val="minor"/>
      </rPr>
      <t xml:space="preserve">
- Sie kennen die Grundlagen der X-Mass Methode und wenden diese 
in einfachen Beispielen an.   
- Sie erstellen selbstständig einfache X-Mass Vorfabrikationszeichnungen
inkl. Rohrlängen und Stückliste.
</t>
    </r>
    <r>
      <rPr>
        <b/>
        <sz val="11"/>
        <color theme="1"/>
        <rFont val="Calibri"/>
        <family val="2"/>
        <scheme val="minor"/>
      </rPr>
      <t xml:space="preserve"> 
Abzugebende Leistungsnachweise:
</t>
    </r>
    <r>
      <rPr>
        <sz val="11"/>
        <color theme="1"/>
        <rFont val="Calibri"/>
        <family val="2"/>
        <scheme val="minor"/>
      </rPr>
      <t xml:space="preserve">
- Leistungsnachweis "AVOR X-Mass "
- Abgabe von drei korrigierten Fachzeichnungen
</t>
    </r>
  </si>
  <si>
    <r>
      <rPr>
        <b/>
        <sz val="11"/>
        <color theme="1"/>
        <rFont val="Calibri"/>
        <family val="2"/>
        <scheme val="minor"/>
      </rPr>
      <t>Lernziele:</t>
    </r>
    <r>
      <rPr>
        <sz val="11"/>
        <color theme="1"/>
        <rFont val="Calibri"/>
        <family val="2"/>
        <scheme val="minor"/>
      </rPr>
      <t xml:space="preserve">
- Sie benennen die Anforderungen an die Apparatemontage. 
- Sie bestimmen anhand von Beispielen den Platzbedarf, Achsabstände und   
   Montagehöhen von Apparaten und den zugehörigen Garnituren. 
- Sie erstellen eine Handskizze eines Apparates oder einer Anlage. 
</t>
    </r>
    <r>
      <rPr>
        <b/>
        <sz val="11"/>
        <color theme="1"/>
        <rFont val="Calibri"/>
        <family val="2"/>
        <scheme val="minor"/>
      </rPr>
      <t xml:space="preserve">
Abzugebende Leistungsnachweise:
</t>
    </r>
    <r>
      <rPr>
        <sz val="11"/>
        <color theme="1"/>
        <rFont val="Calibri"/>
        <family val="2"/>
        <scheme val="minor"/>
      </rPr>
      <t xml:space="preserve">
- Leistungsnachweis "Detailplanung Badezimmer"
</t>
    </r>
  </si>
  <si>
    <r>
      <rPr>
        <b/>
        <sz val="11"/>
        <rFont val="Calibri"/>
        <family val="2"/>
        <scheme val="minor"/>
      </rPr>
      <t>Lernziele:</t>
    </r>
    <r>
      <rPr>
        <sz val="11"/>
        <rFont val="Calibri"/>
        <family val="2"/>
        <scheme val="minor"/>
      </rPr>
      <t xml:space="preserve">
- Sie beschreiben die für Vorwände relevanten Inhalte der Schallschutznorm und Brandschutzvorschriften.
- Sie erstellen anhand von Planunterlagen einen Werkstattplan 
für eine Vorwand.   
</t>
    </r>
    <r>
      <rPr>
        <b/>
        <sz val="11"/>
        <rFont val="Calibri"/>
        <family val="2"/>
        <scheme val="minor"/>
      </rPr>
      <t xml:space="preserve">
Abzugebende Leistungsnachweise:
</t>
    </r>
    <r>
      <rPr>
        <sz val="11"/>
        <rFont val="Calibri"/>
        <family val="2"/>
        <scheme val="minor"/>
      </rPr>
      <t xml:space="preserve">
- Leistungsnachweis "Vorwandplanung"</t>
    </r>
    <r>
      <rPr>
        <sz val="11"/>
        <color theme="1"/>
        <rFont val="Calibri"/>
        <family val="2"/>
        <scheme val="minor"/>
      </rPr>
      <t xml:space="preserve">
</t>
    </r>
  </si>
  <si>
    <r>
      <rPr>
        <b/>
        <sz val="11"/>
        <rFont val="Calibri"/>
        <family val="2"/>
        <scheme val="minor"/>
      </rPr>
      <t>Lernziele:</t>
    </r>
    <r>
      <rPr>
        <sz val="11"/>
        <rFont val="Calibri"/>
        <family val="2"/>
        <scheme val="minor"/>
      </rPr>
      <t xml:space="preserve">
- Sie berechnen rechtwinklige Dreiecke
- Sie können mit Hilfe von Montageunterlagen Abzweig - Bogen 
Kombinationen in Schmutzwasserinstallationen bestimmen
- Sie können mit Hilfe von Montageunterlagen den seitlichen Versatz in Schmutzwasserinstallationen unter Berücksichtigung des Gefälles bestimmen
</t>
    </r>
    <r>
      <rPr>
        <b/>
        <sz val="11"/>
        <rFont val="Calibri"/>
        <family val="2"/>
        <scheme val="minor"/>
      </rPr>
      <t xml:space="preserve">
Abzugebende Leistungsnachweise:
</t>
    </r>
    <r>
      <rPr>
        <sz val="11"/>
        <rFont val="Calibri"/>
        <family val="2"/>
        <scheme val="minor"/>
      </rPr>
      <t xml:space="preserve">
- Leistungsnachweis "«Berechnung seitlicher Versatz in der Praxis»
</t>
    </r>
    <r>
      <rPr>
        <sz val="11"/>
        <color theme="1"/>
        <rFont val="Calibri"/>
        <family val="2"/>
        <scheme val="minor"/>
      </rPr>
      <t xml:space="preserve">
</t>
    </r>
  </si>
  <si>
    <r>
      <rPr>
        <b/>
        <sz val="11"/>
        <rFont val="Calibri"/>
        <family val="2"/>
        <scheme val="minor"/>
      </rPr>
      <t>Lernziele:</t>
    </r>
    <r>
      <rPr>
        <sz val="11"/>
        <rFont val="Calibri"/>
        <family val="2"/>
        <scheme val="minor"/>
      </rPr>
      <t xml:space="preserve">
- Sie beschreiben die verschiedenen Gasarten.
- Sie beschreiben die wichtigsten Eigenschaften von Erdgas. 
- Sie erläutern die Bedingungen, wie es zu einem Brand oder einer Explosion kommen kann. 
- Sie erklären die Erdgasgewinnung. 
- Sie beschreiben die Funktionsweise der Erdgasversorgung.
</t>
    </r>
    <r>
      <rPr>
        <b/>
        <sz val="11"/>
        <rFont val="Calibri"/>
        <family val="2"/>
        <scheme val="minor"/>
      </rPr>
      <t xml:space="preserve">
Abzugebende Leistungsnachweise:
</t>
    </r>
    <r>
      <rPr>
        <sz val="11"/>
        <rFont val="Calibri"/>
        <family val="2"/>
        <scheme val="minor"/>
      </rPr>
      <t xml:space="preserve">
- Leistungsnachweis ««Lernkarten erstellen»
</t>
    </r>
    <r>
      <rPr>
        <sz val="11"/>
        <color theme="1"/>
        <rFont val="Calibri"/>
        <family val="2"/>
        <scheme val="minor"/>
      </rPr>
      <t xml:space="preserve">
</t>
    </r>
  </si>
  <si>
    <r>
      <rPr>
        <b/>
        <sz val="11"/>
        <rFont val="Calibri"/>
        <family val="2"/>
        <scheme val="minor"/>
      </rPr>
      <t>Lernziele:</t>
    </r>
    <r>
      <rPr>
        <sz val="11"/>
        <rFont val="Calibri"/>
        <family val="2"/>
        <scheme val="minor"/>
      </rPr>
      <t xml:space="preserve">
- Sie beschreiben die Inhalte der aktuellen Vorschriften in Bezug auf die Installation von Entsorgungsleitungen.
</t>
    </r>
    <r>
      <rPr>
        <b/>
        <sz val="11"/>
        <rFont val="Calibri"/>
        <family val="2"/>
        <scheme val="minor"/>
      </rPr>
      <t xml:space="preserve">
Abzugebende Leistungsnachweise:
</t>
    </r>
    <r>
      <rPr>
        <sz val="11"/>
        <rFont val="Calibri"/>
        <family val="2"/>
        <scheme val="minor"/>
      </rPr>
      <t xml:space="preserve">
- Leistungsnachweis «Planung von Leitungen»</t>
    </r>
    <r>
      <rPr>
        <sz val="11"/>
        <color theme="1"/>
        <rFont val="Calibri"/>
        <family val="2"/>
        <scheme val="minor"/>
      </rPr>
      <t xml:space="preserve">
</t>
    </r>
  </si>
  <si>
    <r>
      <rPr>
        <b/>
        <sz val="11"/>
        <rFont val="Calibri"/>
        <family val="2"/>
        <scheme val="minor"/>
      </rPr>
      <t xml:space="preserve">Lernziele:
</t>
    </r>
    <r>
      <rPr>
        <sz val="11"/>
        <rFont val="Calibri"/>
        <family val="2"/>
        <scheme val="minor"/>
      </rPr>
      <t xml:space="preserve"> - Sie berechnen Dreiecke und bestimmen das Gefälle von Entsorgungsleitungen.
 - Sie bestimmen die Rohrweiten von Trinkwasserleitungen.	
 - Sie berechnen den Druck unter Berücksichtigung der  Kompressibilität des Wassers. 
 - Sie interpretieren einfache Montage- und Einlegepläne.
 - Sie berechnen die Ausdehnung von Entsorgungsleitungen.
		</t>
    </r>
    <r>
      <rPr>
        <b/>
        <sz val="11"/>
        <rFont val="Calibri"/>
        <family val="2"/>
        <scheme val="minor"/>
      </rPr>
      <t xml:space="preserve">					
Abzugebende Leistungsnachweise:
</t>
    </r>
    <r>
      <rPr>
        <sz val="11"/>
        <rFont val="Calibri"/>
        <family val="2"/>
        <scheme val="minor"/>
      </rPr>
      <t xml:space="preserve">
- Stellungnahme «Projektarbeit PDF»</t>
    </r>
    <r>
      <rPr>
        <sz val="11"/>
        <color theme="1"/>
        <rFont val="Calibri"/>
        <family val="2"/>
        <scheme val="minor"/>
      </rPr>
      <t xml:space="preserve">
</t>
    </r>
  </si>
  <si>
    <r>
      <rPr>
        <b/>
        <sz val="11"/>
        <rFont val="Calibri"/>
        <family val="2"/>
        <scheme val="minor"/>
      </rPr>
      <t>Lernziele:</t>
    </r>
    <r>
      <rPr>
        <sz val="11"/>
        <rFont val="Calibri"/>
        <family val="2"/>
        <scheme val="minor"/>
      </rPr>
      <t xml:space="preserve">
Sie erläutern die Problematik der Ausdehnung von Entsorgungsleitungen.
- Sie bestimmen die Ausdehnung von Entsorgungsleitungen anhand von Montagebüchern.
- Sie unterscheiden Rohrbefestigungen für verschiedene Bauuntergründe.
- Sie bestimmen geeignete Leitungsbefestigungen mit Hilfe von 
Montagehandbüchern.
</t>
    </r>
    <r>
      <rPr>
        <b/>
        <sz val="11"/>
        <rFont val="Calibri"/>
        <family val="2"/>
        <scheme val="minor"/>
      </rPr>
      <t xml:space="preserve">
Abzugebende Leistungsnachweise:
</t>
    </r>
    <r>
      <rPr>
        <sz val="11"/>
        <rFont val="Calibri"/>
        <family val="2"/>
        <scheme val="minor"/>
      </rPr>
      <t xml:space="preserve">
- Leistungsnachweis «Ausdehnung &amp; Befestigungspunkte»
</t>
    </r>
    <r>
      <rPr>
        <sz val="11"/>
        <color theme="1"/>
        <rFont val="Calibri"/>
        <family val="2"/>
        <scheme val="minor"/>
      </rPr>
      <t xml:space="preserve">
</t>
    </r>
  </si>
  <si>
    <r>
      <rPr>
        <b/>
        <sz val="11"/>
        <rFont val="Calibri"/>
        <family val="2"/>
        <scheme val="minor"/>
      </rPr>
      <t>Lernziele:</t>
    </r>
    <r>
      <rPr>
        <sz val="11"/>
        <rFont val="Calibri"/>
        <family val="2"/>
        <scheme val="minor"/>
      </rPr>
      <t xml:space="preserve">
- Sie beschreiben die handelsüblichen Vorwandsysteme
- Sie erläutern die Befestigungstechnik und Schallschutzmassnahmen bei Vorwänden
- Sie beschreiben die Inhalte der aktuellen Vorschriften in Bezug auf die Installation von Entsorgungsleitungen.
</t>
    </r>
    <r>
      <rPr>
        <b/>
        <sz val="11"/>
        <rFont val="Calibri"/>
        <family val="2"/>
        <scheme val="minor"/>
      </rPr>
      <t xml:space="preserve">
Abzugebende Leistungsnachweise:
</t>
    </r>
    <r>
      <rPr>
        <sz val="11"/>
        <rFont val="Calibri"/>
        <family val="2"/>
        <scheme val="minor"/>
      </rPr>
      <t xml:space="preserve">
- Auftrag «Exkursion Geberit»</t>
    </r>
    <r>
      <rPr>
        <sz val="11"/>
        <color theme="1"/>
        <rFont val="Calibri"/>
        <family val="2"/>
        <scheme val="minor"/>
      </rPr>
      <t xml:space="preserve">
</t>
    </r>
  </si>
  <si>
    <t xml:space="preserve">* Leistungsnachweis zur Vertiefung </t>
  </si>
  <si>
    <r>
      <rPr>
        <b/>
        <sz val="11"/>
        <rFont val="Calibri"/>
        <family val="2"/>
        <scheme val="minor"/>
      </rPr>
      <t>Lernziele:</t>
    </r>
    <r>
      <rPr>
        <sz val="11"/>
        <rFont val="Calibri"/>
        <family val="2"/>
        <scheme val="minor"/>
      </rPr>
      <t xml:space="preserve">
- Sie unterscheiden die Systeme für Erdgasleitungen nach Material und Verwendungszweck.
- Sie benennen die Vorschriften für die Befestigung von Erdgasleitungen. Ja Nein
- Sie erklären den Zweck und die Funktion verschiedener Armaturen für Erdgasleitungen.
</t>
    </r>
    <r>
      <rPr>
        <b/>
        <sz val="11"/>
        <rFont val="Calibri"/>
        <family val="2"/>
        <scheme val="minor"/>
      </rPr>
      <t xml:space="preserve">
Abzugebende Leistungsnachweise:
</t>
    </r>
    <r>
      <rPr>
        <sz val="11"/>
        <rFont val="Calibri"/>
        <family val="2"/>
        <scheme val="minor"/>
      </rPr>
      <t xml:space="preserve">
- Leistungsnachweis «Präsentation &amp; Handout»
- Leistungsnachweis «Installation von Erdgasleitungen"
</t>
    </r>
    <r>
      <rPr>
        <sz val="11"/>
        <color theme="1"/>
        <rFont val="Calibri"/>
        <family val="2"/>
        <scheme val="minor"/>
      </rPr>
      <t xml:space="preserve">
</t>
    </r>
  </si>
  <si>
    <t>Exkursion Erdgas</t>
  </si>
  <si>
    <t>1 - 5 Lektion</t>
  </si>
  <si>
    <t>09.30 Uhr Pause</t>
  </si>
  <si>
    <t>09.50 Besammlung beim Brunnen</t>
  </si>
  <si>
    <t>* Wanderung zur Einstigegsstelle "Stollen"</t>
  </si>
  <si>
    <t>10.15 Einstieg &amp; Besichtigung Verteilstation</t>
  </si>
  <si>
    <t>* Kurze Wanderung durch den Stollen. (Kleider!)</t>
  </si>
  <si>
    <t>10.45 Besichtigung Leitwarte / Stadwerke</t>
  </si>
  <si>
    <t>* Sie erklären die Erdgasgewinnung</t>
  </si>
  <si>
    <t>* Sie beschreiben die Funktionsweise der Erdgasversorgung. (K2)</t>
  </si>
  <si>
    <t>Hinweise zur Erstellung verschiedener Medien in einem Projekt</t>
  </si>
  <si>
    <t>Einstieg &amp; Vorbereitung Projektarbeit</t>
  </si>
  <si>
    <t>Leistungsnachweis</t>
  </si>
  <si>
    <t>* Gruppeneinteilung / max 2-3 Personen</t>
  </si>
  <si>
    <t xml:space="preserve">Exkursion </t>
  </si>
  <si>
    <t>* Film "Sanierung bestehende Heizung"</t>
  </si>
  <si>
    <t>* Voraussetzungen für dieVerbrennung von Erdgas kennen</t>
  </si>
  <si>
    <t>Nach Kurzpause Wechsel in AVOR</t>
  </si>
  <si>
    <t>* Eintieg mit Aufgabe zur Berechnung von Gefälle</t>
  </si>
  <si>
    <t>* Aufgabe 6.5 Bodenklosett lösen (evtl. als Hausaufgabe)</t>
  </si>
  <si>
    <t xml:space="preserve">* Aufgabe 6.8 </t>
  </si>
  <si>
    <t>Achsverschiebung</t>
  </si>
  <si>
    <t>* Spezialfälle anhand von Aufgabe in Auftrag</t>
  </si>
  <si>
    <t>Die Zeugnisnote setzt sich aus den Leistungsnachweisen und Kompetenzprüfungen zusammen. Die Note aus den Leistungsnachweisen zählt zu ca. 30% an die Zeugnisnote. Alle Noten der Prüfungen zählen zu ca. 60% an die Zeugnisnote.</t>
  </si>
  <si>
    <t>Leistungsnachweise</t>
  </si>
  <si>
    <t xml:space="preserve">Die Note der Leistungsnachweise entsteht aus den während des Semestes erzielten Punkten. </t>
  </si>
  <si>
    <t>Planen der Arbeiten</t>
  </si>
  <si>
    <t xml:space="preserve">Total Punkte </t>
  </si>
  <si>
    <t>Montieren von Sanitäranlagen</t>
  </si>
  <si>
    <t>Mont. von Sanitäranlagen</t>
  </si>
  <si>
    <t>* Quizacademy / Themeblock 1</t>
  </si>
  <si>
    <t>* Quizacademy / Themeblock 2</t>
  </si>
  <si>
    <t>* Einstieg mit Quizacademy "Fallleitungen"</t>
  </si>
  <si>
    <t>* Einstieg in die Theorie Regeln der Montage / Bis Aufg.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</si>
</sst>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0" x14ac:knownFonts="1">
    <font>
      <sz val="11"/>
      <color theme="1"/>
      <name val="Calibri"/>
      <family val="2"/>
      <scheme val="minor"/>
    </font>
    <font>
      <sz val="10"/>
      <color theme="1"/>
      <name val="Century Gothic"/>
      <family val="2"/>
    </font>
    <font>
      <sz val="11"/>
      <color theme="1"/>
      <name val="Century Gothic"/>
      <family val="2"/>
    </font>
    <font>
      <sz val="24"/>
      <color theme="1"/>
      <name val="Century Gothic"/>
      <family val="2"/>
    </font>
    <font>
      <b/>
      <sz val="14"/>
      <color theme="1"/>
      <name val="Century Gothic"/>
      <family val="2"/>
    </font>
    <font>
      <sz val="8"/>
      <color theme="1"/>
      <name val="Century Gothic"/>
      <family val="2"/>
    </font>
    <font>
      <b/>
      <sz val="11"/>
      <color theme="1"/>
      <name val="Century Gothic"/>
      <family val="2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entury Gothic"/>
      <family val="2"/>
    </font>
    <font>
      <b/>
      <sz val="10"/>
      <color theme="1"/>
      <name val="Calibri"/>
      <family val="2"/>
      <scheme val="minor"/>
    </font>
    <font>
      <sz val="12"/>
      <color theme="1"/>
      <name val="Century Gothic"/>
      <family val="2"/>
    </font>
    <font>
      <b/>
      <sz val="18"/>
      <color theme="1"/>
      <name val="Century Gothic"/>
      <family val="2"/>
    </font>
    <font>
      <b/>
      <sz val="12"/>
      <color theme="1"/>
      <name val="Century Gothic"/>
      <family val="2"/>
    </font>
    <font>
      <sz val="9"/>
      <color theme="1"/>
      <name val="Century Gothic"/>
      <family val="2"/>
    </font>
    <font>
      <b/>
      <sz val="10"/>
      <name val="Century Gothic"/>
      <family val="2"/>
    </font>
    <font>
      <sz val="8"/>
      <color theme="1" tint="0.499984740745262"/>
      <name val="Century Gothic"/>
      <family val="2"/>
    </font>
    <font>
      <sz val="8"/>
      <color theme="1" tint="0.499984740745262"/>
      <name val="Calibri"/>
      <family val="2"/>
      <scheme val="minor"/>
    </font>
    <font>
      <sz val="6.5"/>
      <color theme="1"/>
      <name val="Century Gothic"/>
      <family val="2"/>
    </font>
    <font>
      <sz val="6.5"/>
      <color theme="1"/>
      <name val="Calibri"/>
      <family val="2"/>
      <scheme val="minor"/>
    </font>
    <font>
      <i/>
      <sz val="11"/>
      <color theme="1"/>
      <name val="Century Gothic"/>
      <family val="2"/>
    </font>
    <font>
      <b/>
      <sz val="8"/>
      <color theme="1"/>
      <name val="Century Gothic"/>
      <family val="2"/>
    </font>
    <font>
      <sz val="8"/>
      <name val="Calibri"/>
      <family val="2"/>
      <scheme val="minor"/>
    </font>
    <font>
      <i/>
      <sz val="10"/>
      <color theme="0" tint="-0.34998626667073579"/>
      <name val="Century Gothic"/>
      <family val="2"/>
    </font>
    <font>
      <sz val="10"/>
      <name val="Century Gothic"/>
      <family val="2"/>
    </font>
    <font>
      <i/>
      <sz val="8"/>
      <color theme="1" tint="0.499984740745262"/>
      <name val="Century Gothic"/>
      <family val="2"/>
    </font>
    <font>
      <i/>
      <sz val="8"/>
      <color theme="0" tint="-0.499984740745262"/>
      <name val="Century Gothic"/>
      <family val="2"/>
    </font>
    <font>
      <b/>
      <sz val="8"/>
      <color theme="1"/>
      <name val="Calibri"/>
      <family val="2"/>
      <scheme val="minor"/>
    </font>
    <font>
      <b/>
      <sz val="9"/>
      <color theme="1"/>
      <name val="Century Gothic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8"/>
      <color theme="1"/>
      <name val="Century Gothic"/>
      <family val="2"/>
    </font>
    <font>
      <u/>
      <sz val="9"/>
      <color theme="0" tint="-0.34998626667073579"/>
      <name val="Century Gothic"/>
      <family val="2"/>
    </font>
    <font>
      <sz val="18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8"/>
      <color theme="1"/>
      <name val="Century Gothic"/>
      <family val="2"/>
    </font>
    <font>
      <i/>
      <sz val="18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name val="Century Gothic"/>
      <family val="2"/>
    </font>
    <font>
      <b/>
      <sz val="11"/>
      <name val="Calibri"/>
      <family val="2"/>
      <scheme val="minor"/>
    </font>
    <font>
      <sz val="9"/>
      <color theme="1"/>
      <name val="Arial"/>
      <family val="2"/>
    </font>
    <font>
      <sz val="11"/>
      <color theme="1"/>
      <name val="Arial"/>
      <family val="2"/>
    </font>
    <font>
      <sz val="9"/>
      <color theme="1"/>
      <name val="Calibri"/>
      <family val="2"/>
      <scheme val="minor"/>
    </font>
    <font>
      <i/>
      <sz val="9"/>
      <color theme="1"/>
      <name val="Century Gothic"/>
      <family val="2"/>
    </font>
    <font>
      <i/>
      <sz val="9"/>
      <color rgb="FFFF0000"/>
      <name val="Calibri"/>
      <family val="2"/>
      <scheme val="minor"/>
    </font>
    <font>
      <sz val="9"/>
      <color rgb="FFFF0000"/>
      <name val="Century Gothic"/>
      <family val="2"/>
    </font>
    <font>
      <b/>
      <sz val="9"/>
      <color rgb="FFFF0000"/>
      <name val="Century Gothic"/>
      <family val="2"/>
    </font>
    <font>
      <b/>
      <sz val="9"/>
      <color theme="6" tint="-0.499984740745262"/>
      <name val="Century Gothic"/>
      <family val="2"/>
    </font>
    <font>
      <i/>
      <sz val="9"/>
      <color rgb="FFFF0000"/>
      <name val="Century Gothic"/>
      <family val="2"/>
    </font>
    <font>
      <i/>
      <sz val="11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39997558519241921"/>
        <bgColor indexed="64"/>
      </patternFill>
    </fill>
  </fills>
  <borders count="5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450">
    <xf numFmtId="0" fontId="0" fillId="0" borderId="0" xfId="0"/>
    <xf numFmtId="0" fontId="2" fillId="0" borderId="0" xfId="0" applyFont="1"/>
    <xf numFmtId="0" fontId="6" fillId="0" borderId="0" xfId="0" applyFont="1"/>
    <xf numFmtId="0" fontId="9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7" fillId="0" borderId="0" xfId="0" applyFont="1"/>
    <xf numFmtId="0" fontId="1" fillId="0" borderId="0" xfId="0" applyFont="1" applyAlignment="1">
      <alignment vertical="center"/>
    </xf>
    <xf numFmtId="0" fontId="1" fillId="0" borderId="0" xfId="0" applyFont="1"/>
    <xf numFmtId="0" fontId="18" fillId="0" borderId="0" xfId="0" applyFont="1"/>
    <xf numFmtId="0" fontId="18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14" fillId="0" borderId="0" xfId="0" applyFont="1" applyAlignment="1">
      <alignment horizontal="left"/>
    </xf>
    <xf numFmtId="0" fontId="15" fillId="3" borderId="1" xfId="0" applyFont="1" applyFill="1" applyBorder="1" applyAlignment="1">
      <alignment horizontal="left" vertical="center"/>
    </xf>
    <xf numFmtId="0" fontId="24" fillId="3" borderId="3" xfId="0" applyFont="1" applyFill="1" applyBorder="1" applyAlignment="1">
      <alignment horizontal="left" vertical="center"/>
    </xf>
    <xf numFmtId="0" fontId="24" fillId="3" borderId="3" xfId="0" applyFont="1" applyFill="1" applyBorder="1" applyAlignment="1">
      <alignment horizontal="center" vertical="center"/>
    </xf>
    <xf numFmtId="0" fontId="24" fillId="3" borderId="2" xfId="0" applyFont="1" applyFill="1" applyBorder="1"/>
    <xf numFmtId="14" fontId="21" fillId="3" borderId="27" xfId="0" applyNumberFormat="1" applyFont="1" applyFill="1" applyBorder="1" applyAlignment="1">
      <alignment horizontal="center" vertical="center"/>
    </xf>
    <xf numFmtId="0" fontId="21" fillId="3" borderId="24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/>
    </xf>
    <xf numFmtId="0" fontId="2" fillId="4" borderId="3" xfId="0" applyFont="1" applyFill="1" applyBorder="1"/>
    <xf numFmtId="0" fontId="6" fillId="4" borderId="3" xfId="0" applyFont="1" applyFill="1" applyBorder="1" applyAlignment="1">
      <alignment horizontal="center" vertical="center"/>
    </xf>
    <xf numFmtId="14" fontId="20" fillId="4" borderId="3" xfId="0" applyNumberFormat="1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center" vertical="center"/>
    </xf>
    <xf numFmtId="0" fontId="4" fillId="4" borderId="2" xfId="0" applyFont="1" applyFill="1" applyBorder="1" applyAlignment="1" applyProtection="1">
      <alignment horizontal="center" vertical="center"/>
      <protection locked="0" hidden="1"/>
    </xf>
    <xf numFmtId="0" fontId="14" fillId="4" borderId="1" xfId="0" applyFont="1" applyFill="1" applyBorder="1" applyAlignment="1">
      <alignment horizontal="left" vertical="center"/>
    </xf>
    <xf numFmtId="0" fontId="14" fillId="4" borderId="3" xfId="0" applyFont="1" applyFill="1" applyBorder="1" applyAlignment="1">
      <alignment vertical="center"/>
    </xf>
    <xf numFmtId="0" fontId="14" fillId="4" borderId="3" xfId="0" applyFont="1" applyFill="1" applyBorder="1" applyAlignment="1">
      <alignment horizontal="left" vertical="center"/>
    </xf>
    <xf numFmtId="0" fontId="14" fillId="4" borderId="3" xfId="0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vertical="center"/>
    </xf>
    <xf numFmtId="0" fontId="0" fillId="0" borderId="0" xfId="0" applyAlignment="1">
      <alignment horizontal="left"/>
    </xf>
    <xf numFmtId="0" fontId="9" fillId="0" borderId="0" xfId="0" applyFont="1" applyAlignment="1">
      <alignment horizontal="center"/>
    </xf>
    <xf numFmtId="14" fontId="21" fillId="3" borderId="1" xfId="0" applyNumberFormat="1" applyFont="1" applyFill="1" applyBorder="1" applyAlignment="1">
      <alignment horizontal="center"/>
    </xf>
    <xf numFmtId="0" fontId="14" fillId="3" borderId="41" xfId="0" applyFont="1" applyFill="1" applyBorder="1"/>
    <xf numFmtId="0" fontId="14" fillId="3" borderId="3" xfId="0" applyFont="1" applyFill="1" applyBorder="1"/>
    <xf numFmtId="0" fontId="14" fillId="3" borderId="2" xfId="0" applyFont="1" applyFill="1" applyBorder="1"/>
    <xf numFmtId="14" fontId="21" fillId="3" borderId="16" xfId="0" applyNumberFormat="1" applyFont="1" applyFill="1" applyBorder="1" applyAlignment="1">
      <alignment horizontal="center" vertical="center"/>
    </xf>
    <xf numFmtId="0" fontId="21" fillId="3" borderId="17" xfId="0" applyFont="1" applyFill="1" applyBorder="1" applyAlignment="1">
      <alignment horizontal="center" vertical="center"/>
    </xf>
    <xf numFmtId="0" fontId="0" fillId="0" borderId="36" xfId="0" applyBorder="1"/>
    <xf numFmtId="0" fontId="32" fillId="0" borderId="22" xfId="1" applyFont="1" applyBorder="1"/>
    <xf numFmtId="0" fontId="14" fillId="0" borderId="22" xfId="0" applyFont="1" applyBorder="1"/>
    <xf numFmtId="0" fontId="14" fillId="0" borderId="31" xfId="0" applyFont="1" applyBorder="1"/>
    <xf numFmtId="0" fontId="28" fillId="0" borderId="31" xfId="0" applyFont="1" applyBorder="1" applyAlignment="1">
      <alignment horizontal="center"/>
    </xf>
    <xf numFmtId="0" fontId="28" fillId="0" borderId="37" xfId="0" applyFont="1" applyBorder="1"/>
    <xf numFmtId="0" fontId="14" fillId="0" borderId="0" xfId="0" applyFont="1"/>
    <xf numFmtId="0" fontId="0" fillId="0" borderId="32" xfId="0" applyBorder="1"/>
    <xf numFmtId="0" fontId="14" fillId="0" borderId="37" xfId="0" applyFont="1" applyBorder="1"/>
    <xf numFmtId="0" fontId="14" fillId="0" borderId="32" xfId="0" applyFont="1" applyBorder="1"/>
    <xf numFmtId="0" fontId="30" fillId="0" borderId="32" xfId="0" applyFont="1" applyBorder="1"/>
    <xf numFmtId="0" fontId="34" fillId="0" borderId="32" xfId="0" applyFont="1" applyBorder="1"/>
    <xf numFmtId="0" fontId="14" fillId="0" borderId="36" xfId="0" applyFont="1" applyBorder="1"/>
    <xf numFmtId="0" fontId="14" fillId="0" borderId="43" xfId="0" applyFont="1" applyBorder="1"/>
    <xf numFmtId="0" fontId="0" fillId="0" borderId="21" xfId="0" applyBorder="1"/>
    <xf numFmtId="0" fontId="0" fillId="0" borderId="44" xfId="0" applyBorder="1"/>
    <xf numFmtId="0" fontId="37" fillId="0" borderId="0" xfId="0" applyFont="1"/>
    <xf numFmtId="0" fontId="28" fillId="0" borderId="36" xfId="0" applyFont="1" applyBorder="1"/>
    <xf numFmtId="0" fontId="0" fillId="0" borderId="22" xfId="0" applyBorder="1"/>
    <xf numFmtId="0" fontId="0" fillId="0" borderId="31" xfId="0" applyBorder="1"/>
    <xf numFmtId="0" fontId="0" fillId="0" borderId="37" xfId="0" applyBorder="1"/>
    <xf numFmtId="0" fontId="0" fillId="0" borderId="43" xfId="0" applyBorder="1"/>
    <xf numFmtId="0" fontId="38" fillId="0" borderId="32" xfId="0" applyFont="1" applyBorder="1" applyAlignment="1">
      <alignment horizontal="center"/>
    </xf>
    <xf numFmtId="0" fontId="0" fillId="0" borderId="0" xfId="0" applyAlignment="1">
      <alignment horizontal="left" vertical="top"/>
    </xf>
    <xf numFmtId="0" fontId="6" fillId="4" borderId="42" xfId="0" applyFont="1" applyFill="1" applyBorder="1" applyAlignment="1">
      <alignment horizontal="left" vertical="center"/>
    </xf>
    <xf numFmtId="0" fontId="6" fillId="0" borderId="30" xfId="0" applyFont="1" applyBorder="1" applyAlignment="1">
      <alignment horizontal="left" vertical="center"/>
    </xf>
    <xf numFmtId="0" fontId="6" fillId="4" borderId="30" xfId="0" applyFont="1" applyFill="1" applyBorder="1" applyAlignment="1">
      <alignment horizontal="left" vertical="center"/>
    </xf>
    <xf numFmtId="14" fontId="2" fillId="0" borderId="46" xfId="0" applyNumberFormat="1" applyFont="1" applyBorder="1" applyAlignment="1">
      <alignment horizontal="left"/>
    </xf>
    <xf numFmtId="14" fontId="2" fillId="0" borderId="45" xfId="0" applyNumberFormat="1" applyFont="1" applyBorder="1" applyAlignment="1">
      <alignment horizontal="left"/>
    </xf>
    <xf numFmtId="0" fontId="40" fillId="0" borderId="0" xfId="0" applyFont="1"/>
    <xf numFmtId="0" fontId="30" fillId="0" borderId="0" xfId="0" applyFont="1"/>
    <xf numFmtId="0" fontId="34" fillId="0" borderId="0" xfId="0" applyFont="1"/>
    <xf numFmtId="0" fontId="0" fillId="0" borderId="32" xfId="0" applyBorder="1" applyAlignment="1">
      <alignment horizontal="center"/>
    </xf>
    <xf numFmtId="0" fontId="0" fillId="0" borderId="46" xfId="0" applyBorder="1"/>
    <xf numFmtId="0" fontId="0" fillId="0" borderId="45" xfId="0" applyBorder="1"/>
    <xf numFmtId="0" fontId="1" fillId="0" borderId="21" xfId="0" applyFont="1" applyBorder="1"/>
    <xf numFmtId="0" fontId="28" fillId="0" borderId="42" xfId="0" applyFont="1" applyBorder="1" applyAlignment="1">
      <alignment horizontal="center"/>
    </xf>
    <xf numFmtId="0" fontId="14" fillId="0" borderId="46" xfId="0" applyFont="1" applyBorder="1"/>
    <xf numFmtId="0" fontId="41" fillId="0" borderId="0" xfId="0" applyFont="1"/>
    <xf numFmtId="0" fontId="38" fillId="0" borderId="46" xfId="0" applyFont="1" applyBorder="1" applyAlignment="1">
      <alignment horizontal="center"/>
    </xf>
    <xf numFmtId="0" fontId="14" fillId="7" borderId="48" xfId="0" applyFont="1" applyFill="1" applyBorder="1"/>
    <xf numFmtId="0" fontId="30" fillId="7" borderId="28" xfId="0" applyFont="1" applyFill="1" applyBorder="1"/>
    <xf numFmtId="0" fontId="15" fillId="0" borderId="32" xfId="0" applyFont="1" applyBorder="1" applyAlignment="1">
      <alignment horizontal="center"/>
    </xf>
    <xf numFmtId="0" fontId="42" fillId="0" borderId="0" xfId="0" applyFont="1"/>
    <xf numFmtId="0" fontId="43" fillId="0" borderId="0" xfId="0" applyFont="1"/>
    <xf numFmtId="0" fontId="44" fillId="0" borderId="37" xfId="0" applyFont="1" applyBorder="1"/>
    <xf numFmtId="0" fontId="30" fillId="0" borderId="22" xfId="0" applyFont="1" applyBorder="1"/>
    <xf numFmtId="0" fontId="15" fillId="0" borderId="31" xfId="0" applyFont="1" applyBorder="1" applyAlignment="1">
      <alignment horizontal="center"/>
    </xf>
    <xf numFmtId="0" fontId="0" fillId="0" borderId="0" xfId="0" applyAlignment="1">
      <alignment wrapText="1"/>
    </xf>
    <xf numFmtId="0" fontId="45" fillId="0" borderId="0" xfId="0" applyFont="1"/>
    <xf numFmtId="0" fontId="14" fillId="0" borderId="22" xfId="0" applyFont="1" applyBorder="1" applyAlignment="1">
      <alignment wrapText="1"/>
    </xf>
    <xf numFmtId="0" fontId="14" fillId="0" borderId="31" xfId="0" applyFont="1" applyBorder="1" applyAlignment="1">
      <alignment wrapText="1"/>
    </xf>
    <xf numFmtId="2" fontId="21" fillId="3" borderId="24" xfId="0" applyNumberFormat="1" applyFont="1" applyFill="1" applyBorder="1" applyAlignment="1">
      <alignment horizontal="center" vertical="center"/>
    </xf>
    <xf numFmtId="0" fontId="46" fillId="0" borderId="0" xfId="0" applyFont="1"/>
    <xf numFmtId="0" fontId="14" fillId="0" borderId="32" xfId="0" applyFont="1" applyBorder="1" applyAlignment="1">
      <alignment horizontal="center"/>
    </xf>
    <xf numFmtId="0" fontId="47" fillId="0" borderId="37" xfId="0" applyFont="1" applyBorder="1"/>
    <xf numFmtId="0" fontId="1" fillId="0" borderId="32" xfId="0" applyFont="1" applyBorder="1"/>
    <xf numFmtId="0" fontId="1" fillId="0" borderId="43" xfId="0" applyFont="1" applyBorder="1"/>
    <xf numFmtId="0" fontId="1" fillId="0" borderId="44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44" xfId="0" applyBorder="1" applyAlignment="1">
      <alignment horizontal="center"/>
    </xf>
    <xf numFmtId="0" fontId="14" fillId="0" borderId="21" xfId="0" applyFont="1" applyBorder="1"/>
    <xf numFmtId="0" fontId="8" fillId="0" borderId="0" xfId="1"/>
    <xf numFmtId="0" fontId="48" fillId="0" borderId="37" xfId="0" applyFont="1" applyBorder="1"/>
    <xf numFmtId="0" fontId="49" fillId="0" borderId="0" xfId="0" applyFont="1"/>
    <xf numFmtId="0" fontId="14" fillId="9" borderId="48" xfId="0" applyFont="1" applyFill="1" applyBorder="1"/>
    <xf numFmtId="0" fontId="30" fillId="9" borderId="28" xfId="0" applyFont="1" applyFill="1" applyBorder="1"/>
    <xf numFmtId="0" fontId="15" fillId="9" borderId="47" xfId="0" applyFont="1" applyFill="1" applyBorder="1" applyAlignment="1">
      <alignment horizontal="center"/>
    </xf>
    <xf numFmtId="14" fontId="14" fillId="0" borderId="0" xfId="0" applyNumberFormat="1" applyFont="1" applyAlignment="1">
      <alignment horizontal="left" vertical="center"/>
    </xf>
    <xf numFmtId="0" fontId="9" fillId="4" borderId="1" xfId="0" applyFont="1" applyFill="1" applyBorder="1" applyAlignment="1">
      <alignment vertical="center"/>
    </xf>
    <xf numFmtId="0" fontId="9" fillId="4" borderId="3" xfId="0" applyFont="1" applyFill="1" applyBorder="1" applyAlignment="1">
      <alignment vertical="center"/>
    </xf>
    <xf numFmtId="0" fontId="9" fillId="4" borderId="2" xfId="0" applyFont="1" applyFill="1" applyBorder="1" applyAlignment="1">
      <alignment vertical="center"/>
    </xf>
    <xf numFmtId="0" fontId="2" fillId="2" borderId="0" xfId="0" applyFont="1" applyFill="1"/>
    <xf numFmtId="0" fontId="5" fillId="2" borderId="20" xfId="0" applyFont="1" applyFill="1" applyBorder="1" applyAlignment="1">
      <alignment horizontal="left"/>
    </xf>
    <xf numFmtId="0" fontId="5" fillId="2" borderId="4" xfId="0" applyFont="1" applyFill="1" applyBorder="1" applyAlignment="1">
      <alignment horizontal="left"/>
    </xf>
    <xf numFmtId="0" fontId="21" fillId="2" borderId="5" xfId="0" applyFont="1" applyFill="1" applyBorder="1" applyAlignment="1">
      <alignment horizontal="left"/>
    </xf>
    <xf numFmtId="0" fontId="5" fillId="9" borderId="20" xfId="0" applyFont="1" applyFill="1" applyBorder="1" applyAlignment="1">
      <alignment horizontal="left"/>
    </xf>
    <xf numFmtId="0" fontId="5" fillId="9" borderId="4" xfId="0" applyFont="1" applyFill="1" applyBorder="1" applyAlignment="1">
      <alignment horizontal="left"/>
    </xf>
    <xf numFmtId="0" fontId="5" fillId="9" borderId="13" xfId="0" applyFont="1" applyFill="1" applyBorder="1" applyAlignment="1">
      <alignment horizontal="left"/>
    </xf>
    <xf numFmtId="0" fontId="21" fillId="9" borderId="5" xfId="0" applyFont="1" applyFill="1" applyBorder="1" applyAlignment="1">
      <alignment horizontal="left"/>
    </xf>
    <xf numFmtId="0" fontId="24" fillId="7" borderId="47" xfId="0" applyFont="1" applyFill="1" applyBorder="1" applyAlignment="1">
      <alignment horizontal="center"/>
    </xf>
    <xf numFmtId="0" fontId="31" fillId="2" borderId="36" xfId="0" applyFont="1" applyFill="1" applyBorder="1" applyAlignment="1">
      <alignment horizontal="center" vertical="center" textRotation="90"/>
    </xf>
    <xf numFmtId="0" fontId="33" fillId="2" borderId="37" xfId="0" applyFont="1" applyFill="1" applyBorder="1" applyAlignment="1">
      <alignment horizontal="center" vertical="center" textRotation="90"/>
    </xf>
    <xf numFmtId="0" fontId="33" fillId="2" borderId="37" xfId="0" applyFont="1" applyFill="1" applyBorder="1"/>
    <xf numFmtId="0" fontId="0" fillId="2" borderId="37" xfId="0" applyFill="1" applyBorder="1"/>
    <xf numFmtId="0" fontId="28" fillId="4" borderId="48" xfId="0" applyFont="1" applyFill="1" applyBorder="1"/>
    <xf numFmtId="0" fontId="28" fillId="4" borderId="28" xfId="0" applyFont="1" applyFill="1" applyBorder="1"/>
    <xf numFmtId="0" fontId="28" fillId="4" borderId="47" xfId="0" applyFont="1" applyFill="1" applyBorder="1"/>
    <xf numFmtId="0" fontId="35" fillId="4" borderId="36" xfId="0" applyFont="1" applyFill="1" applyBorder="1" applyAlignment="1">
      <alignment horizontal="center" vertical="center"/>
    </xf>
    <xf numFmtId="0" fontId="36" fillId="4" borderId="0" xfId="0" applyFont="1" applyFill="1" applyAlignment="1">
      <alignment horizontal="center"/>
    </xf>
    <xf numFmtId="0" fontId="36" fillId="4" borderId="32" xfId="0" applyFont="1" applyFill="1" applyBorder="1" applyAlignment="1">
      <alignment horizontal="center"/>
    </xf>
    <xf numFmtId="0" fontId="36" fillId="4" borderId="43" xfId="0" applyFont="1" applyFill="1" applyBorder="1" applyAlignment="1">
      <alignment horizontal="center"/>
    </xf>
    <xf numFmtId="0" fontId="36" fillId="4" borderId="21" xfId="0" applyFont="1" applyFill="1" applyBorder="1" applyAlignment="1">
      <alignment horizontal="center"/>
    </xf>
    <xf numFmtId="0" fontId="36" fillId="4" borderId="44" xfId="0" applyFont="1" applyFill="1" applyBorder="1" applyAlignment="1">
      <alignment horizontal="center"/>
    </xf>
    <xf numFmtId="0" fontId="31" fillId="4" borderId="36" xfId="0" applyFont="1" applyFill="1" applyBorder="1" applyAlignment="1">
      <alignment horizontal="left" vertical="center"/>
    </xf>
    <xf numFmtId="0" fontId="31" fillId="4" borderId="22" xfId="0" applyFont="1" applyFill="1" applyBorder="1" applyAlignment="1">
      <alignment horizontal="left" vertical="center"/>
    </xf>
    <xf numFmtId="0" fontId="31" fillId="4" borderId="43" xfId="0" applyFont="1" applyFill="1" applyBorder="1" applyAlignment="1">
      <alignment horizontal="left" vertical="center"/>
    </xf>
    <xf numFmtId="0" fontId="31" fillId="4" borderId="21" xfId="0" applyFont="1" applyFill="1" applyBorder="1" applyAlignment="1">
      <alignment horizontal="left" vertical="center"/>
    </xf>
    <xf numFmtId="14" fontId="31" fillId="4" borderId="36" xfId="0" applyNumberFormat="1" applyFont="1" applyFill="1" applyBorder="1" applyAlignment="1">
      <alignment horizontal="center" vertical="center"/>
    </xf>
    <xf numFmtId="0" fontId="31" fillId="4" borderId="31" xfId="0" applyFont="1" applyFill="1" applyBorder="1" applyAlignment="1">
      <alignment horizontal="center" vertical="center"/>
    </xf>
    <xf numFmtId="0" fontId="31" fillId="4" borderId="43" xfId="0" applyFont="1" applyFill="1" applyBorder="1" applyAlignment="1">
      <alignment horizontal="center" vertical="center"/>
    </xf>
    <xf numFmtId="0" fontId="31" fillId="4" borderId="44" xfId="0" applyFont="1" applyFill="1" applyBorder="1" applyAlignment="1">
      <alignment horizontal="center" vertical="center"/>
    </xf>
    <xf numFmtId="0" fontId="12" fillId="4" borderId="42" xfId="0" applyFont="1" applyFill="1" applyBorder="1" applyAlignment="1">
      <alignment horizontal="center" vertical="center"/>
    </xf>
    <xf numFmtId="0" fontId="12" fillId="4" borderId="45" xfId="0" applyFont="1" applyFill="1" applyBorder="1" applyAlignment="1">
      <alignment horizontal="center" vertical="center"/>
    </xf>
    <xf numFmtId="0" fontId="12" fillId="2" borderId="36" xfId="0" applyFont="1" applyFill="1" applyBorder="1" applyAlignment="1">
      <alignment horizontal="left" vertical="center"/>
    </xf>
    <xf numFmtId="0" fontId="0" fillId="2" borderId="22" xfId="0" applyFill="1" applyBorder="1" applyAlignment="1">
      <alignment horizontal="left" vertical="center"/>
    </xf>
    <xf numFmtId="0" fontId="0" fillId="2" borderId="43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31" fillId="2" borderId="42" xfId="0" applyFont="1" applyFill="1" applyBorder="1" applyAlignment="1">
      <alignment horizontal="center" vertical="center"/>
    </xf>
    <xf numFmtId="0" fontId="31" fillId="2" borderId="46" xfId="0" applyFont="1" applyFill="1" applyBorder="1" applyAlignment="1">
      <alignment horizontal="center" vertical="center"/>
    </xf>
    <xf numFmtId="0" fontId="28" fillId="2" borderId="42" xfId="0" applyFont="1" applyFill="1" applyBorder="1" applyAlignment="1">
      <alignment horizontal="center" vertical="center"/>
    </xf>
    <xf numFmtId="0" fontId="28" fillId="2" borderId="45" xfId="0" applyFont="1" applyFill="1" applyBorder="1" applyAlignment="1">
      <alignment horizontal="center" vertical="center"/>
    </xf>
    <xf numFmtId="0" fontId="14" fillId="0" borderId="37" xfId="0" applyFont="1" applyBorder="1" applyAlignment="1">
      <alignment horizontal="left"/>
    </xf>
    <xf numFmtId="0" fontId="0" fillId="0" borderId="0" xfId="0" applyAlignment="1">
      <alignment horizontal="left"/>
    </xf>
    <xf numFmtId="0" fontId="0" fillId="0" borderId="32" xfId="0" applyBorder="1" applyAlignment="1">
      <alignment horizontal="left"/>
    </xf>
    <xf numFmtId="0" fontId="31" fillId="4" borderId="36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33" fillId="2" borderId="46" xfId="0" applyFont="1" applyFill="1" applyBorder="1" applyAlignment="1">
      <alignment horizontal="center" vertical="center" textRotation="90"/>
    </xf>
    <xf numFmtId="0" fontId="0" fillId="2" borderId="46" xfId="0" applyFill="1" applyBorder="1"/>
    <xf numFmtId="0" fontId="0" fillId="2" borderId="45" xfId="0" applyFill="1" applyBorder="1"/>
    <xf numFmtId="0" fontId="14" fillId="5" borderId="48" xfId="0" applyFont="1" applyFill="1" applyBorder="1" applyAlignment="1">
      <alignment horizontal="center"/>
    </xf>
    <xf numFmtId="0" fontId="0" fillId="5" borderId="28" xfId="0" applyFill="1" applyBorder="1" applyAlignment="1">
      <alignment horizontal="center"/>
    </xf>
    <xf numFmtId="0" fontId="0" fillId="5" borderId="47" xfId="0" applyFill="1" applyBorder="1" applyAlignment="1">
      <alignment horizontal="center"/>
    </xf>
    <xf numFmtId="0" fontId="28" fillId="4" borderId="36" xfId="0" applyFont="1" applyFill="1" applyBorder="1"/>
    <xf numFmtId="0" fontId="28" fillId="4" borderId="22" xfId="0" applyFont="1" applyFill="1" applyBorder="1"/>
    <xf numFmtId="0" fontId="14" fillId="0" borderId="36" xfId="0" applyFont="1" applyBorder="1" applyAlignment="1">
      <alignment wrapText="1"/>
    </xf>
    <xf numFmtId="0" fontId="0" fillId="0" borderId="22" xfId="0" applyBorder="1"/>
    <xf numFmtId="0" fontId="0" fillId="0" borderId="31" xfId="0" applyBorder="1"/>
    <xf numFmtId="0" fontId="18" fillId="9" borderId="20" xfId="0" applyFont="1" applyFill="1" applyBorder="1" applyAlignment="1">
      <alignment horizontal="center" vertical="center" wrapText="1"/>
    </xf>
    <xf numFmtId="0" fontId="0" fillId="9" borderId="23" xfId="0" applyFill="1" applyBorder="1" applyAlignment="1">
      <alignment horizontal="center" vertical="center" wrapText="1"/>
    </xf>
    <xf numFmtId="0" fontId="0" fillId="9" borderId="4" xfId="0" applyFill="1" applyBorder="1" applyAlignment="1">
      <alignment horizontal="center" vertical="center" wrapText="1"/>
    </xf>
    <xf numFmtId="0" fontId="0" fillId="9" borderId="10" xfId="0" applyFill="1" applyBorder="1" applyAlignment="1">
      <alignment horizontal="center" vertical="center" wrapText="1"/>
    </xf>
    <xf numFmtId="0" fontId="0" fillId="9" borderId="5" xfId="0" applyFill="1" applyBorder="1" applyAlignment="1">
      <alignment horizontal="center" vertical="center" wrapText="1"/>
    </xf>
    <xf numFmtId="0" fontId="0" fillId="9" borderId="11" xfId="0" applyFill="1" applyBorder="1" applyAlignment="1">
      <alignment horizontal="center" vertical="center" wrapText="1"/>
    </xf>
    <xf numFmtId="0" fontId="5" fillId="3" borderId="8" xfId="0" applyFont="1" applyFill="1" applyBorder="1"/>
    <xf numFmtId="0" fontId="5" fillId="3" borderId="12" xfId="0" applyFont="1" applyFill="1" applyBorder="1"/>
    <xf numFmtId="0" fontId="5" fillId="3" borderId="6" xfId="0" applyFont="1" applyFill="1" applyBorder="1"/>
    <xf numFmtId="0" fontId="5" fillId="3" borderId="11" xfId="0" applyFont="1" applyFill="1" applyBorder="1"/>
    <xf numFmtId="0" fontId="18" fillId="9" borderId="30" xfId="0" applyFont="1" applyFill="1" applyBorder="1" applyAlignment="1">
      <alignment horizontal="center" vertical="center" wrapText="1"/>
    </xf>
    <xf numFmtId="0" fontId="0" fillId="9" borderId="30" xfId="0" applyFill="1" applyBorder="1" applyAlignment="1">
      <alignment horizontal="center" vertical="center" wrapText="1"/>
    </xf>
    <xf numFmtId="0" fontId="0" fillId="9" borderId="40" xfId="0" applyFill="1" applyBorder="1" applyAlignment="1">
      <alignment horizontal="center" vertical="center" wrapText="1"/>
    </xf>
    <xf numFmtId="0" fontId="18" fillId="9" borderId="34" xfId="0" applyFont="1" applyFill="1" applyBorder="1" applyAlignment="1">
      <alignment horizontal="center" vertical="center" wrapText="1"/>
    </xf>
    <xf numFmtId="0" fontId="18" fillId="9" borderId="35" xfId="0" applyFont="1" applyFill="1" applyBorder="1" applyAlignment="1">
      <alignment horizontal="center" vertical="center" wrapText="1"/>
    </xf>
    <xf numFmtId="0" fontId="18" fillId="9" borderId="39" xfId="0" applyFont="1" applyFill="1" applyBorder="1" applyAlignment="1">
      <alignment horizontal="center" wrapText="1"/>
    </xf>
    <xf numFmtId="0" fontId="0" fillId="9" borderId="39" xfId="0" applyFill="1" applyBorder="1" applyAlignment="1">
      <alignment horizontal="center" wrapText="1"/>
    </xf>
    <xf numFmtId="0" fontId="18" fillId="9" borderId="39" xfId="0" applyFont="1" applyFill="1" applyBorder="1" applyAlignment="1">
      <alignment horizontal="center" vertical="center" wrapText="1"/>
    </xf>
    <xf numFmtId="0" fontId="0" fillId="9" borderId="39" xfId="0" applyFill="1" applyBorder="1" applyAlignment="1">
      <alignment horizontal="center" vertical="center" wrapText="1"/>
    </xf>
    <xf numFmtId="0" fontId="0" fillId="9" borderId="24" xfId="0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/>
    </xf>
    <xf numFmtId="0" fontId="0" fillId="2" borderId="10" xfId="0" applyFill="1" applyBorder="1" applyAlignment="1">
      <alignment horizontal="center"/>
    </xf>
    <xf numFmtId="0" fontId="5" fillId="9" borderId="22" xfId="0" applyFont="1" applyFill="1" applyBorder="1" applyAlignment="1">
      <alignment horizontal="center"/>
    </xf>
    <xf numFmtId="0" fontId="0" fillId="0" borderId="23" xfId="0" applyBorder="1" applyAlignment="1">
      <alignment horizontal="center"/>
    </xf>
    <xf numFmtId="0" fontId="15" fillId="9" borderId="49" xfId="0" applyFont="1" applyFill="1" applyBorder="1" applyAlignment="1">
      <alignment horizontal="left"/>
    </xf>
    <xf numFmtId="0" fontId="15" fillId="9" borderId="50" xfId="0" applyFont="1" applyFill="1" applyBorder="1" applyAlignment="1">
      <alignment horizontal="left"/>
    </xf>
    <xf numFmtId="0" fontId="0" fillId="9" borderId="51" xfId="0" applyFill="1" applyBorder="1" applyAlignment="1">
      <alignment horizontal="left"/>
    </xf>
    <xf numFmtId="0" fontId="15" fillId="2" borderId="7" xfId="0" applyFont="1" applyFill="1" applyBorder="1" applyAlignment="1">
      <alignment horizontal="center"/>
    </xf>
    <xf numFmtId="0" fontId="15" fillId="2" borderId="12" xfId="0" applyFont="1" applyFill="1" applyBorder="1" applyAlignment="1">
      <alignment horizontal="center"/>
    </xf>
    <xf numFmtId="0" fontId="26" fillId="2" borderId="4" xfId="0" applyFont="1" applyFill="1" applyBorder="1" applyAlignment="1">
      <alignment horizontal="center"/>
    </xf>
    <xf numFmtId="0" fontId="26" fillId="2" borderId="10" xfId="0" applyFont="1" applyFill="1" applyBorder="1" applyAlignment="1">
      <alignment horizontal="center"/>
    </xf>
    <xf numFmtId="0" fontId="18" fillId="2" borderId="39" xfId="0" applyFont="1" applyFill="1" applyBorder="1" applyAlignment="1">
      <alignment horizontal="center" wrapText="1"/>
    </xf>
    <xf numFmtId="0" fontId="0" fillId="2" borderId="39" xfId="0" applyFill="1" applyBorder="1" applyAlignment="1">
      <alignment horizontal="center" wrapText="1"/>
    </xf>
    <xf numFmtId="0" fontId="18" fillId="2" borderId="34" xfId="0" applyFont="1" applyFill="1" applyBorder="1" applyAlignment="1">
      <alignment horizontal="center" vertical="center" wrapText="1"/>
    </xf>
    <xf numFmtId="0" fontId="0" fillId="2" borderId="34" xfId="0" applyFill="1" applyBorder="1" applyAlignment="1">
      <alignment horizontal="center" vertical="center" wrapText="1"/>
    </xf>
    <xf numFmtId="0" fontId="18" fillId="2" borderId="39" xfId="0" applyFont="1" applyFill="1" applyBorder="1" applyAlignment="1">
      <alignment horizontal="center" vertical="center" wrapText="1"/>
    </xf>
    <xf numFmtId="0" fontId="0" fillId="2" borderId="39" xfId="0" applyFill="1" applyBorder="1" applyAlignment="1">
      <alignment horizontal="center" vertical="center" wrapText="1"/>
    </xf>
    <xf numFmtId="0" fontId="0" fillId="2" borderId="24" xfId="0" applyFill="1" applyBorder="1" applyAlignment="1">
      <alignment horizontal="center" vertical="center" wrapText="1"/>
    </xf>
    <xf numFmtId="0" fontId="18" fillId="2" borderId="23" xfId="0" applyFont="1" applyFill="1" applyBorder="1" applyAlignment="1">
      <alignment horizontal="center" vertical="center" wrapText="1"/>
    </xf>
    <xf numFmtId="0" fontId="18" fillId="2" borderId="10" xfId="0" applyFont="1" applyFill="1" applyBorder="1" applyAlignment="1">
      <alignment horizontal="center" vertical="center"/>
    </xf>
    <xf numFmtId="0" fontId="18" fillId="2" borderId="11" xfId="0" applyFont="1" applyFill="1" applyBorder="1" applyAlignment="1">
      <alignment horizontal="center" vertical="center"/>
    </xf>
    <xf numFmtId="0" fontId="9" fillId="9" borderId="7" xfId="0" applyFont="1" applyFill="1" applyBorder="1" applyAlignment="1">
      <alignment horizontal="center"/>
    </xf>
    <xf numFmtId="0" fontId="9" fillId="9" borderId="12" xfId="0" applyFont="1" applyFill="1" applyBorder="1" applyAlignment="1">
      <alignment horizontal="center"/>
    </xf>
    <xf numFmtId="0" fontId="25" fillId="9" borderId="13" xfId="0" applyFont="1" applyFill="1" applyBorder="1" applyAlignment="1">
      <alignment horizontal="center" vertical="center"/>
    </xf>
    <xf numFmtId="0" fontId="25" fillId="9" borderId="14" xfId="0" applyFont="1" applyFill="1" applyBorder="1" applyAlignment="1">
      <alignment horizontal="center" vertical="center"/>
    </xf>
    <xf numFmtId="0" fontId="18" fillId="9" borderId="20" xfId="0" applyFont="1" applyFill="1" applyBorder="1" applyAlignment="1">
      <alignment horizontal="center" wrapText="1"/>
    </xf>
    <xf numFmtId="0" fontId="0" fillId="9" borderId="23" xfId="0" applyFill="1" applyBorder="1" applyAlignment="1">
      <alignment horizontal="center" wrapText="1"/>
    </xf>
    <xf numFmtId="0" fontId="0" fillId="9" borderId="4" xfId="0" applyFill="1" applyBorder="1" applyAlignment="1">
      <alignment horizontal="center" wrapText="1"/>
    </xf>
    <xf numFmtId="0" fontId="0" fillId="9" borderId="10" xfId="0" applyFill="1" applyBorder="1" applyAlignment="1">
      <alignment horizontal="center" wrapText="1"/>
    </xf>
    <xf numFmtId="0" fontId="21" fillId="9" borderId="4" xfId="0" applyFont="1" applyFill="1" applyBorder="1" applyAlignment="1">
      <alignment horizontal="center" vertical="center" wrapText="1"/>
    </xf>
    <xf numFmtId="0" fontId="27" fillId="9" borderId="10" xfId="0" applyFont="1" applyFill="1" applyBorder="1" applyAlignment="1">
      <alignment horizontal="center" vertical="center" wrapText="1"/>
    </xf>
    <xf numFmtId="0" fontId="27" fillId="9" borderId="4" xfId="0" applyFont="1" applyFill="1" applyBorder="1" applyAlignment="1">
      <alignment horizontal="center" vertical="center" wrapText="1"/>
    </xf>
    <xf numFmtId="0" fontId="27" fillId="9" borderId="5" xfId="0" applyFont="1" applyFill="1" applyBorder="1" applyAlignment="1">
      <alignment horizontal="center" vertical="center" wrapText="1"/>
    </xf>
    <xf numFmtId="0" fontId="27" fillId="9" borderId="11" xfId="0" applyFont="1" applyFill="1" applyBorder="1" applyAlignment="1">
      <alignment horizontal="center" vertical="center" wrapText="1"/>
    </xf>
    <xf numFmtId="0" fontId="21" fillId="3" borderId="29" xfId="0" applyFont="1" applyFill="1" applyBorder="1" applyAlignment="1">
      <alignment vertical="center"/>
    </xf>
    <xf numFmtId="0" fontId="21" fillId="3" borderId="8" xfId="0" applyFont="1" applyFill="1" applyBorder="1" applyAlignment="1">
      <alignment vertical="center"/>
    </xf>
    <xf numFmtId="0" fontId="21" fillId="3" borderId="12" xfId="0" applyFont="1" applyFill="1" applyBorder="1" applyAlignment="1">
      <alignment vertical="center"/>
    </xf>
    <xf numFmtId="0" fontId="29" fillId="0" borderId="38" xfId="0" applyFont="1" applyBorder="1" applyAlignment="1">
      <alignment vertical="center"/>
    </xf>
    <xf numFmtId="0" fontId="29" fillId="0" borderId="6" xfId="0" applyFont="1" applyBorder="1" applyAlignment="1">
      <alignment vertical="center"/>
    </xf>
    <xf numFmtId="0" fontId="29" fillId="0" borderId="11" xfId="0" applyFont="1" applyBorder="1" applyAlignment="1">
      <alignment vertical="center"/>
    </xf>
    <xf numFmtId="0" fontId="5" fillId="3" borderId="29" xfId="0" applyFont="1" applyFill="1" applyBorder="1"/>
    <xf numFmtId="0" fontId="0" fillId="9" borderId="34" xfId="0" applyFill="1" applyBorder="1" applyAlignment="1">
      <alignment horizontal="center" vertical="center" wrapText="1"/>
    </xf>
    <xf numFmtId="0" fontId="5" fillId="3" borderId="38" xfId="0" applyFont="1" applyFill="1" applyBorder="1"/>
    <xf numFmtId="14" fontId="14" fillId="0" borderId="0" xfId="0" applyNumberFormat="1" applyFont="1" applyAlignment="1">
      <alignment horizontal="left" vertical="center"/>
    </xf>
    <xf numFmtId="0" fontId="18" fillId="9" borderId="23" xfId="0" applyFont="1" applyFill="1" applyBorder="1" applyAlignment="1">
      <alignment horizontal="center" vertical="center" wrapText="1"/>
    </xf>
    <xf numFmtId="0" fontId="18" fillId="9" borderId="10" xfId="0" applyFont="1" applyFill="1" applyBorder="1" applyAlignment="1">
      <alignment horizontal="center" vertical="center"/>
    </xf>
    <xf numFmtId="0" fontId="18" fillId="9" borderId="11" xfId="0" applyFont="1" applyFill="1" applyBorder="1" applyAlignment="1">
      <alignment horizontal="center" vertical="center"/>
    </xf>
    <xf numFmtId="49" fontId="12" fillId="9" borderId="7" xfId="0" applyNumberFormat="1" applyFont="1" applyFill="1" applyBorder="1" applyAlignment="1">
      <alignment horizontal="left" vertical="center" wrapText="1"/>
    </xf>
    <xf numFmtId="0" fontId="0" fillId="9" borderId="8" xfId="0" applyFill="1" applyBorder="1" applyAlignment="1">
      <alignment horizontal="left" vertical="center"/>
    </xf>
    <xf numFmtId="0" fontId="0" fillId="9" borderId="13" xfId="0" applyFill="1" applyBorder="1" applyAlignment="1">
      <alignment horizontal="left" vertical="center"/>
    </xf>
    <xf numFmtId="0" fontId="0" fillId="9" borderId="21" xfId="0" applyFill="1" applyBorder="1" applyAlignment="1">
      <alignment horizontal="left" vertical="center"/>
    </xf>
    <xf numFmtId="0" fontId="15" fillId="9" borderId="7" xfId="0" applyFont="1" applyFill="1" applyBorder="1" applyAlignment="1">
      <alignment horizontal="center"/>
    </xf>
    <xf numFmtId="0" fontId="15" fillId="9" borderId="12" xfId="0" applyFont="1" applyFill="1" applyBorder="1" applyAlignment="1">
      <alignment horizontal="center"/>
    </xf>
    <xf numFmtId="0" fontId="15" fillId="9" borderId="8" xfId="0" applyFont="1" applyFill="1" applyBorder="1" applyAlignment="1">
      <alignment horizontal="center"/>
    </xf>
    <xf numFmtId="0" fontId="25" fillId="9" borderId="4" xfId="0" applyFont="1" applyFill="1" applyBorder="1" applyAlignment="1">
      <alignment horizontal="center" vertical="center"/>
    </xf>
    <xf numFmtId="0" fontId="25" fillId="9" borderId="10" xfId="0" applyFont="1" applyFill="1" applyBorder="1" applyAlignment="1">
      <alignment horizontal="center" vertical="center"/>
    </xf>
    <xf numFmtId="49" fontId="26" fillId="9" borderId="13" xfId="0" applyNumberFormat="1" applyFont="1" applyFill="1" applyBorder="1" applyAlignment="1">
      <alignment horizontal="center"/>
    </xf>
    <xf numFmtId="49" fontId="26" fillId="9" borderId="21" xfId="0" applyNumberFormat="1" applyFont="1" applyFill="1" applyBorder="1" applyAlignment="1">
      <alignment horizontal="center"/>
    </xf>
    <xf numFmtId="49" fontId="26" fillId="9" borderId="14" xfId="0" applyNumberFormat="1" applyFont="1" applyFill="1" applyBorder="1" applyAlignment="1">
      <alignment horizontal="center"/>
    </xf>
    <xf numFmtId="0" fontId="23" fillId="2" borderId="3" xfId="0" applyFont="1" applyFill="1" applyBorder="1" applyAlignment="1">
      <alignment horizontal="left" vertical="center"/>
    </xf>
    <xf numFmtId="0" fontId="23" fillId="2" borderId="2" xfId="0" applyFont="1" applyFill="1" applyBorder="1" applyAlignment="1">
      <alignment horizontal="left" vertical="center"/>
    </xf>
    <xf numFmtId="0" fontId="13" fillId="9" borderId="20" xfId="0" applyFont="1" applyFill="1" applyBorder="1" applyAlignment="1">
      <alignment horizontal="left" vertical="center" wrapText="1"/>
    </xf>
    <xf numFmtId="0" fontId="0" fillId="9" borderId="22" xfId="0" applyFill="1" applyBorder="1" applyAlignment="1">
      <alignment horizontal="left" vertical="center"/>
    </xf>
    <xf numFmtId="0" fontId="0" fillId="9" borderId="4" xfId="0" applyFill="1" applyBorder="1" applyAlignment="1">
      <alignment horizontal="left" vertical="center"/>
    </xf>
    <xf numFmtId="0" fontId="0" fillId="9" borderId="0" xfId="0" applyFill="1" applyAlignment="1">
      <alignment horizontal="left" vertical="center"/>
    </xf>
    <xf numFmtId="0" fontId="0" fillId="9" borderId="5" xfId="0" applyFill="1" applyBorder="1" applyAlignment="1">
      <alignment horizontal="left" vertical="center"/>
    </xf>
    <xf numFmtId="0" fontId="0" fillId="9" borderId="6" xfId="0" applyFill="1" applyBorder="1" applyAlignment="1">
      <alignment horizontal="left" vertical="center"/>
    </xf>
    <xf numFmtId="0" fontId="9" fillId="2" borderId="7" xfId="0" applyFont="1" applyFill="1" applyBorder="1" applyAlignment="1">
      <alignment horizontal="center"/>
    </xf>
    <xf numFmtId="0" fontId="9" fillId="2" borderId="12" xfId="0" applyFont="1" applyFill="1" applyBorder="1" applyAlignment="1">
      <alignment horizontal="center"/>
    </xf>
    <xf numFmtId="0" fontId="16" fillId="2" borderId="13" xfId="0" applyFont="1" applyFill="1" applyBorder="1" applyAlignment="1">
      <alignment horizontal="center" vertical="center"/>
    </xf>
    <xf numFmtId="0" fontId="17" fillId="2" borderId="14" xfId="0" applyFont="1" applyFill="1" applyBorder="1" applyAlignment="1">
      <alignment horizontal="center" vertical="center"/>
    </xf>
    <xf numFmtId="0" fontId="18" fillId="2" borderId="25" xfId="0" applyFont="1" applyFill="1" applyBorder="1" applyAlignment="1">
      <alignment horizontal="center" vertical="center" wrapText="1"/>
    </xf>
    <xf numFmtId="0" fontId="18" fillId="2" borderId="26" xfId="0" applyFont="1" applyFill="1" applyBorder="1" applyAlignment="1">
      <alignment horizontal="center" vertical="center" wrapText="1"/>
    </xf>
    <xf numFmtId="0" fontId="18" fillId="2" borderId="17" xfId="0" applyFont="1" applyFill="1" applyBorder="1" applyAlignment="1">
      <alignment horizontal="center" vertical="center" wrapText="1"/>
    </xf>
    <xf numFmtId="0" fontId="18" fillId="2" borderId="16" xfId="0" applyFont="1" applyFill="1" applyBorder="1" applyAlignment="1">
      <alignment horizontal="center" vertical="center" wrapText="1"/>
    </xf>
    <xf numFmtId="0" fontId="18" fillId="2" borderId="18" xfId="0" applyFont="1" applyFill="1" applyBorder="1" applyAlignment="1">
      <alignment horizontal="center" vertical="center" wrapText="1"/>
    </xf>
    <xf numFmtId="0" fontId="18" fillId="2" borderId="9" xfId="0" applyFont="1" applyFill="1" applyBorder="1" applyAlignment="1">
      <alignment horizontal="center" vertical="center" wrapText="1"/>
    </xf>
    <xf numFmtId="0" fontId="18" fillId="2" borderId="15" xfId="0" applyFont="1" applyFill="1" applyBorder="1" applyAlignment="1">
      <alignment horizontal="center" vertical="center" wrapText="1"/>
    </xf>
    <xf numFmtId="0" fontId="18" fillId="2" borderId="19" xfId="0" applyFont="1" applyFill="1" applyBorder="1" applyAlignment="1">
      <alignment horizontal="center" vertical="center" wrapText="1"/>
    </xf>
    <xf numFmtId="0" fontId="19" fillId="9" borderId="36" xfId="0" applyFont="1" applyFill="1" applyBorder="1" applyAlignment="1">
      <alignment horizontal="center" vertical="center" wrapText="1"/>
    </xf>
    <xf numFmtId="0" fontId="0" fillId="9" borderId="37" xfId="0" applyFill="1" applyBorder="1" applyAlignment="1">
      <alignment horizontal="center" vertical="center" wrapText="1"/>
    </xf>
    <xf numFmtId="0" fontId="0" fillId="9" borderId="38" xfId="0" applyFill="1" applyBorder="1" applyAlignment="1">
      <alignment horizontal="center" vertical="center" wrapText="1"/>
    </xf>
    <xf numFmtId="0" fontId="0" fillId="2" borderId="15" xfId="0" applyFill="1" applyBorder="1" applyAlignment="1">
      <alignment horizontal="center" vertical="center" wrapText="1"/>
    </xf>
    <xf numFmtId="0" fontId="0" fillId="2" borderId="19" xfId="0" applyFill="1" applyBorder="1" applyAlignment="1">
      <alignment horizontal="center" vertical="center" wrapText="1"/>
    </xf>
    <xf numFmtId="0" fontId="16" fillId="2" borderId="21" xfId="0" applyFont="1" applyFill="1" applyBorder="1" applyAlignment="1">
      <alignment horizontal="center" vertical="center"/>
    </xf>
    <xf numFmtId="0" fontId="11" fillId="2" borderId="20" xfId="0" applyFont="1" applyFill="1" applyBorder="1" applyAlignment="1">
      <alignment horizontal="left" vertical="center" wrapText="1"/>
    </xf>
    <xf numFmtId="0" fontId="11" fillId="2" borderId="22" xfId="0" applyFont="1" applyFill="1" applyBorder="1" applyAlignment="1">
      <alignment horizontal="left" vertical="center"/>
    </xf>
    <xf numFmtId="0" fontId="11" fillId="2" borderId="23" xfId="0" applyFont="1" applyFill="1" applyBorder="1" applyAlignment="1">
      <alignment horizontal="left" vertical="center"/>
    </xf>
    <xf numFmtId="0" fontId="11" fillId="2" borderId="4" xfId="0" applyFont="1" applyFill="1" applyBorder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0" fontId="11" fillId="2" borderId="10" xfId="0" applyFont="1" applyFill="1" applyBorder="1" applyAlignment="1">
      <alignment horizontal="left" vertical="center"/>
    </xf>
    <xf numFmtId="0" fontId="11" fillId="2" borderId="5" xfId="0" applyFont="1" applyFill="1" applyBorder="1" applyAlignment="1">
      <alignment horizontal="left" vertical="center"/>
    </xf>
    <xf numFmtId="0" fontId="11" fillId="2" borderId="6" xfId="0" applyFont="1" applyFill="1" applyBorder="1" applyAlignment="1">
      <alignment horizontal="left" vertical="center"/>
    </xf>
    <xf numFmtId="0" fontId="11" fillId="2" borderId="11" xfId="0" applyFont="1" applyFill="1" applyBorder="1" applyAlignment="1">
      <alignment horizontal="left" vertical="center"/>
    </xf>
    <xf numFmtId="0" fontId="0" fillId="9" borderId="13" xfId="0" applyFill="1" applyBorder="1" applyAlignment="1">
      <alignment horizontal="center" vertical="center" wrapText="1"/>
    </xf>
    <xf numFmtId="0" fontId="18" fillId="9" borderId="4" xfId="0" applyFont="1" applyFill="1" applyBorder="1" applyAlignment="1">
      <alignment horizontal="center" vertical="center" wrapText="1"/>
    </xf>
    <xf numFmtId="0" fontId="9" fillId="9" borderId="8" xfId="0" applyFont="1" applyFill="1" applyBorder="1" applyAlignment="1">
      <alignment horizontal="center"/>
    </xf>
    <xf numFmtId="0" fontId="0" fillId="9" borderId="12" xfId="0" applyFill="1" applyBorder="1" applyAlignment="1">
      <alignment horizontal="center"/>
    </xf>
    <xf numFmtId="0" fontId="16" fillId="9" borderId="4" xfId="0" applyFont="1" applyFill="1" applyBorder="1" applyAlignment="1">
      <alignment horizontal="center" vertical="center"/>
    </xf>
    <xf numFmtId="0" fontId="17" fillId="9" borderId="0" xfId="0" applyFont="1" applyFill="1" applyAlignment="1">
      <alignment horizontal="center" vertical="center"/>
    </xf>
    <xf numFmtId="0" fontId="0" fillId="9" borderId="10" xfId="0" applyFill="1" applyBorder="1" applyAlignment="1">
      <alignment horizontal="center"/>
    </xf>
    <xf numFmtId="0" fontId="9" fillId="2" borderId="1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9" fillId="0" borderId="0" xfId="1" applyFont="1" applyAlignment="1">
      <alignment horizontal="center" vertical="center" wrapText="1"/>
    </xf>
    <xf numFmtId="0" fontId="9" fillId="0" borderId="0" xfId="1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49" fontId="12" fillId="2" borderId="7" xfId="0" applyNumberFormat="1" applyFont="1" applyFill="1" applyBorder="1" applyAlignment="1">
      <alignment horizontal="left" vertical="center" wrapText="1"/>
    </xf>
    <xf numFmtId="0" fontId="0" fillId="2" borderId="8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14" xfId="0" applyFill="1" applyBorder="1" applyAlignment="1">
      <alignment horizontal="left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18" fillId="2" borderId="20" xfId="0" applyFont="1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0" fillId="2" borderId="35" xfId="0" applyFill="1" applyBorder="1" applyAlignment="1">
      <alignment horizontal="center" vertical="center" wrapText="1"/>
    </xf>
    <xf numFmtId="0" fontId="18" fillId="2" borderId="4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18" fillId="2" borderId="20" xfId="0" applyFont="1" applyFill="1" applyBorder="1" applyAlignment="1">
      <alignment horizontal="center" wrapText="1"/>
    </xf>
    <xf numFmtId="0" fontId="0" fillId="2" borderId="4" xfId="0" applyFill="1" applyBorder="1" applyAlignment="1">
      <alignment horizontal="center" wrapText="1"/>
    </xf>
    <xf numFmtId="0" fontId="0" fillId="2" borderId="13" xfId="0" applyFill="1" applyBorder="1" applyAlignment="1">
      <alignment horizontal="center" wrapText="1"/>
    </xf>
    <xf numFmtId="0" fontId="18" fillId="2" borderId="31" xfId="0" applyFont="1" applyFill="1" applyBorder="1" applyAlignment="1">
      <alignment horizontal="center" vertical="center" wrapText="1"/>
    </xf>
    <xf numFmtId="0" fontId="18" fillId="2" borderId="32" xfId="0" applyFont="1" applyFill="1" applyBorder="1" applyAlignment="1">
      <alignment horizontal="center" vertical="center" wrapText="1"/>
    </xf>
    <xf numFmtId="0" fontId="0" fillId="2" borderId="32" xfId="0" applyFill="1" applyBorder="1" applyAlignment="1">
      <alignment horizontal="center" vertical="center" wrapText="1"/>
    </xf>
    <xf numFmtId="0" fontId="0" fillId="2" borderId="33" xfId="0" applyFill="1" applyBorder="1" applyAlignment="1">
      <alignment horizontal="center" vertical="center" wrapText="1"/>
    </xf>
    <xf numFmtId="0" fontId="26" fillId="9" borderId="4" xfId="0" applyFont="1" applyFill="1" applyBorder="1" applyAlignment="1">
      <alignment horizontal="center"/>
    </xf>
    <xf numFmtId="0" fontId="26" fillId="9" borderId="10" xfId="0" applyFont="1" applyFill="1" applyBorder="1" applyAlignment="1">
      <alignment horizontal="center"/>
    </xf>
    <xf numFmtId="0" fontId="5" fillId="3" borderId="29" xfId="0" applyFont="1" applyFill="1" applyBorder="1" applyAlignment="1">
      <alignment horizontal="left"/>
    </xf>
    <xf numFmtId="0" fontId="5" fillId="3" borderId="8" xfId="0" applyFont="1" applyFill="1" applyBorder="1" applyAlignment="1">
      <alignment horizontal="left"/>
    </xf>
    <xf numFmtId="0" fontId="5" fillId="3" borderId="12" xfId="0" applyFont="1" applyFill="1" applyBorder="1" applyAlignment="1">
      <alignment horizontal="left"/>
    </xf>
    <xf numFmtId="0" fontId="0" fillId="2" borderId="16" xfId="0" applyFill="1" applyBorder="1" applyAlignment="1">
      <alignment horizontal="center" vertical="center" wrapText="1"/>
    </xf>
    <xf numFmtId="0" fontId="0" fillId="2" borderId="18" xfId="0" applyFill="1" applyBorder="1" applyAlignment="1">
      <alignment horizontal="center" vertical="center" wrapText="1"/>
    </xf>
    <xf numFmtId="0" fontId="5" fillId="9" borderId="0" xfId="0" applyFont="1" applyFill="1" applyAlignment="1">
      <alignment horizontal="center"/>
    </xf>
    <xf numFmtId="0" fontId="0" fillId="0" borderId="10" xfId="0" applyBorder="1" applyAlignment="1">
      <alignment horizontal="center"/>
    </xf>
    <xf numFmtId="0" fontId="5" fillId="9" borderId="21" xfId="0" applyFont="1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21" fillId="9" borderId="6" xfId="0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4" fillId="4" borderId="3" xfId="0" applyFont="1" applyFill="1" applyBorder="1" applyAlignment="1" applyProtection="1">
      <alignment horizontal="left" vertical="center"/>
      <protection locked="0" hidden="1"/>
    </xf>
    <xf numFmtId="0" fontId="0" fillId="4" borderId="3" xfId="0" applyFill="1" applyBorder="1" applyAlignment="1" applyProtection="1">
      <alignment horizontal="left" vertical="center"/>
      <protection locked="0" hidden="1"/>
    </xf>
    <xf numFmtId="0" fontId="5" fillId="3" borderId="37" xfId="0" applyFont="1" applyFill="1" applyBorder="1"/>
    <xf numFmtId="0" fontId="5" fillId="3" borderId="0" xfId="0" applyFont="1" applyFill="1"/>
    <xf numFmtId="0" fontId="5" fillId="3" borderId="10" xfId="0" applyFont="1" applyFill="1" applyBorder="1"/>
    <xf numFmtId="0" fontId="9" fillId="4" borderId="49" xfId="0" applyFont="1" applyFill="1" applyBorder="1" applyAlignment="1">
      <alignment horizontal="center"/>
    </xf>
    <xf numFmtId="0" fontId="9" fillId="4" borderId="50" xfId="0" applyFont="1" applyFill="1" applyBorder="1" applyAlignment="1">
      <alignment horizontal="center"/>
    </xf>
    <xf numFmtId="0" fontId="9" fillId="4" borderId="51" xfId="0" applyFont="1" applyFill="1" applyBorder="1" applyAlignment="1">
      <alignment horizontal="center"/>
    </xf>
    <xf numFmtId="0" fontId="5" fillId="4" borderId="20" xfId="0" applyFont="1" applyFill="1" applyBorder="1" applyAlignment="1">
      <alignment horizontal="center" vertical="center" wrapText="1"/>
    </xf>
    <xf numFmtId="0" fontId="0" fillId="4" borderId="22" xfId="0" applyFill="1" applyBorder="1" applyAlignment="1">
      <alignment horizontal="center" vertical="center" wrapText="1"/>
    </xf>
    <xf numFmtId="0" fontId="0" fillId="4" borderId="2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4" borderId="10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10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15" fillId="4" borderId="49" xfId="0" applyFont="1" applyFill="1" applyBorder="1" applyAlignment="1">
      <alignment horizontal="left"/>
    </xf>
    <xf numFmtId="0" fontId="15" fillId="4" borderId="50" xfId="0" applyFont="1" applyFill="1" applyBorder="1" applyAlignment="1">
      <alignment horizontal="left"/>
    </xf>
    <xf numFmtId="0" fontId="0" fillId="4" borderId="51" xfId="0" applyFill="1" applyBorder="1" applyAlignment="1">
      <alignment horizontal="left"/>
    </xf>
    <xf numFmtId="0" fontId="5" fillId="4" borderId="4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15" fillId="2" borderId="49" xfId="0" applyFont="1" applyFill="1" applyBorder="1" applyAlignment="1">
      <alignment horizontal="left"/>
    </xf>
    <xf numFmtId="0" fontId="15" fillId="2" borderId="50" xfId="0" applyFont="1" applyFill="1" applyBorder="1" applyAlignment="1">
      <alignment horizontal="left"/>
    </xf>
    <xf numFmtId="0" fontId="0" fillId="2" borderId="51" xfId="0" applyFill="1" applyBorder="1" applyAlignment="1">
      <alignment horizontal="left"/>
    </xf>
    <xf numFmtId="0" fontId="5" fillId="2" borderId="22" xfId="0" applyFont="1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21" fillId="2" borderId="6" xfId="0" applyFont="1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12" fillId="5" borderId="36" xfId="0" applyFont="1" applyFill="1" applyBorder="1" applyAlignment="1">
      <alignment horizontal="left" vertical="center"/>
    </xf>
    <xf numFmtId="0" fontId="0" fillId="5" borderId="22" xfId="0" applyFill="1" applyBorder="1" applyAlignment="1">
      <alignment horizontal="left" vertical="center"/>
    </xf>
    <xf numFmtId="0" fontId="0" fillId="5" borderId="43" xfId="0" applyFill="1" applyBorder="1" applyAlignment="1">
      <alignment horizontal="left" vertical="center"/>
    </xf>
    <xf numFmtId="0" fontId="0" fillId="5" borderId="0" xfId="0" applyFill="1" applyAlignment="1">
      <alignment horizontal="left" vertical="center"/>
    </xf>
    <xf numFmtId="164" fontId="31" fillId="5" borderId="42" xfId="0" applyNumberFormat="1" applyFont="1" applyFill="1" applyBorder="1" applyAlignment="1">
      <alignment horizontal="center" vertical="center"/>
    </xf>
    <xf numFmtId="164" fontId="31" fillId="5" borderId="46" xfId="0" applyNumberFormat="1" applyFont="1" applyFill="1" applyBorder="1" applyAlignment="1">
      <alignment horizontal="center" vertical="center"/>
    </xf>
    <xf numFmtId="0" fontId="28" fillId="5" borderId="42" xfId="0" applyFont="1" applyFill="1" applyBorder="1" applyAlignment="1">
      <alignment horizontal="center" vertical="center"/>
    </xf>
    <xf numFmtId="0" fontId="28" fillId="5" borderId="45" xfId="0" applyFont="1" applyFill="1" applyBorder="1" applyAlignment="1">
      <alignment horizontal="center" vertical="center"/>
    </xf>
    <xf numFmtId="0" fontId="31" fillId="5" borderId="36" xfId="0" applyFont="1" applyFill="1" applyBorder="1" applyAlignment="1">
      <alignment horizontal="center" vertical="center" textRotation="90"/>
    </xf>
    <xf numFmtId="0" fontId="33" fillId="5" borderId="37" xfId="0" applyFont="1" applyFill="1" applyBorder="1" applyAlignment="1">
      <alignment horizontal="center" vertical="center" textRotation="90"/>
    </xf>
    <xf numFmtId="0" fontId="33" fillId="5" borderId="37" xfId="0" applyFont="1" applyFill="1" applyBorder="1"/>
    <xf numFmtId="0" fontId="0" fillId="5" borderId="37" xfId="0" applyFill="1" applyBorder="1"/>
    <xf numFmtId="0" fontId="28" fillId="4" borderId="43" xfId="0" applyFont="1" applyFill="1" applyBorder="1"/>
    <xf numFmtId="0" fontId="28" fillId="4" borderId="21" xfId="0" applyFont="1" applyFill="1" applyBorder="1"/>
    <xf numFmtId="0" fontId="0" fillId="5" borderId="21" xfId="0" applyFill="1" applyBorder="1" applyAlignment="1">
      <alignment horizontal="left" vertical="center"/>
    </xf>
    <xf numFmtId="0" fontId="12" fillId="8" borderId="36" xfId="0" applyFont="1" applyFill="1" applyBorder="1" applyAlignment="1">
      <alignment horizontal="left" vertical="center"/>
    </xf>
    <xf numFmtId="0" fontId="0" fillId="8" borderId="22" xfId="0" applyFill="1" applyBorder="1" applyAlignment="1">
      <alignment horizontal="left" vertical="center"/>
    </xf>
    <xf numFmtId="0" fontId="0" fillId="8" borderId="43" xfId="0" applyFill="1" applyBorder="1" applyAlignment="1">
      <alignment horizontal="left" vertical="center"/>
    </xf>
    <xf numFmtId="0" fontId="0" fillId="8" borderId="21" xfId="0" applyFill="1" applyBorder="1" applyAlignment="1">
      <alignment horizontal="left" vertical="center"/>
    </xf>
    <xf numFmtId="164" fontId="31" fillId="8" borderId="42" xfId="0" applyNumberFormat="1" applyFont="1" applyFill="1" applyBorder="1" applyAlignment="1">
      <alignment horizontal="center" vertical="center"/>
    </xf>
    <xf numFmtId="164" fontId="31" fillId="8" borderId="46" xfId="0" applyNumberFormat="1" applyFont="1" applyFill="1" applyBorder="1" applyAlignment="1">
      <alignment horizontal="center" vertical="center"/>
    </xf>
    <xf numFmtId="0" fontId="28" fillId="8" borderId="42" xfId="0" applyFont="1" applyFill="1" applyBorder="1" applyAlignment="1">
      <alignment horizontal="center" vertical="center"/>
    </xf>
    <xf numFmtId="0" fontId="28" fillId="8" borderId="45" xfId="0" applyFont="1" applyFill="1" applyBorder="1" applyAlignment="1">
      <alignment horizontal="center" vertical="center"/>
    </xf>
    <xf numFmtId="0" fontId="31" fillId="8" borderId="36" xfId="0" applyFont="1" applyFill="1" applyBorder="1" applyAlignment="1">
      <alignment horizontal="center" vertical="center" textRotation="90"/>
    </xf>
    <xf numFmtId="0" fontId="33" fillId="8" borderId="37" xfId="0" applyFont="1" applyFill="1" applyBorder="1" applyAlignment="1">
      <alignment horizontal="center" vertical="center" textRotation="90"/>
    </xf>
    <xf numFmtId="0" fontId="33" fillId="8" borderId="37" xfId="0" applyFont="1" applyFill="1" applyBorder="1"/>
    <xf numFmtId="0" fontId="0" fillId="8" borderId="37" xfId="0" applyFill="1" applyBorder="1"/>
    <xf numFmtId="0" fontId="0" fillId="8" borderId="0" xfId="0" applyFill="1" applyAlignment="1">
      <alignment horizontal="left" vertical="center"/>
    </xf>
    <xf numFmtId="0" fontId="14" fillId="0" borderId="37" xfId="0" applyFont="1" applyBorder="1" applyAlignment="1">
      <alignment wrapText="1"/>
    </xf>
    <xf numFmtId="0" fontId="0" fillId="0" borderId="0" xfId="0"/>
    <xf numFmtId="0" fontId="0" fillId="0" borderId="32" xfId="0" applyBorder="1"/>
    <xf numFmtId="0" fontId="28" fillId="4" borderId="37" xfId="0" applyFont="1" applyFill="1" applyBorder="1"/>
    <xf numFmtId="0" fontId="28" fillId="4" borderId="0" xfId="0" applyFont="1" applyFill="1"/>
    <xf numFmtId="0" fontId="28" fillId="4" borderId="31" xfId="0" applyFont="1" applyFill="1" applyBorder="1"/>
    <xf numFmtId="2" fontId="31" fillId="8" borderId="42" xfId="0" applyNumberFormat="1" applyFont="1" applyFill="1" applyBorder="1" applyAlignment="1">
      <alignment horizontal="center" vertical="center"/>
    </xf>
    <xf numFmtId="2" fontId="31" fillId="8" borderId="46" xfId="0" applyNumberFormat="1" applyFont="1" applyFill="1" applyBorder="1" applyAlignment="1">
      <alignment horizontal="center" vertical="center"/>
    </xf>
    <xf numFmtId="0" fontId="0" fillId="8" borderId="43" xfId="0" applyFill="1" applyBorder="1"/>
    <xf numFmtId="0" fontId="14" fillId="0" borderId="0" xfId="0" applyFont="1" applyAlignment="1">
      <alignment wrapText="1"/>
    </xf>
    <xf numFmtId="0" fontId="14" fillId="0" borderId="32" xfId="0" applyFont="1" applyBorder="1" applyAlignment="1">
      <alignment wrapText="1"/>
    </xf>
    <xf numFmtId="0" fontId="14" fillId="0" borderId="22" xfId="0" applyFont="1" applyBorder="1" applyAlignment="1">
      <alignment wrapText="1"/>
    </xf>
    <xf numFmtId="0" fontId="14" fillId="0" borderId="31" xfId="0" applyFont="1" applyBorder="1" applyAlignment="1">
      <alignment wrapText="1"/>
    </xf>
    <xf numFmtId="0" fontId="28" fillId="2" borderId="48" xfId="0" applyFont="1" applyFill="1" applyBorder="1"/>
    <xf numFmtId="0" fontId="0" fillId="2" borderId="28" xfId="0" applyFill="1" applyBorder="1"/>
    <xf numFmtId="0" fontId="0" fillId="2" borderId="47" xfId="0" applyFill="1" applyBorder="1"/>
    <xf numFmtId="0" fontId="0" fillId="0" borderId="37" xfId="0" applyBorder="1"/>
    <xf numFmtId="0" fontId="0" fillId="0" borderId="43" xfId="0" applyBorder="1"/>
    <xf numFmtId="14" fontId="12" fillId="5" borderId="36" xfId="0" applyNumberFormat="1" applyFont="1" applyFill="1" applyBorder="1" applyAlignment="1">
      <alignment horizontal="left" vertical="center"/>
    </xf>
    <xf numFmtId="2" fontId="31" fillId="5" borderId="42" xfId="0" applyNumberFormat="1" applyFont="1" applyFill="1" applyBorder="1" applyAlignment="1">
      <alignment horizontal="center" vertical="center"/>
    </xf>
    <xf numFmtId="2" fontId="31" fillId="5" borderId="46" xfId="0" applyNumberFormat="1" applyFont="1" applyFill="1" applyBorder="1" applyAlignment="1">
      <alignment horizontal="center" vertical="center"/>
    </xf>
    <xf numFmtId="0" fontId="6" fillId="6" borderId="36" xfId="0" applyFont="1" applyFill="1" applyBorder="1" applyAlignment="1">
      <alignment horizontal="left" vertical="center"/>
    </xf>
    <xf numFmtId="0" fontId="6" fillId="6" borderId="43" xfId="0" applyFont="1" applyFill="1" applyBorder="1" applyAlignment="1">
      <alignment horizontal="left" vertical="center"/>
    </xf>
    <xf numFmtId="0" fontId="0" fillId="0" borderId="36" xfId="0" applyBorder="1" applyAlignment="1">
      <alignment horizontal="left" vertical="top" wrapText="1"/>
    </xf>
    <xf numFmtId="0" fontId="0" fillId="0" borderId="22" xfId="0" applyBorder="1" applyAlignment="1">
      <alignment horizontal="left" vertical="top"/>
    </xf>
    <xf numFmtId="0" fontId="0" fillId="0" borderId="31" xfId="0" applyBorder="1" applyAlignment="1">
      <alignment horizontal="left" vertical="top"/>
    </xf>
    <xf numFmtId="0" fontId="0" fillId="0" borderId="3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32" xfId="0" applyBorder="1" applyAlignment="1">
      <alignment horizontal="left" vertical="top"/>
    </xf>
    <xf numFmtId="0" fontId="0" fillId="0" borderId="43" xfId="0" applyBorder="1" applyAlignment="1">
      <alignment horizontal="left" vertical="top"/>
    </xf>
    <xf numFmtId="0" fontId="0" fillId="0" borderId="21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42" xfId="0" applyBorder="1" applyAlignment="1">
      <alignment horizontal="left"/>
    </xf>
    <xf numFmtId="0" fontId="0" fillId="0" borderId="46" xfId="0" applyBorder="1" applyAlignment="1">
      <alignment horizontal="left"/>
    </xf>
    <xf numFmtId="0" fontId="0" fillId="0" borderId="46" xfId="0" applyBorder="1"/>
    <xf numFmtId="0" fontId="0" fillId="0" borderId="45" xfId="0" applyBorder="1"/>
    <xf numFmtId="0" fontId="6" fillId="4" borderId="36" xfId="0" applyFont="1" applyFill="1" applyBorder="1" applyAlignment="1">
      <alignment horizontal="left" vertical="center"/>
    </xf>
    <xf numFmtId="0" fontId="6" fillId="4" borderId="43" xfId="0" applyFont="1" applyFill="1" applyBorder="1" applyAlignment="1">
      <alignment horizontal="left" vertical="center"/>
    </xf>
    <xf numFmtId="0" fontId="6" fillId="0" borderId="36" xfId="0" applyFont="1" applyBorder="1" applyAlignment="1">
      <alignment horizontal="left" vertical="center"/>
    </xf>
    <xf numFmtId="0" fontId="6" fillId="0" borderId="43" xfId="0" applyFont="1" applyBorder="1" applyAlignment="1">
      <alignment horizontal="left" vertical="center"/>
    </xf>
    <xf numFmtId="0" fontId="31" fillId="2" borderId="36" xfId="0" applyFont="1" applyFill="1" applyBorder="1" applyAlignment="1">
      <alignment horizontal="left" vertical="center"/>
    </xf>
    <xf numFmtId="0" fontId="31" fillId="2" borderId="22" xfId="0" applyFont="1" applyFill="1" applyBorder="1" applyAlignment="1">
      <alignment horizontal="left" vertical="center"/>
    </xf>
    <xf numFmtId="0" fontId="0" fillId="2" borderId="22" xfId="0" applyFill="1" applyBorder="1" applyAlignment="1">
      <alignment vertical="center"/>
    </xf>
    <xf numFmtId="0" fontId="0" fillId="2" borderId="31" xfId="0" applyFill="1" applyBorder="1" applyAlignment="1">
      <alignment vertical="center"/>
    </xf>
    <xf numFmtId="0" fontId="31" fillId="2" borderId="43" xfId="0" applyFont="1" applyFill="1" applyBorder="1" applyAlignment="1">
      <alignment horizontal="left" vertical="center"/>
    </xf>
    <xf numFmtId="0" fontId="31" fillId="2" borderId="21" xfId="0" applyFont="1" applyFill="1" applyBorder="1" applyAlignment="1">
      <alignment horizontal="left" vertical="center"/>
    </xf>
    <xf numFmtId="0" fontId="0" fillId="2" borderId="21" xfId="0" applyFill="1" applyBorder="1" applyAlignment="1">
      <alignment vertical="center"/>
    </xf>
    <xf numFmtId="0" fontId="0" fillId="2" borderId="44" xfId="0" applyFill="1" applyBorder="1" applyAlignment="1">
      <alignment vertical="center"/>
    </xf>
  </cellXfs>
  <cellStyles count="2">
    <cellStyle name="Link" xfId="1" builtinId="8"/>
    <cellStyle name="Standard" xfId="0" builtinId="0"/>
  </cellStyles>
  <dxfs count="2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</dxfs>
  <tableStyles count="0" defaultTableStyle="TableStyleMedium9" defaultPivotStyle="PivotStyleLight16"/>
  <colors>
    <mruColors>
      <color rgb="FF0099FF"/>
      <color rgb="FFEAEAEA"/>
      <color rgb="FF99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s://sanitaerlernen.ch/0_Datenbank/1_Auftraege/4.Semester/4.1_Auftrag.pdf" TargetMode="External"/><Relationship Id="rId13" Type="http://schemas.openxmlformats.org/officeDocument/2006/relationships/hyperlink" Target="https://bldsg-my.sharepoint.com/:b:/g/personal/marcel_item_gbssg_ch/ERb_7EFqEI1Nkjl1Xkb08dIBgY2dQgfB0KcHG41iwaX8ww?e=JNkqQM" TargetMode="External"/><Relationship Id="rId3" Type="http://schemas.openxmlformats.org/officeDocument/2006/relationships/hyperlink" Target="https://sanitaerlernen.ch/0_Datenbank/1_Auftraege/4.Semester/4.8_Auftrag.pdf" TargetMode="External"/><Relationship Id="rId7" Type="http://schemas.openxmlformats.org/officeDocument/2006/relationships/hyperlink" Target="https://sanitaerlernen.ch/0_Datenbank/1_Auftraege/4.Semester/4.2_Auftrag.pdf" TargetMode="External"/><Relationship Id="rId12" Type="http://schemas.openxmlformats.org/officeDocument/2006/relationships/hyperlink" Target="https://sanitaerlernen.ch/0_Datenbank/1_Auftraege/4.Semester/4.10_Auftrag.pdf" TargetMode="External"/><Relationship Id="rId2" Type="http://schemas.openxmlformats.org/officeDocument/2006/relationships/image" Target="../media/image1.png"/><Relationship Id="rId1" Type="http://schemas.openxmlformats.org/officeDocument/2006/relationships/hyperlink" Target="https://sanitaerlernen.ch/0_Datenbank/1_Auftraege/4.Semester/4.4_Auftrag.pdf" TargetMode="External"/><Relationship Id="rId6" Type="http://schemas.openxmlformats.org/officeDocument/2006/relationships/hyperlink" Target="https://sanitaerlernen.ch/0_Datenbank/1_Auftraege/4.Semester/4.7_Auftrag.pdf" TargetMode="External"/><Relationship Id="rId11" Type="http://schemas.openxmlformats.org/officeDocument/2006/relationships/image" Target="../media/image2.png"/><Relationship Id="rId5" Type="http://schemas.openxmlformats.org/officeDocument/2006/relationships/hyperlink" Target="https://sanitaerlernen.ch/0_Datenbank/1_Auftraege/4.Semester/4.6_Auftrag.pdf" TargetMode="External"/><Relationship Id="rId15" Type="http://schemas.openxmlformats.org/officeDocument/2006/relationships/hyperlink" Target="https://sanitaerlernen.ch/0_Datenbank/1_Auftraege/4.Semester/4.11_Auftrag.pdf" TargetMode="External"/><Relationship Id="rId10" Type="http://schemas.openxmlformats.org/officeDocument/2006/relationships/hyperlink" Target="https://sanitaerlernen.ch/0_Datenbank/1_Auftraege/4.Semester/4.5_Auftrag.pdf" TargetMode="External"/><Relationship Id="rId4" Type="http://schemas.openxmlformats.org/officeDocument/2006/relationships/hyperlink" Target="https://sanitaerlernen.ch/0_Datenbank/1_Auftraege/4.Semester/4.9_Auftrag.pdf" TargetMode="External"/><Relationship Id="rId9" Type="http://schemas.openxmlformats.org/officeDocument/2006/relationships/hyperlink" Target="https://sanitaerlernen.ch/0_Datenbank/1_Auftraege/4.Semester/4.3_Auftrag.pdf" TargetMode="External"/><Relationship Id="rId1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.be/zlvfVbq58bk" TargetMode="External"/><Relationship Id="rId2" Type="http://schemas.openxmlformats.org/officeDocument/2006/relationships/image" Target="../media/image4.png"/><Relationship Id="rId1" Type="http://schemas.openxmlformats.org/officeDocument/2006/relationships/hyperlink" Target="https://youtu.be/5v_hwz_-8zw" TargetMode="External"/><Relationship Id="rId5" Type="http://schemas.openxmlformats.org/officeDocument/2006/relationships/hyperlink" Target="https://youtu.be/VjlcWDmjtmw" TargetMode="External"/><Relationship Id="rId4" Type="http://schemas.openxmlformats.org/officeDocument/2006/relationships/hyperlink" Target="https://youtu.be/75QmiWyQ4kE" TargetMode="Externa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https://studio.youtube.com/video/3QfrtxnjE34/edit" TargetMode="External"/><Relationship Id="rId2" Type="http://schemas.openxmlformats.org/officeDocument/2006/relationships/image" Target="../media/image4.png"/><Relationship Id="rId1" Type="http://schemas.openxmlformats.org/officeDocument/2006/relationships/hyperlink" Target="https://www.youtube.com/watch?v=saiO3aP9Hl8&amp;feature=youtu.be" TargetMode="External"/><Relationship Id="rId6" Type="http://schemas.openxmlformats.org/officeDocument/2006/relationships/hyperlink" Target="https://youtu.be/VjlcWDmjtmw" TargetMode="External"/><Relationship Id="rId5" Type="http://schemas.openxmlformats.org/officeDocument/2006/relationships/hyperlink" Target="https://youtu.be/75QmiWyQ4kE" TargetMode="External"/><Relationship Id="rId4" Type="http://schemas.openxmlformats.org/officeDocument/2006/relationships/hyperlink" Target="https://youtu.be/zlvfVbq58bk" TargetMode="Externa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.be/oMzOr2Mpjts" TargetMode="External"/><Relationship Id="rId2" Type="http://schemas.openxmlformats.org/officeDocument/2006/relationships/image" Target="../media/image4.png"/><Relationship Id="rId1" Type="http://schemas.openxmlformats.org/officeDocument/2006/relationships/hyperlink" Target="https://youtu.be/1WmDdF5N5lA" TargetMode="External"/><Relationship Id="rId6" Type="http://schemas.openxmlformats.org/officeDocument/2006/relationships/hyperlink" Target="https://youtu.be/VjlcWDmjtmw" TargetMode="External"/><Relationship Id="rId5" Type="http://schemas.openxmlformats.org/officeDocument/2006/relationships/hyperlink" Target="https://youtu.be/75QmiWyQ4kE" TargetMode="External"/><Relationship Id="rId4" Type="http://schemas.openxmlformats.org/officeDocument/2006/relationships/hyperlink" Target="https://youtu.be/zlvfVbq58bk" TargetMode="Externa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hyperlink" Target="https://youtu.be/VjlcWDmjtmw" TargetMode="External"/><Relationship Id="rId3" Type="http://schemas.openxmlformats.org/officeDocument/2006/relationships/hyperlink" Target="https://sanitaerlernen.ch/0_Datenbank/6_Lernziele/4.Semester/4.6_Lernziele.pdf" TargetMode="External"/><Relationship Id="rId7" Type="http://schemas.openxmlformats.org/officeDocument/2006/relationships/hyperlink" Target="https://youtu.be/75QmiWyQ4kE" TargetMode="External"/><Relationship Id="rId2" Type="http://schemas.openxmlformats.org/officeDocument/2006/relationships/image" Target="../media/image4.png"/><Relationship Id="rId1" Type="http://schemas.openxmlformats.org/officeDocument/2006/relationships/hyperlink" Target="https://youtu.be/Cs_KGbjwkJ4" TargetMode="External"/><Relationship Id="rId6" Type="http://schemas.openxmlformats.org/officeDocument/2006/relationships/hyperlink" Target="https://youtu.be/zlvfVbq58bk" TargetMode="External"/><Relationship Id="rId5" Type="http://schemas.openxmlformats.org/officeDocument/2006/relationships/hyperlink" Target="https://sanitaerlernen.ch/0_Datenbank/6_Lernziele/4.Semester/4.1_Lernziele.pdf" TargetMode="External"/><Relationship Id="rId4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watch?v=Q_mS6vQLz8g&amp;t=2s" TargetMode="External"/><Relationship Id="rId2" Type="http://schemas.openxmlformats.org/officeDocument/2006/relationships/image" Target="../media/image4.png"/><Relationship Id="rId1" Type="http://schemas.openxmlformats.org/officeDocument/2006/relationships/hyperlink" Target="https://www.youtube.com/watch?v=DIERpoc9mI4&amp;t=184s" TargetMode="Externa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hyperlink" Target="https://youtu.be/_ij2LncBjzQ" TargetMode="External"/><Relationship Id="rId3" Type="http://schemas.openxmlformats.org/officeDocument/2006/relationships/hyperlink" Target="https://www.youtube.com/watch?v=zawadZGC3ZU&amp;t=3s" TargetMode="External"/><Relationship Id="rId7" Type="http://schemas.openxmlformats.org/officeDocument/2006/relationships/hyperlink" Target="https://youtu.be/CfVZOkAuCGE" TargetMode="External"/><Relationship Id="rId2" Type="http://schemas.openxmlformats.org/officeDocument/2006/relationships/image" Target="../media/image4.png"/><Relationship Id="rId1" Type="http://schemas.openxmlformats.org/officeDocument/2006/relationships/hyperlink" Target="https://www.youtube.com/watch?v=o-oZ2pkqAb0" TargetMode="External"/><Relationship Id="rId6" Type="http://schemas.openxmlformats.org/officeDocument/2006/relationships/hyperlink" Target="https://www.youtube.com/watch?v=TUprt2hoklc" TargetMode="External"/><Relationship Id="rId5" Type="http://schemas.openxmlformats.org/officeDocument/2006/relationships/hyperlink" Target="https://www.youtube.com/watch?v=YEiprlk3tAw&amp;feature=youtu.be" TargetMode="External"/><Relationship Id="rId4" Type="http://schemas.openxmlformats.org/officeDocument/2006/relationships/hyperlink" Target="https://youtu.be/wd8CAy5QCaQ" TargetMode="Externa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hyperlink" Target="https://youtu.be/_ij2LncBjzQ" TargetMode="External"/><Relationship Id="rId3" Type="http://schemas.openxmlformats.org/officeDocument/2006/relationships/hyperlink" Target="https://www.youtube.com/watch?v=zawadZGC3ZU&amp;t=3s" TargetMode="External"/><Relationship Id="rId7" Type="http://schemas.openxmlformats.org/officeDocument/2006/relationships/hyperlink" Target="https://youtu.be/CfVZOkAuCGE" TargetMode="External"/><Relationship Id="rId2" Type="http://schemas.openxmlformats.org/officeDocument/2006/relationships/image" Target="../media/image4.png"/><Relationship Id="rId1" Type="http://schemas.openxmlformats.org/officeDocument/2006/relationships/hyperlink" Target="https://www.youtube.com/watch?v=o-oZ2pkqAb0" TargetMode="External"/><Relationship Id="rId6" Type="http://schemas.openxmlformats.org/officeDocument/2006/relationships/hyperlink" Target="https://www.youtube.com/watch?v=TUprt2hoklc" TargetMode="External"/><Relationship Id="rId5" Type="http://schemas.openxmlformats.org/officeDocument/2006/relationships/hyperlink" Target="https://www.youtube.com/watch?v=YEiprlk3tAw&amp;feature=youtu.be" TargetMode="External"/><Relationship Id="rId4" Type="http://schemas.openxmlformats.org/officeDocument/2006/relationships/hyperlink" Target="https://youtu.be/wd8CAy5QCaQ" TargetMode="Externa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watch?v=YEiprlk3tAw&amp;feature=youtu.be" TargetMode="External"/><Relationship Id="rId2" Type="http://schemas.openxmlformats.org/officeDocument/2006/relationships/image" Target="../media/image4.png"/><Relationship Id="rId1" Type="http://schemas.openxmlformats.org/officeDocument/2006/relationships/hyperlink" Target="https://youtu.be/wd8CAy5QCaQ" TargetMode="External"/><Relationship Id="rId6" Type="http://schemas.openxmlformats.org/officeDocument/2006/relationships/hyperlink" Target="https://youtu.be/_ij2LncBjzQ" TargetMode="External"/><Relationship Id="rId5" Type="http://schemas.openxmlformats.org/officeDocument/2006/relationships/hyperlink" Target="https://youtu.be/CfVZOkAuCGE" TargetMode="External"/><Relationship Id="rId4" Type="http://schemas.openxmlformats.org/officeDocument/2006/relationships/hyperlink" Target="https://www.youtube.com/watch?v=TUprt2hoklc" TargetMode="External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watch?v=TUprt2hoklc" TargetMode="External"/><Relationship Id="rId3" Type="http://schemas.openxmlformats.org/officeDocument/2006/relationships/hyperlink" Target="https://www.youtube.com/watch?v=zawadZGC3ZU&amp;t=3s" TargetMode="External"/><Relationship Id="rId7" Type="http://schemas.openxmlformats.org/officeDocument/2006/relationships/hyperlink" Target="https://www.youtube.com/watch?v=YEiprlk3tAw&amp;feature=youtu.be" TargetMode="External"/><Relationship Id="rId2" Type="http://schemas.openxmlformats.org/officeDocument/2006/relationships/image" Target="../media/image4.png"/><Relationship Id="rId1" Type="http://schemas.openxmlformats.org/officeDocument/2006/relationships/hyperlink" Target="https://www.youtube.com/watch?v=o-oZ2pkqAb0" TargetMode="External"/><Relationship Id="rId6" Type="http://schemas.openxmlformats.org/officeDocument/2006/relationships/hyperlink" Target="https://youtu.be/wd8CAy5QCaQ" TargetMode="External"/><Relationship Id="rId5" Type="http://schemas.openxmlformats.org/officeDocument/2006/relationships/image" Target="../media/image5.png"/><Relationship Id="rId10" Type="http://schemas.openxmlformats.org/officeDocument/2006/relationships/hyperlink" Target="https://youtu.be/_ij2LncBjzQ" TargetMode="External"/><Relationship Id="rId4" Type="http://schemas.openxmlformats.org/officeDocument/2006/relationships/hyperlink" Target="https://sanitaerlernen.ch/0_Datenbank/6_Lernziele/4.Semester/4.7_Lernziele.pdf" TargetMode="External"/><Relationship Id="rId9" Type="http://schemas.openxmlformats.org/officeDocument/2006/relationships/hyperlink" Target="https://youtu.be/CfVZOkAuCGE" TargetMode="Externa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watch?v=zawadZGC3ZU&amp;t=3s" TargetMode="External"/><Relationship Id="rId7" Type="http://schemas.openxmlformats.org/officeDocument/2006/relationships/hyperlink" Target="https://youtu.be/BVhmlNbcbqA" TargetMode="External"/><Relationship Id="rId2" Type="http://schemas.openxmlformats.org/officeDocument/2006/relationships/image" Target="../media/image4.png"/><Relationship Id="rId1" Type="http://schemas.openxmlformats.org/officeDocument/2006/relationships/hyperlink" Target="https://www.youtube.com/watch?v=o-oZ2pkqAb0" TargetMode="External"/><Relationship Id="rId6" Type="http://schemas.openxmlformats.org/officeDocument/2006/relationships/hyperlink" Target="https://youtu.be/sDrdJPc8rOs" TargetMode="External"/><Relationship Id="rId5" Type="http://schemas.openxmlformats.org/officeDocument/2006/relationships/image" Target="../media/image5.png"/><Relationship Id="rId4" Type="http://schemas.openxmlformats.org/officeDocument/2006/relationships/hyperlink" Target="https://sanitaerlernen.ch/0_Datenbank/6_Lernziele/4.Semester/4.2_Lernziele.pdf" TargetMode="External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hyperlink" Target="https://youtu.be/EicaT0nlmXY" TargetMode="External"/><Relationship Id="rId3" Type="http://schemas.openxmlformats.org/officeDocument/2006/relationships/hyperlink" Target="https://www.youtube.com/watch?v=zawadZGC3ZU&amp;t=3s" TargetMode="External"/><Relationship Id="rId7" Type="http://schemas.openxmlformats.org/officeDocument/2006/relationships/hyperlink" Target="https://youtu.be/Y5CAU6L29nU" TargetMode="External"/><Relationship Id="rId2" Type="http://schemas.openxmlformats.org/officeDocument/2006/relationships/image" Target="../media/image4.png"/><Relationship Id="rId1" Type="http://schemas.openxmlformats.org/officeDocument/2006/relationships/hyperlink" Target="https://www.youtube.com/watch?v=o-oZ2pkqAb0" TargetMode="External"/><Relationship Id="rId6" Type="http://schemas.openxmlformats.org/officeDocument/2006/relationships/hyperlink" Target="https://youtu.be/cbdIEyonWTg" TargetMode="External"/><Relationship Id="rId5" Type="http://schemas.openxmlformats.org/officeDocument/2006/relationships/hyperlink" Target="https://youtu.be/BVhmlNbcbqA" TargetMode="External"/><Relationship Id="rId4" Type="http://schemas.openxmlformats.org/officeDocument/2006/relationships/hyperlink" Target="https://youtu.be/sDrdJPc8rOs" TargetMode="Externa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.be/BVhmlNbcbqA" TargetMode="External"/><Relationship Id="rId2" Type="http://schemas.openxmlformats.org/officeDocument/2006/relationships/image" Target="../media/image4.png"/><Relationship Id="rId1" Type="http://schemas.openxmlformats.org/officeDocument/2006/relationships/hyperlink" Target="https://youtu.be/sDrdJPc8rOs" TargetMode="External"/><Relationship Id="rId6" Type="http://schemas.openxmlformats.org/officeDocument/2006/relationships/hyperlink" Target="https://youtu.be/EicaT0nlmXY" TargetMode="External"/><Relationship Id="rId5" Type="http://schemas.openxmlformats.org/officeDocument/2006/relationships/hyperlink" Target="https://youtu.be/Y5CAU6L29nU" TargetMode="External"/><Relationship Id="rId4" Type="http://schemas.openxmlformats.org/officeDocument/2006/relationships/hyperlink" Target="https://youtu.be/cbdIEyonWTg" TargetMode="External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hyperlink" Target="https://youtu.be/EicaT0nlmXY" TargetMode="External"/><Relationship Id="rId3" Type="http://schemas.openxmlformats.org/officeDocument/2006/relationships/hyperlink" Target="https://youtu.be/sDrdJPc8rOs" TargetMode="External"/><Relationship Id="rId7" Type="http://schemas.openxmlformats.org/officeDocument/2006/relationships/hyperlink" Target="https://youtu.be/Y5CAU6L29nU" TargetMode="External"/><Relationship Id="rId2" Type="http://schemas.openxmlformats.org/officeDocument/2006/relationships/image" Target="../media/image5.png"/><Relationship Id="rId1" Type="http://schemas.openxmlformats.org/officeDocument/2006/relationships/hyperlink" Target="https://sanitaerlernen.ch/0_Datenbank/6_Lernziele/4.Semester/4.8_Lernziele.pdf" TargetMode="External"/><Relationship Id="rId6" Type="http://schemas.openxmlformats.org/officeDocument/2006/relationships/hyperlink" Target="https://youtu.be/cbdIEyonWTg" TargetMode="External"/><Relationship Id="rId5" Type="http://schemas.openxmlformats.org/officeDocument/2006/relationships/hyperlink" Target="https://youtu.be/BVhmlNbcbqA" TargetMode="External"/><Relationship Id="rId4" Type="http://schemas.openxmlformats.org/officeDocument/2006/relationships/image" Target="../media/image4.png"/><Relationship Id="rId9" Type="http://schemas.openxmlformats.org/officeDocument/2006/relationships/hyperlink" Target="https://youtu.be/QUJ0fkQVwRU" TargetMode="Externa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https://youtu.be/yml2XY6OUmE" TargetMode="External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https://youtu.be/yml2XY6OUmE" TargetMode="External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https://youtu.be/yml2XY6OUmE" TargetMode="Externa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500064</xdr:colOff>
      <xdr:row>42</xdr:row>
      <xdr:rowOff>180975</xdr:rowOff>
    </xdr:from>
    <xdr:ext cx="4243386" cy="333375"/>
    <xdr:sp macro="" textlink="">
      <xdr:nvSpPr>
        <xdr:cNvPr id="19" name="Textfeld 18">
          <a:extLst>
            <a:ext uri="{FF2B5EF4-FFF2-40B4-BE49-F238E27FC236}">
              <a16:creationId xmlns:a16="http://schemas.microsoft.com/office/drawing/2014/main" id="{60672BFD-779D-4B8A-9548-A3431AEC7D44}"/>
            </a:ext>
          </a:extLst>
        </xdr:cNvPr>
        <xdr:cNvSpPr txBox="1"/>
      </xdr:nvSpPr>
      <xdr:spPr>
        <a:xfrm>
          <a:off x="11577639" y="10020300"/>
          <a:ext cx="4243386" cy="3333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de-CH" sz="700" b="0">
              <a:latin typeface="Century Gothic" panose="020B0502020202020204" pitchFamily="34" charset="0"/>
            </a:rPr>
            <a:t>Kanton St.Gallen</a:t>
          </a:r>
          <a:r>
            <a:rPr lang="de-CH" sz="700" b="0" baseline="0">
              <a:latin typeface="Century Gothic" panose="020B0502020202020204" pitchFamily="34" charset="0"/>
            </a:rPr>
            <a:t> </a:t>
          </a:r>
          <a:r>
            <a:rPr lang="de-CH" sz="700" b="0">
              <a:latin typeface="Century Gothic" panose="020B0502020202020204" pitchFamily="34" charset="0"/>
            </a:rPr>
            <a:t>Gewerbliches Berufs- und Weiterbildungszentrum</a:t>
          </a:r>
        </a:p>
      </xdr:txBody>
    </xdr:sp>
    <xdr:clientData/>
  </xdr:oneCellAnchor>
  <xdr:twoCellAnchor editAs="oneCell">
    <xdr:from>
      <xdr:col>4</xdr:col>
      <xdr:colOff>19051</xdr:colOff>
      <xdr:row>13</xdr:row>
      <xdr:rowOff>57151</xdr:rowOff>
    </xdr:from>
    <xdr:to>
      <xdr:col>4</xdr:col>
      <xdr:colOff>342901</xdr:colOff>
      <xdr:row>14</xdr:row>
      <xdr:rowOff>133351</xdr:rowOff>
    </xdr:to>
    <xdr:pic>
      <xdr:nvPicPr>
        <xdr:cNvPr id="9" name="Grafik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30FA9C-A277-44EB-880B-8E8237338E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62176" y="3000376"/>
          <a:ext cx="323850" cy="323850"/>
        </a:xfrm>
        <a:prstGeom prst="rect">
          <a:avLst/>
        </a:prstGeom>
      </xdr:spPr>
    </xdr:pic>
    <xdr:clientData/>
  </xdr:twoCellAnchor>
  <xdr:twoCellAnchor editAs="oneCell">
    <xdr:from>
      <xdr:col>4</xdr:col>
      <xdr:colOff>19051</xdr:colOff>
      <xdr:row>31</xdr:row>
      <xdr:rowOff>47626</xdr:rowOff>
    </xdr:from>
    <xdr:to>
      <xdr:col>4</xdr:col>
      <xdr:colOff>342901</xdr:colOff>
      <xdr:row>32</xdr:row>
      <xdr:rowOff>123826</xdr:rowOff>
    </xdr:to>
    <xdr:pic>
      <xdr:nvPicPr>
        <xdr:cNvPr id="23" name="Grafik 2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E46DBF1-24AD-4435-B9EA-4B4F773112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62176" y="5219701"/>
          <a:ext cx="323850" cy="323850"/>
        </a:xfrm>
        <a:prstGeom prst="rect">
          <a:avLst/>
        </a:prstGeom>
      </xdr:spPr>
    </xdr:pic>
    <xdr:clientData/>
  </xdr:twoCellAnchor>
  <xdr:twoCellAnchor editAs="oneCell">
    <xdr:from>
      <xdr:col>6</xdr:col>
      <xdr:colOff>9526</xdr:colOff>
      <xdr:row>31</xdr:row>
      <xdr:rowOff>47626</xdr:rowOff>
    </xdr:from>
    <xdr:to>
      <xdr:col>6</xdr:col>
      <xdr:colOff>333376</xdr:colOff>
      <xdr:row>32</xdr:row>
      <xdr:rowOff>123826</xdr:rowOff>
    </xdr:to>
    <xdr:pic>
      <xdr:nvPicPr>
        <xdr:cNvPr id="24" name="Grafik 2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0B1BD27-65B5-4EBE-9CCA-6DE852B837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24301" y="5219701"/>
          <a:ext cx="323850" cy="323850"/>
        </a:xfrm>
        <a:prstGeom prst="rect">
          <a:avLst/>
        </a:prstGeom>
      </xdr:spPr>
    </xdr:pic>
    <xdr:clientData/>
  </xdr:twoCellAnchor>
  <xdr:oneCellAnchor>
    <xdr:from>
      <xdr:col>4</xdr:col>
      <xdr:colOff>19051</xdr:colOff>
      <xdr:row>22</xdr:row>
      <xdr:rowOff>57151</xdr:rowOff>
    </xdr:from>
    <xdr:ext cx="323850" cy="323850"/>
    <xdr:pic>
      <xdr:nvPicPr>
        <xdr:cNvPr id="25" name="Grafik 2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FD233A6-31E9-4114-95A9-A7CF8E4B2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62176" y="3000376"/>
          <a:ext cx="323850" cy="323850"/>
        </a:xfrm>
        <a:prstGeom prst="rect">
          <a:avLst/>
        </a:prstGeom>
      </xdr:spPr>
    </xdr:pic>
    <xdr:clientData/>
  </xdr:oneCellAnchor>
  <xdr:oneCellAnchor>
    <xdr:from>
      <xdr:col>7</xdr:col>
      <xdr:colOff>9526</xdr:colOff>
      <xdr:row>22</xdr:row>
      <xdr:rowOff>57151</xdr:rowOff>
    </xdr:from>
    <xdr:ext cx="323850" cy="323850"/>
    <xdr:pic>
      <xdr:nvPicPr>
        <xdr:cNvPr id="27" name="Grafik 2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5AE84301-5642-4C5F-AF9B-2E6FF22F9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95951" y="3000376"/>
          <a:ext cx="323850" cy="323850"/>
        </a:xfrm>
        <a:prstGeom prst="rect">
          <a:avLst/>
        </a:prstGeom>
      </xdr:spPr>
    </xdr:pic>
    <xdr:clientData/>
  </xdr:oneCellAnchor>
  <xdr:oneCellAnchor>
    <xdr:from>
      <xdr:col>6</xdr:col>
      <xdr:colOff>9526</xdr:colOff>
      <xdr:row>4</xdr:row>
      <xdr:rowOff>57151</xdr:rowOff>
    </xdr:from>
    <xdr:ext cx="323850" cy="323850"/>
    <xdr:pic>
      <xdr:nvPicPr>
        <xdr:cNvPr id="13" name="Grafik 12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EE02C32-4590-497E-B324-8882656BF2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24301" y="771526"/>
          <a:ext cx="323850" cy="323850"/>
        </a:xfrm>
        <a:prstGeom prst="rect">
          <a:avLst/>
        </a:prstGeom>
      </xdr:spPr>
    </xdr:pic>
    <xdr:clientData/>
  </xdr:oneCellAnchor>
  <xdr:oneCellAnchor>
    <xdr:from>
      <xdr:col>4</xdr:col>
      <xdr:colOff>9526</xdr:colOff>
      <xdr:row>4</xdr:row>
      <xdr:rowOff>66676</xdr:rowOff>
    </xdr:from>
    <xdr:ext cx="323850" cy="323850"/>
    <xdr:pic>
      <xdr:nvPicPr>
        <xdr:cNvPr id="15" name="Grafik 14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BA0CD85-07FE-4004-9B55-DD71C84300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52651" y="781051"/>
          <a:ext cx="323850" cy="323850"/>
        </a:xfrm>
        <a:prstGeom prst="rect">
          <a:avLst/>
        </a:prstGeom>
      </xdr:spPr>
    </xdr:pic>
    <xdr:clientData/>
  </xdr:oneCellAnchor>
  <xdr:oneCellAnchor>
    <xdr:from>
      <xdr:col>8</xdr:col>
      <xdr:colOff>19051</xdr:colOff>
      <xdr:row>4</xdr:row>
      <xdr:rowOff>66676</xdr:rowOff>
    </xdr:from>
    <xdr:ext cx="323850" cy="323850"/>
    <xdr:pic>
      <xdr:nvPicPr>
        <xdr:cNvPr id="17" name="Grafik 16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8370484C-9976-4E56-A7CA-59B22C7361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05476" y="781051"/>
          <a:ext cx="323850" cy="323850"/>
        </a:xfrm>
        <a:prstGeom prst="rect">
          <a:avLst/>
        </a:prstGeom>
      </xdr:spPr>
    </xdr:pic>
    <xdr:clientData/>
  </xdr:oneCellAnchor>
  <xdr:twoCellAnchor editAs="oneCell">
    <xdr:from>
      <xdr:col>6</xdr:col>
      <xdr:colOff>28576</xdr:colOff>
      <xdr:row>13</xdr:row>
      <xdr:rowOff>57151</xdr:rowOff>
    </xdr:from>
    <xdr:to>
      <xdr:col>6</xdr:col>
      <xdr:colOff>352426</xdr:colOff>
      <xdr:row>14</xdr:row>
      <xdr:rowOff>133351</xdr:rowOff>
    </xdr:to>
    <xdr:pic>
      <xdr:nvPicPr>
        <xdr:cNvPr id="18" name="Grafik 17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CC11583C-97FD-4574-84C5-582E46AC33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43351" y="3000376"/>
          <a:ext cx="323850" cy="323850"/>
        </a:xfrm>
        <a:prstGeom prst="rect">
          <a:avLst/>
        </a:prstGeom>
      </xdr:spPr>
    </xdr:pic>
    <xdr:clientData/>
  </xdr:twoCellAnchor>
  <xdr:oneCellAnchor>
    <xdr:from>
      <xdr:col>9</xdr:col>
      <xdr:colOff>447675</xdr:colOff>
      <xdr:row>33</xdr:row>
      <xdr:rowOff>118634</xdr:rowOff>
    </xdr:from>
    <xdr:ext cx="952500" cy="164306"/>
    <xdr:pic>
      <xdr:nvPicPr>
        <xdr:cNvPr id="20" name="Grafik 19">
          <a:extLst>
            <a:ext uri="{FF2B5EF4-FFF2-40B4-BE49-F238E27FC236}">
              <a16:creationId xmlns:a16="http://schemas.microsoft.com/office/drawing/2014/main" id="{425F88EB-F3FF-4B85-BC63-0FF5F2DEAB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05700" y="8014859"/>
          <a:ext cx="952500" cy="164306"/>
        </a:xfrm>
        <a:prstGeom prst="rect">
          <a:avLst/>
        </a:prstGeom>
      </xdr:spPr>
    </xdr:pic>
    <xdr:clientData/>
  </xdr:oneCellAnchor>
  <xdr:oneCellAnchor>
    <xdr:from>
      <xdr:col>9</xdr:col>
      <xdr:colOff>1</xdr:colOff>
      <xdr:row>31</xdr:row>
      <xdr:rowOff>47626</xdr:rowOff>
    </xdr:from>
    <xdr:ext cx="323850" cy="323850"/>
    <xdr:pic>
      <xdr:nvPicPr>
        <xdr:cNvPr id="21" name="Grafik 20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2798CB6-67EE-404C-8001-1302C75D10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72251" y="5219701"/>
          <a:ext cx="323850" cy="323850"/>
        </a:xfrm>
        <a:prstGeom prst="rect">
          <a:avLst/>
        </a:prstGeom>
      </xdr:spPr>
    </xdr:pic>
    <xdr:clientData/>
  </xdr:oneCellAnchor>
  <xdr:twoCellAnchor editAs="oneCell">
    <xdr:from>
      <xdr:col>20</xdr:col>
      <xdr:colOff>657225</xdr:colOff>
      <xdr:row>4</xdr:row>
      <xdr:rowOff>85725</xdr:rowOff>
    </xdr:from>
    <xdr:to>
      <xdr:col>20</xdr:col>
      <xdr:colOff>985837</xdr:colOff>
      <xdr:row>5</xdr:row>
      <xdr:rowOff>161925</xdr:rowOff>
    </xdr:to>
    <xdr:pic>
      <xdr:nvPicPr>
        <xdr:cNvPr id="16" name="Grafik 15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3429B161-F4AF-4195-B022-B9D7AB85B4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39875" y="800100"/>
          <a:ext cx="328612" cy="323850"/>
        </a:xfrm>
        <a:prstGeom prst="rect">
          <a:avLst/>
        </a:prstGeom>
      </xdr:spPr>
    </xdr:pic>
    <xdr:clientData/>
  </xdr:twoCellAnchor>
  <xdr:oneCellAnchor>
    <xdr:from>
      <xdr:col>8</xdr:col>
      <xdr:colOff>19051</xdr:colOff>
      <xdr:row>13</xdr:row>
      <xdr:rowOff>57151</xdr:rowOff>
    </xdr:from>
    <xdr:ext cx="323850" cy="323850"/>
    <xdr:pic>
      <xdr:nvPicPr>
        <xdr:cNvPr id="22" name="Grafik 21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CD19D31D-FC88-4FFA-BE55-088F7634B6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24576" y="3000376"/>
          <a:ext cx="323850" cy="32385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390525</xdr:colOff>
      <xdr:row>4</xdr:row>
      <xdr:rowOff>152400</xdr:rowOff>
    </xdr:from>
    <xdr:ext cx="353287" cy="334237"/>
    <xdr:pic>
      <xdr:nvPicPr>
        <xdr:cNvPr id="2" name="Grafik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6C74F87-F37F-485A-A128-96FF26A86A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91175" y="914400"/>
          <a:ext cx="353287" cy="334237"/>
        </a:xfrm>
        <a:prstGeom prst="rect">
          <a:avLst/>
        </a:prstGeom>
        <a:noFill/>
      </xdr:spPr>
    </xdr:pic>
    <xdr:clientData/>
  </xdr:oneCellAnchor>
  <xdr:oneCellAnchor>
    <xdr:from>
      <xdr:col>6</xdr:col>
      <xdr:colOff>390525</xdr:colOff>
      <xdr:row>21</xdr:row>
      <xdr:rowOff>142875</xdr:rowOff>
    </xdr:from>
    <xdr:ext cx="353287" cy="334237"/>
    <xdr:pic>
      <xdr:nvPicPr>
        <xdr:cNvPr id="3" name="Grafik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0813C33-C187-4701-8F62-A250688D86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91175" y="4238625"/>
          <a:ext cx="353287" cy="334237"/>
        </a:xfrm>
        <a:prstGeom prst="rect">
          <a:avLst/>
        </a:prstGeom>
        <a:noFill/>
      </xdr:spPr>
    </xdr:pic>
    <xdr:clientData/>
  </xdr:oneCellAnchor>
  <xdr:oneCellAnchor>
    <xdr:from>
      <xdr:col>6</xdr:col>
      <xdr:colOff>381000</xdr:colOff>
      <xdr:row>23</xdr:row>
      <xdr:rowOff>190500</xdr:rowOff>
    </xdr:from>
    <xdr:ext cx="353287" cy="334237"/>
    <xdr:pic>
      <xdr:nvPicPr>
        <xdr:cNvPr id="4" name="Grafik 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53745AD-ABB4-43D2-B19E-94A422D49D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81650" y="4686300"/>
          <a:ext cx="353287" cy="334237"/>
        </a:xfrm>
        <a:prstGeom prst="rect">
          <a:avLst/>
        </a:prstGeom>
        <a:noFill/>
      </xdr:spPr>
    </xdr:pic>
    <xdr:clientData/>
  </xdr:oneCellAnchor>
  <xdr:oneCellAnchor>
    <xdr:from>
      <xdr:col>6</xdr:col>
      <xdr:colOff>390525</xdr:colOff>
      <xdr:row>26</xdr:row>
      <xdr:rowOff>76200</xdr:rowOff>
    </xdr:from>
    <xdr:ext cx="353287" cy="334237"/>
    <xdr:pic>
      <xdr:nvPicPr>
        <xdr:cNvPr id="5" name="Grafik 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FA1F315-FD9C-4808-BEA3-79C2C30743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91175" y="5172075"/>
          <a:ext cx="353287" cy="334237"/>
        </a:xfrm>
        <a:prstGeom prst="rect">
          <a:avLst/>
        </a:prstGeom>
        <a:noFill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390525</xdr:colOff>
      <xdr:row>4</xdr:row>
      <xdr:rowOff>152400</xdr:rowOff>
    </xdr:from>
    <xdr:ext cx="353287" cy="334237"/>
    <xdr:pic>
      <xdr:nvPicPr>
        <xdr:cNvPr id="2" name="Grafik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C2A2D3E-9376-44CF-8590-D78F301478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91175" y="914400"/>
          <a:ext cx="353287" cy="334237"/>
        </a:xfrm>
        <a:prstGeom prst="rect">
          <a:avLst/>
        </a:prstGeom>
        <a:noFill/>
      </xdr:spPr>
    </xdr:pic>
    <xdr:clientData/>
  </xdr:oneCellAnchor>
  <xdr:oneCellAnchor>
    <xdr:from>
      <xdr:col>6</xdr:col>
      <xdr:colOff>381000</xdr:colOff>
      <xdr:row>7</xdr:row>
      <xdr:rowOff>19050</xdr:rowOff>
    </xdr:from>
    <xdr:ext cx="353287" cy="334237"/>
    <xdr:pic>
      <xdr:nvPicPr>
        <xdr:cNvPr id="4" name="Grafik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B2B8FF6-13AC-4D84-B883-6AEDDA7743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81650" y="1381125"/>
          <a:ext cx="353287" cy="334237"/>
        </a:xfrm>
        <a:prstGeom prst="rect">
          <a:avLst/>
        </a:prstGeom>
        <a:noFill/>
      </xdr:spPr>
    </xdr:pic>
    <xdr:clientData/>
  </xdr:oneCellAnchor>
  <xdr:oneCellAnchor>
    <xdr:from>
      <xdr:col>6</xdr:col>
      <xdr:colOff>390525</xdr:colOff>
      <xdr:row>21</xdr:row>
      <xdr:rowOff>142875</xdr:rowOff>
    </xdr:from>
    <xdr:ext cx="353287" cy="334237"/>
    <xdr:pic>
      <xdr:nvPicPr>
        <xdr:cNvPr id="7" name="Grafik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56111EB-9A5F-416F-AD28-6D740A0DF5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91175" y="4238625"/>
          <a:ext cx="353287" cy="334237"/>
        </a:xfrm>
        <a:prstGeom prst="rect">
          <a:avLst/>
        </a:prstGeom>
        <a:noFill/>
      </xdr:spPr>
    </xdr:pic>
    <xdr:clientData/>
  </xdr:oneCellAnchor>
  <xdr:oneCellAnchor>
    <xdr:from>
      <xdr:col>6</xdr:col>
      <xdr:colOff>381000</xdr:colOff>
      <xdr:row>23</xdr:row>
      <xdr:rowOff>190500</xdr:rowOff>
    </xdr:from>
    <xdr:ext cx="353287" cy="334237"/>
    <xdr:pic>
      <xdr:nvPicPr>
        <xdr:cNvPr id="8" name="Grafik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62A3DE5-34ED-41CE-8191-9CE8CA4EF8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81650" y="4686300"/>
          <a:ext cx="353287" cy="334237"/>
        </a:xfrm>
        <a:prstGeom prst="rect">
          <a:avLst/>
        </a:prstGeom>
        <a:noFill/>
      </xdr:spPr>
    </xdr:pic>
    <xdr:clientData/>
  </xdr:oneCellAnchor>
  <xdr:oneCellAnchor>
    <xdr:from>
      <xdr:col>6</xdr:col>
      <xdr:colOff>390525</xdr:colOff>
      <xdr:row>26</xdr:row>
      <xdr:rowOff>76200</xdr:rowOff>
    </xdr:from>
    <xdr:ext cx="353287" cy="334237"/>
    <xdr:pic>
      <xdr:nvPicPr>
        <xdr:cNvPr id="9" name="Grafik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313C4ADD-5475-4F8C-9413-2EB6E6FC62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91175" y="5172075"/>
          <a:ext cx="353287" cy="334237"/>
        </a:xfrm>
        <a:prstGeom prst="rect">
          <a:avLst/>
        </a:prstGeom>
        <a:noFill/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390525</xdr:colOff>
      <xdr:row>4</xdr:row>
      <xdr:rowOff>152400</xdr:rowOff>
    </xdr:from>
    <xdr:ext cx="353287" cy="334237"/>
    <xdr:pic>
      <xdr:nvPicPr>
        <xdr:cNvPr id="2" name="Grafik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BEB7BC5-44F8-4BEE-8601-BEE0F54ACF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91175" y="914400"/>
          <a:ext cx="353287" cy="334237"/>
        </a:xfrm>
        <a:prstGeom prst="rect">
          <a:avLst/>
        </a:prstGeom>
        <a:noFill/>
      </xdr:spPr>
    </xdr:pic>
    <xdr:clientData/>
  </xdr:oneCellAnchor>
  <xdr:oneCellAnchor>
    <xdr:from>
      <xdr:col>6</xdr:col>
      <xdr:colOff>390525</xdr:colOff>
      <xdr:row>6</xdr:row>
      <xdr:rowOff>133350</xdr:rowOff>
    </xdr:from>
    <xdr:ext cx="353287" cy="334237"/>
    <xdr:pic>
      <xdr:nvPicPr>
        <xdr:cNvPr id="4" name="Grafik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01E9E6B-E157-48B8-B4C9-272FF4A375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91175" y="1295400"/>
          <a:ext cx="353287" cy="334237"/>
        </a:xfrm>
        <a:prstGeom prst="rect">
          <a:avLst/>
        </a:prstGeom>
        <a:noFill/>
      </xdr:spPr>
    </xdr:pic>
    <xdr:clientData/>
  </xdr:oneCellAnchor>
  <xdr:oneCellAnchor>
    <xdr:from>
      <xdr:col>6</xdr:col>
      <xdr:colOff>390525</xdr:colOff>
      <xdr:row>21</xdr:row>
      <xdr:rowOff>142875</xdr:rowOff>
    </xdr:from>
    <xdr:ext cx="353287" cy="334237"/>
    <xdr:pic>
      <xdr:nvPicPr>
        <xdr:cNvPr id="5" name="Grafik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DADD4FD-B730-4411-B9FC-C1C3EF32C0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91175" y="4238625"/>
          <a:ext cx="353287" cy="334237"/>
        </a:xfrm>
        <a:prstGeom prst="rect">
          <a:avLst/>
        </a:prstGeom>
        <a:noFill/>
      </xdr:spPr>
    </xdr:pic>
    <xdr:clientData/>
  </xdr:oneCellAnchor>
  <xdr:oneCellAnchor>
    <xdr:from>
      <xdr:col>6</xdr:col>
      <xdr:colOff>381000</xdr:colOff>
      <xdr:row>23</xdr:row>
      <xdr:rowOff>190500</xdr:rowOff>
    </xdr:from>
    <xdr:ext cx="353287" cy="334237"/>
    <xdr:pic>
      <xdr:nvPicPr>
        <xdr:cNvPr id="6" name="Grafik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E483437-CEF7-4547-91CD-3381652904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81650" y="4686300"/>
          <a:ext cx="353287" cy="334237"/>
        </a:xfrm>
        <a:prstGeom prst="rect">
          <a:avLst/>
        </a:prstGeom>
        <a:noFill/>
      </xdr:spPr>
    </xdr:pic>
    <xdr:clientData/>
  </xdr:oneCellAnchor>
  <xdr:oneCellAnchor>
    <xdr:from>
      <xdr:col>6</xdr:col>
      <xdr:colOff>390525</xdr:colOff>
      <xdr:row>26</xdr:row>
      <xdr:rowOff>76200</xdr:rowOff>
    </xdr:from>
    <xdr:ext cx="353287" cy="334237"/>
    <xdr:pic>
      <xdr:nvPicPr>
        <xdr:cNvPr id="7" name="Grafik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6142A89F-CBCA-4AD0-AFED-6705FDB18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91175" y="5172075"/>
          <a:ext cx="353287" cy="334237"/>
        </a:xfrm>
        <a:prstGeom prst="rect">
          <a:avLst/>
        </a:prstGeom>
        <a:noFill/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390525</xdr:colOff>
      <xdr:row>4</xdr:row>
      <xdr:rowOff>152400</xdr:rowOff>
    </xdr:from>
    <xdr:ext cx="353287" cy="334237"/>
    <xdr:pic>
      <xdr:nvPicPr>
        <xdr:cNvPr id="2" name="Grafik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E8B6025-ADB1-4AB4-8A9A-54325FD6B6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91175" y="914400"/>
          <a:ext cx="353287" cy="334237"/>
        </a:xfrm>
        <a:prstGeom prst="rect">
          <a:avLst/>
        </a:prstGeom>
        <a:noFill/>
      </xdr:spPr>
    </xdr:pic>
    <xdr:clientData/>
  </xdr:oneCellAnchor>
  <xdr:twoCellAnchor editAs="oneCell">
    <xdr:from>
      <xdr:col>6</xdr:col>
      <xdr:colOff>400050</xdr:colOff>
      <xdr:row>11</xdr:row>
      <xdr:rowOff>28575</xdr:rowOff>
    </xdr:from>
    <xdr:to>
      <xdr:col>6</xdr:col>
      <xdr:colOff>728243</xdr:colOff>
      <xdr:row>12</xdr:row>
      <xdr:rowOff>158576</xdr:rowOff>
    </xdr:to>
    <xdr:pic>
      <xdr:nvPicPr>
        <xdr:cNvPr id="4" name="Grafik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551D070-47EB-441D-88AF-D29E14EFD2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0700" y="2171700"/>
          <a:ext cx="328193" cy="320501"/>
        </a:xfrm>
        <a:prstGeom prst="rect">
          <a:avLst/>
        </a:prstGeom>
      </xdr:spPr>
    </xdr:pic>
    <xdr:clientData/>
  </xdr:twoCellAnchor>
  <xdr:twoCellAnchor editAs="oneCell">
    <xdr:from>
      <xdr:col>6</xdr:col>
      <xdr:colOff>400050</xdr:colOff>
      <xdr:row>28</xdr:row>
      <xdr:rowOff>28575</xdr:rowOff>
    </xdr:from>
    <xdr:to>
      <xdr:col>6</xdr:col>
      <xdr:colOff>728243</xdr:colOff>
      <xdr:row>29</xdr:row>
      <xdr:rowOff>149051</xdr:rowOff>
    </xdr:to>
    <xdr:pic>
      <xdr:nvPicPr>
        <xdr:cNvPr id="5" name="Grafik 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DFC5E65-78F0-4253-8006-DFAC318B5D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0700" y="2171700"/>
          <a:ext cx="328193" cy="320501"/>
        </a:xfrm>
        <a:prstGeom prst="rect">
          <a:avLst/>
        </a:prstGeom>
      </xdr:spPr>
    </xdr:pic>
    <xdr:clientData/>
  </xdr:twoCellAnchor>
  <xdr:oneCellAnchor>
    <xdr:from>
      <xdr:col>6</xdr:col>
      <xdr:colOff>85725</xdr:colOff>
      <xdr:row>21</xdr:row>
      <xdr:rowOff>76200</xdr:rowOff>
    </xdr:from>
    <xdr:ext cx="353287" cy="334237"/>
    <xdr:pic>
      <xdr:nvPicPr>
        <xdr:cNvPr id="6" name="Grafik 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7F87B09-E274-4978-9548-CEF960DB97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86375" y="4200525"/>
          <a:ext cx="353287" cy="334237"/>
        </a:xfrm>
        <a:prstGeom prst="rect">
          <a:avLst/>
        </a:prstGeom>
        <a:noFill/>
      </xdr:spPr>
    </xdr:pic>
    <xdr:clientData/>
  </xdr:oneCellAnchor>
  <xdr:oneCellAnchor>
    <xdr:from>
      <xdr:col>6</xdr:col>
      <xdr:colOff>552450</xdr:colOff>
      <xdr:row>21</xdr:row>
      <xdr:rowOff>76200</xdr:rowOff>
    </xdr:from>
    <xdr:ext cx="353287" cy="334237"/>
    <xdr:pic>
      <xdr:nvPicPr>
        <xdr:cNvPr id="7" name="Grafik 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65BB2D7-6AAD-4BE6-A029-8991430BEF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53100" y="4200525"/>
          <a:ext cx="353287" cy="334237"/>
        </a:xfrm>
        <a:prstGeom prst="rect">
          <a:avLst/>
        </a:prstGeom>
        <a:noFill/>
      </xdr:spPr>
    </xdr:pic>
    <xdr:clientData/>
  </xdr:oneCellAnchor>
  <xdr:oneCellAnchor>
    <xdr:from>
      <xdr:col>6</xdr:col>
      <xdr:colOff>323850</xdr:colOff>
      <xdr:row>23</xdr:row>
      <xdr:rowOff>114300</xdr:rowOff>
    </xdr:from>
    <xdr:ext cx="353287" cy="334237"/>
    <xdr:pic>
      <xdr:nvPicPr>
        <xdr:cNvPr id="8" name="Grafik 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6DD31C2E-D7F3-4D40-B250-6217447CF6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24500" y="4629150"/>
          <a:ext cx="353287" cy="334237"/>
        </a:xfrm>
        <a:prstGeom prst="rect">
          <a:avLst/>
        </a:prstGeom>
        <a:noFill/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352425</xdr:colOff>
      <xdr:row>21</xdr:row>
      <xdr:rowOff>161925</xdr:rowOff>
    </xdr:from>
    <xdr:ext cx="353287" cy="334237"/>
    <xdr:pic>
      <xdr:nvPicPr>
        <xdr:cNvPr id="5" name="Grafik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A889076-8FD2-4B22-98DA-10ABD47579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53075" y="4276725"/>
          <a:ext cx="353287" cy="334237"/>
        </a:xfrm>
        <a:prstGeom prst="rect">
          <a:avLst/>
        </a:prstGeom>
        <a:noFill/>
      </xdr:spPr>
    </xdr:pic>
    <xdr:clientData/>
  </xdr:oneCellAnchor>
  <xdr:oneCellAnchor>
    <xdr:from>
      <xdr:col>6</xdr:col>
      <xdr:colOff>352425</xdr:colOff>
      <xdr:row>23</xdr:row>
      <xdr:rowOff>190500</xdr:rowOff>
    </xdr:from>
    <xdr:ext cx="353287" cy="334237"/>
    <xdr:pic>
      <xdr:nvPicPr>
        <xdr:cNvPr id="6" name="Grafik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E926EAA-D368-48C2-BB74-6F26D74B53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53075" y="4695825"/>
          <a:ext cx="353287" cy="334237"/>
        </a:xfrm>
        <a:prstGeom prst="rect">
          <a:avLst/>
        </a:prstGeom>
        <a:noFill/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352425</xdr:colOff>
      <xdr:row>21</xdr:row>
      <xdr:rowOff>161925</xdr:rowOff>
    </xdr:from>
    <xdr:ext cx="353287" cy="334237"/>
    <xdr:pic>
      <xdr:nvPicPr>
        <xdr:cNvPr id="3" name="Grafik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0F1F2DC-1CAD-401B-BC03-78121993A1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53075" y="4276725"/>
          <a:ext cx="353287" cy="334237"/>
        </a:xfrm>
        <a:prstGeom prst="rect">
          <a:avLst/>
        </a:prstGeom>
        <a:noFill/>
      </xdr:spPr>
    </xdr:pic>
    <xdr:clientData/>
  </xdr:oneCellAnchor>
  <xdr:oneCellAnchor>
    <xdr:from>
      <xdr:col>6</xdr:col>
      <xdr:colOff>352425</xdr:colOff>
      <xdr:row>24</xdr:row>
      <xdr:rowOff>57150</xdr:rowOff>
    </xdr:from>
    <xdr:ext cx="353287" cy="334237"/>
    <xdr:pic>
      <xdr:nvPicPr>
        <xdr:cNvPr id="4" name="Grafik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591F733-2CD6-40D1-9057-45454427F6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53075" y="4762500"/>
          <a:ext cx="353287" cy="334237"/>
        </a:xfrm>
        <a:prstGeom prst="rect">
          <a:avLst/>
        </a:prstGeom>
        <a:noFill/>
      </xdr:spPr>
    </xdr:pic>
    <xdr:clientData/>
  </xdr:oneCellAnchor>
  <xdr:oneCellAnchor>
    <xdr:from>
      <xdr:col>6</xdr:col>
      <xdr:colOff>142875</xdr:colOff>
      <xdr:row>4</xdr:row>
      <xdr:rowOff>142875</xdr:rowOff>
    </xdr:from>
    <xdr:ext cx="353287" cy="334237"/>
    <xdr:pic>
      <xdr:nvPicPr>
        <xdr:cNvPr id="2" name="Grafik 1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C806C8B-927A-484A-B6AA-B539EE7D49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3525" y="904875"/>
          <a:ext cx="353287" cy="334237"/>
        </a:xfrm>
        <a:prstGeom prst="rect">
          <a:avLst/>
        </a:prstGeom>
        <a:noFill/>
      </xdr:spPr>
    </xdr:pic>
    <xdr:clientData/>
  </xdr:oneCellAnchor>
  <xdr:oneCellAnchor>
    <xdr:from>
      <xdr:col>6</xdr:col>
      <xdr:colOff>647700</xdr:colOff>
      <xdr:row>4</xdr:row>
      <xdr:rowOff>152400</xdr:rowOff>
    </xdr:from>
    <xdr:ext cx="353287" cy="334237"/>
    <xdr:pic>
      <xdr:nvPicPr>
        <xdr:cNvPr id="6" name="Grafik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011C5E3-5831-4AEB-9EAF-006B3A6FB6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48350" y="914400"/>
          <a:ext cx="353287" cy="334237"/>
        </a:xfrm>
        <a:prstGeom prst="rect">
          <a:avLst/>
        </a:prstGeom>
        <a:noFill/>
      </xdr:spPr>
    </xdr:pic>
    <xdr:clientData/>
  </xdr:oneCellAnchor>
  <xdr:oneCellAnchor>
    <xdr:from>
      <xdr:col>6</xdr:col>
      <xdr:colOff>647700</xdr:colOff>
      <xdr:row>6</xdr:row>
      <xdr:rowOff>161925</xdr:rowOff>
    </xdr:from>
    <xdr:ext cx="353287" cy="334237"/>
    <xdr:pic>
      <xdr:nvPicPr>
        <xdr:cNvPr id="5" name="Grafik 4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231E4E2F-3348-4E45-BD71-4F2D424A45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48350" y="1323975"/>
          <a:ext cx="353287" cy="334237"/>
        </a:xfrm>
        <a:prstGeom prst="rect">
          <a:avLst/>
        </a:prstGeom>
        <a:noFill/>
      </xdr:spPr>
    </xdr:pic>
    <xdr:clientData/>
  </xdr:oneCellAnchor>
  <xdr:oneCellAnchor>
    <xdr:from>
      <xdr:col>6</xdr:col>
      <xdr:colOff>142875</xdr:colOff>
      <xdr:row>6</xdr:row>
      <xdr:rowOff>152400</xdr:rowOff>
    </xdr:from>
    <xdr:ext cx="353287" cy="334237"/>
    <xdr:pic>
      <xdr:nvPicPr>
        <xdr:cNvPr id="7" name="Grafik 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F991E471-3DF0-47D3-AF56-D0F46ADB0C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3525" y="1314450"/>
          <a:ext cx="353287" cy="334237"/>
        </a:xfrm>
        <a:prstGeom prst="rect">
          <a:avLst/>
        </a:prstGeom>
        <a:noFill/>
      </xdr:spPr>
    </xdr:pic>
    <xdr:clientData/>
  </xdr:oneCellAnchor>
  <xdr:oneCellAnchor>
    <xdr:from>
      <xdr:col>6</xdr:col>
      <xdr:colOff>152400</xdr:colOff>
      <xdr:row>8</xdr:row>
      <xdr:rowOff>142875</xdr:rowOff>
    </xdr:from>
    <xdr:ext cx="353287" cy="334237"/>
    <xdr:pic>
      <xdr:nvPicPr>
        <xdr:cNvPr id="8" name="Grafik 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74D36EFD-5845-4506-A69D-71438058D5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53050" y="1704975"/>
          <a:ext cx="353287" cy="334237"/>
        </a:xfrm>
        <a:prstGeom prst="rect">
          <a:avLst/>
        </a:prstGeom>
        <a:noFill/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352425</xdr:colOff>
      <xdr:row>21</xdr:row>
      <xdr:rowOff>161925</xdr:rowOff>
    </xdr:from>
    <xdr:ext cx="353287" cy="334237"/>
    <xdr:pic>
      <xdr:nvPicPr>
        <xdr:cNvPr id="3" name="Grafik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44C54F-F400-4B9C-9182-8CEC467E7E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53075" y="4276725"/>
          <a:ext cx="353287" cy="334237"/>
        </a:xfrm>
        <a:prstGeom prst="rect">
          <a:avLst/>
        </a:prstGeom>
        <a:noFill/>
      </xdr:spPr>
    </xdr:pic>
    <xdr:clientData/>
  </xdr:oneCellAnchor>
  <xdr:oneCellAnchor>
    <xdr:from>
      <xdr:col>6</xdr:col>
      <xdr:colOff>352425</xdr:colOff>
      <xdr:row>24</xdr:row>
      <xdr:rowOff>57150</xdr:rowOff>
    </xdr:from>
    <xdr:ext cx="353287" cy="334237"/>
    <xdr:pic>
      <xdr:nvPicPr>
        <xdr:cNvPr id="4" name="Grafik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B8DC4DD-2B31-403C-91D9-FF26CD2ACD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53075" y="4762500"/>
          <a:ext cx="353287" cy="334237"/>
        </a:xfrm>
        <a:prstGeom prst="rect">
          <a:avLst/>
        </a:prstGeom>
        <a:noFill/>
      </xdr:spPr>
    </xdr:pic>
    <xdr:clientData/>
  </xdr:oneCellAnchor>
  <xdr:oneCellAnchor>
    <xdr:from>
      <xdr:col>6</xdr:col>
      <xdr:colOff>114300</xdr:colOff>
      <xdr:row>4</xdr:row>
      <xdr:rowOff>142875</xdr:rowOff>
    </xdr:from>
    <xdr:ext cx="353287" cy="334237"/>
    <xdr:pic>
      <xdr:nvPicPr>
        <xdr:cNvPr id="2" name="Grafik 1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2EDD4E5-7D81-4318-99EA-E737E5D3EF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14950" y="904875"/>
          <a:ext cx="353287" cy="334237"/>
        </a:xfrm>
        <a:prstGeom prst="rect">
          <a:avLst/>
        </a:prstGeom>
        <a:noFill/>
      </xdr:spPr>
    </xdr:pic>
    <xdr:clientData/>
  </xdr:oneCellAnchor>
  <xdr:oneCellAnchor>
    <xdr:from>
      <xdr:col>6</xdr:col>
      <xdr:colOff>619125</xdr:colOff>
      <xdr:row>4</xdr:row>
      <xdr:rowOff>152400</xdr:rowOff>
    </xdr:from>
    <xdr:ext cx="353287" cy="334237"/>
    <xdr:pic>
      <xdr:nvPicPr>
        <xdr:cNvPr id="5" name="Grafik 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ECFD476-3854-494A-9504-424B00BD5D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9775" y="914400"/>
          <a:ext cx="353287" cy="334237"/>
        </a:xfrm>
        <a:prstGeom prst="rect">
          <a:avLst/>
        </a:prstGeom>
        <a:noFill/>
      </xdr:spPr>
    </xdr:pic>
    <xdr:clientData/>
  </xdr:oneCellAnchor>
  <xdr:oneCellAnchor>
    <xdr:from>
      <xdr:col>6</xdr:col>
      <xdr:colOff>619125</xdr:colOff>
      <xdr:row>6</xdr:row>
      <xdr:rowOff>161925</xdr:rowOff>
    </xdr:from>
    <xdr:ext cx="353287" cy="334237"/>
    <xdr:pic>
      <xdr:nvPicPr>
        <xdr:cNvPr id="6" name="Grafik 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52E4A25B-9E88-4989-ABA6-B1A352EE21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9775" y="1323975"/>
          <a:ext cx="353287" cy="334237"/>
        </a:xfrm>
        <a:prstGeom prst="rect">
          <a:avLst/>
        </a:prstGeom>
        <a:noFill/>
      </xdr:spPr>
    </xdr:pic>
    <xdr:clientData/>
  </xdr:oneCellAnchor>
  <xdr:oneCellAnchor>
    <xdr:from>
      <xdr:col>6</xdr:col>
      <xdr:colOff>114300</xdr:colOff>
      <xdr:row>6</xdr:row>
      <xdr:rowOff>152400</xdr:rowOff>
    </xdr:from>
    <xdr:ext cx="353287" cy="334237"/>
    <xdr:pic>
      <xdr:nvPicPr>
        <xdr:cNvPr id="7" name="Grafik 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2173965D-D255-4EAB-B259-A6826AD1FD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14950" y="1314450"/>
          <a:ext cx="353287" cy="334237"/>
        </a:xfrm>
        <a:prstGeom prst="rect">
          <a:avLst/>
        </a:prstGeom>
        <a:noFill/>
      </xdr:spPr>
    </xdr:pic>
    <xdr:clientData/>
  </xdr:oneCellAnchor>
  <xdr:oneCellAnchor>
    <xdr:from>
      <xdr:col>6</xdr:col>
      <xdr:colOff>123825</xdr:colOff>
      <xdr:row>8</xdr:row>
      <xdr:rowOff>142875</xdr:rowOff>
    </xdr:from>
    <xdr:ext cx="353287" cy="334237"/>
    <xdr:pic>
      <xdr:nvPicPr>
        <xdr:cNvPr id="8" name="Grafik 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F27BD6C5-775E-4A67-BA0E-8FBF82F4C5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24475" y="1704975"/>
          <a:ext cx="353287" cy="334237"/>
        </a:xfrm>
        <a:prstGeom prst="rect">
          <a:avLst/>
        </a:prstGeom>
        <a:noFill/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123825</xdr:colOff>
      <xdr:row>4</xdr:row>
      <xdr:rowOff>142875</xdr:rowOff>
    </xdr:from>
    <xdr:ext cx="353287" cy="334237"/>
    <xdr:pic>
      <xdr:nvPicPr>
        <xdr:cNvPr id="2" name="Grafik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A54A9A6-2DBD-46F6-AF68-0F80FEA59D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24475" y="904875"/>
          <a:ext cx="353287" cy="334237"/>
        </a:xfrm>
        <a:prstGeom prst="rect">
          <a:avLst/>
        </a:prstGeom>
        <a:noFill/>
      </xdr:spPr>
    </xdr:pic>
    <xdr:clientData/>
  </xdr:oneCellAnchor>
  <xdr:oneCellAnchor>
    <xdr:from>
      <xdr:col>6</xdr:col>
      <xdr:colOff>628650</xdr:colOff>
      <xdr:row>4</xdr:row>
      <xdr:rowOff>152400</xdr:rowOff>
    </xdr:from>
    <xdr:ext cx="353287" cy="334237"/>
    <xdr:pic>
      <xdr:nvPicPr>
        <xdr:cNvPr id="3" name="Grafik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6935912-38DF-4CB9-82A4-A50063D2BD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29300" y="914400"/>
          <a:ext cx="353287" cy="334237"/>
        </a:xfrm>
        <a:prstGeom prst="rect">
          <a:avLst/>
        </a:prstGeom>
        <a:noFill/>
      </xdr:spPr>
    </xdr:pic>
    <xdr:clientData/>
  </xdr:oneCellAnchor>
  <xdr:oneCellAnchor>
    <xdr:from>
      <xdr:col>6</xdr:col>
      <xdr:colOff>628650</xdr:colOff>
      <xdr:row>6</xdr:row>
      <xdr:rowOff>161925</xdr:rowOff>
    </xdr:from>
    <xdr:ext cx="353287" cy="334237"/>
    <xdr:pic>
      <xdr:nvPicPr>
        <xdr:cNvPr id="4" name="Grafik 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E0C7165-2968-4576-AA94-ADC800275A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29300" y="1323975"/>
          <a:ext cx="353287" cy="334237"/>
        </a:xfrm>
        <a:prstGeom prst="rect">
          <a:avLst/>
        </a:prstGeom>
        <a:noFill/>
      </xdr:spPr>
    </xdr:pic>
    <xdr:clientData/>
  </xdr:oneCellAnchor>
  <xdr:oneCellAnchor>
    <xdr:from>
      <xdr:col>6</xdr:col>
      <xdr:colOff>123825</xdr:colOff>
      <xdr:row>6</xdr:row>
      <xdr:rowOff>152400</xdr:rowOff>
    </xdr:from>
    <xdr:ext cx="353287" cy="334237"/>
    <xdr:pic>
      <xdr:nvPicPr>
        <xdr:cNvPr id="5" name="Grafik 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A440986-F78A-4ACA-899E-75CA98E053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24475" y="1314450"/>
          <a:ext cx="353287" cy="334237"/>
        </a:xfrm>
        <a:prstGeom prst="rect">
          <a:avLst/>
        </a:prstGeom>
        <a:noFill/>
      </xdr:spPr>
    </xdr:pic>
    <xdr:clientData/>
  </xdr:oneCellAnchor>
  <xdr:oneCellAnchor>
    <xdr:from>
      <xdr:col>6</xdr:col>
      <xdr:colOff>133350</xdr:colOff>
      <xdr:row>8</xdr:row>
      <xdr:rowOff>142875</xdr:rowOff>
    </xdr:from>
    <xdr:ext cx="353287" cy="334237"/>
    <xdr:pic>
      <xdr:nvPicPr>
        <xdr:cNvPr id="6" name="Grafik 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13668325-D3A6-494B-B328-2D6C5472F5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0" y="1704975"/>
          <a:ext cx="353287" cy="334237"/>
        </a:xfrm>
        <a:prstGeom prst="rect">
          <a:avLst/>
        </a:prstGeom>
        <a:noFill/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352425</xdr:colOff>
      <xdr:row>21</xdr:row>
      <xdr:rowOff>161925</xdr:rowOff>
    </xdr:from>
    <xdr:ext cx="353287" cy="334237"/>
    <xdr:pic>
      <xdr:nvPicPr>
        <xdr:cNvPr id="3" name="Grafik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AFAE613-17B5-4DE0-9716-8022C16835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53075" y="4276725"/>
          <a:ext cx="353287" cy="334237"/>
        </a:xfrm>
        <a:prstGeom prst="rect">
          <a:avLst/>
        </a:prstGeom>
        <a:noFill/>
      </xdr:spPr>
    </xdr:pic>
    <xdr:clientData/>
  </xdr:oneCellAnchor>
  <xdr:oneCellAnchor>
    <xdr:from>
      <xdr:col>6</xdr:col>
      <xdr:colOff>352425</xdr:colOff>
      <xdr:row>24</xdr:row>
      <xdr:rowOff>57150</xdr:rowOff>
    </xdr:from>
    <xdr:ext cx="353287" cy="334237"/>
    <xdr:pic>
      <xdr:nvPicPr>
        <xdr:cNvPr id="4" name="Grafik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553E067-61DD-4AC9-B9EC-1ACCCC0943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53075" y="4762500"/>
          <a:ext cx="353287" cy="334237"/>
        </a:xfrm>
        <a:prstGeom prst="rect">
          <a:avLst/>
        </a:prstGeom>
        <a:noFill/>
      </xdr:spPr>
    </xdr:pic>
    <xdr:clientData/>
  </xdr:oneCellAnchor>
  <xdr:twoCellAnchor editAs="oneCell">
    <xdr:from>
      <xdr:col>6</xdr:col>
      <xdr:colOff>400050</xdr:colOff>
      <xdr:row>11</xdr:row>
      <xdr:rowOff>28575</xdr:rowOff>
    </xdr:from>
    <xdr:to>
      <xdr:col>6</xdr:col>
      <xdr:colOff>728243</xdr:colOff>
      <xdr:row>12</xdr:row>
      <xdr:rowOff>149051</xdr:rowOff>
    </xdr:to>
    <xdr:pic>
      <xdr:nvPicPr>
        <xdr:cNvPr id="5" name="Grafik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F1BBFE0-C315-4EF7-B5C4-BFB02F52E5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0700" y="2190750"/>
          <a:ext cx="328193" cy="320501"/>
        </a:xfrm>
        <a:prstGeom prst="rect">
          <a:avLst/>
        </a:prstGeom>
      </xdr:spPr>
    </xdr:pic>
    <xdr:clientData/>
  </xdr:twoCellAnchor>
  <xdr:oneCellAnchor>
    <xdr:from>
      <xdr:col>6</xdr:col>
      <xdr:colOff>133350</xdr:colOff>
      <xdr:row>4</xdr:row>
      <xdr:rowOff>66675</xdr:rowOff>
    </xdr:from>
    <xdr:ext cx="353287" cy="334237"/>
    <xdr:pic>
      <xdr:nvPicPr>
        <xdr:cNvPr id="2" name="Grafik 1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4AE753E7-3795-486C-86F7-9FBD30E357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0" y="828675"/>
          <a:ext cx="353287" cy="334237"/>
        </a:xfrm>
        <a:prstGeom prst="rect">
          <a:avLst/>
        </a:prstGeom>
        <a:noFill/>
      </xdr:spPr>
    </xdr:pic>
    <xdr:clientData/>
  </xdr:oneCellAnchor>
  <xdr:oneCellAnchor>
    <xdr:from>
      <xdr:col>6</xdr:col>
      <xdr:colOff>638175</xdr:colOff>
      <xdr:row>4</xdr:row>
      <xdr:rowOff>76200</xdr:rowOff>
    </xdr:from>
    <xdr:ext cx="353287" cy="334237"/>
    <xdr:pic>
      <xdr:nvPicPr>
        <xdr:cNvPr id="6" name="Grafik 5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305CE1F-225A-4BBB-94CB-69E77F03C7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38825" y="838200"/>
          <a:ext cx="353287" cy="334237"/>
        </a:xfrm>
        <a:prstGeom prst="rect">
          <a:avLst/>
        </a:prstGeom>
        <a:noFill/>
      </xdr:spPr>
    </xdr:pic>
    <xdr:clientData/>
  </xdr:oneCellAnchor>
  <xdr:oneCellAnchor>
    <xdr:from>
      <xdr:col>6</xdr:col>
      <xdr:colOff>638175</xdr:colOff>
      <xdr:row>6</xdr:row>
      <xdr:rowOff>85725</xdr:rowOff>
    </xdr:from>
    <xdr:ext cx="353287" cy="334237"/>
    <xdr:pic>
      <xdr:nvPicPr>
        <xdr:cNvPr id="7" name="Grafik 6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979B518B-67FC-4148-9C3F-202384FFF3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38825" y="1247775"/>
          <a:ext cx="353287" cy="334237"/>
        </a:xfrm>
        <a:prstGeom prst="rect">
          <a:avLst/>
        </a:prstGeom>
        <a:noFill/>
      </xdr:spPr>
    </xdr:pic>
    <xdr:clientData/>
  </xdr:oneCellAnchor>
  <xdr:oneCellAnchor>
    <xdr:from>
      <xdr:col>6</xdr:col>
      <xdr:colOff>133350</xdr:colOff>
      <xdr:row>6</xdr:row>
      <xdr:rowOff>76200</xdr:rowOff>
    </xdr:from>
    <xdr:ext cx="353287" cy="334237"/>
    <xdr:pic>
      <xdr:nvPicPr>
        <xdr:cNvPr id="8" name="Grafik 7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57C795A0-A52B-474E-8F16-54142ACF8C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0" y="1238250"/>
          <a:ext cx="353287" cy="334237"/>
        </a:xfrm>
        <a:prstGeom prst="rect">
          <a:avLst/>
        </a:prstGeom>
        <a:noFill/>
      </xdr:spPr>
    </xdr:pic>
    <xdr:clientData/>
  </xdr:oneCellAnchor>
  <xdr:oneCellAnchor>
    <xdr:from>
      <xdr:col>6</xdr:col>
      <xdr:colOff>142875</xdr:colOff>
      <xdr:row>8</xdr:row>
      <xdr:rowOff>66675</xdr:rowOff>
    </xdr:from>
    <xdr:ext cx="353287" cy="334237"/>
    <xdr:pic>
      <xdr:nvPicPr>
        <xdr:cNvPr id="9" name="Grafik 8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71736F5-3A2F-4AD0-A441-E1C31799A8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3525" y="1628775"/>
          <a:ext cx="353287" cy="334237"/>
        </a:xfrm>
        <a:prstGeom prst="rect">
          <a:avLst/>
        </a:prstGeom>
        <a:noFill/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352425</xdr:colOff>
      <xdr:row>21</xdr:row>
      <xdr:rowOff>142875</xdr:rowOff>
    </xdr:from>
    <xdr:ext cx="353287" cy="334237"/>
    <xdr:pic>
      <xdr:nvPicPr>
        <xdr:cNvPr id="2" name="Grafik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FD251E-55BA-4BA5-ACC1-2F4EB3EE73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53075" y="4257675"/>
          <a:ext cx="353287" cy="334237"/>
        </a:xfrm>
        <a:prstGeom prst="rect">
          <a:avLst/>
        </a:prstGeom>
        <a:noFill/>
      </xdr:spPr>
    </xdr:pic>
    <xdr:clientData/>
  </xdr:oneCellAnchor>
  <xdr:oneCellAnchor>
    <xdr:from>
      <xdr:col>6</xdr:col>
      <xdr:colOff>352425</xdr:colOff>
      <xdr:row>23</xdr:row>
      <xdr:rowOff>180975</xdr:rowOff>
    </xdr:from>
    <xdr:ext cx="353287" cy="334237"/>
    <xdr:pic>
      <xdr:nvPicPr>
        <xdr:cNvPr id="3" name="Grafik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51A54B5-833F-4E68-8BAC-CF08B3654F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53075" y="4686300"/>
          <a:ext cx="353287" cy="334237"/>
        </a:xfrm>
        <a:prstGeom prst="rect">
          <a:avLst/>
        </a:prstGeom>
        <a:noFill/>
      </xdr:spPr>
    </xdr:pic>
    <xdr:clientData/>
  </xdr:oneCellAnchor>
  <xdr:twoCellAnchor editAs="oneCell">
    <xdr:from>
      <xdr:col>6</xdr:col>
      <xdr:colOff>400050</xdr:colOff>
      <xdr:row>28</xdr:row>
      <xdr:rowOff>38100</xdr:rowOff>
    </xdr:from>
    <xdr:to>
      <xdr:col>6</xdr:col>
      <xdr:colOff>728243</xdr:colOff>
      <xdr:row>29</xdr:row>
      <xdr:rowOff>158576</xdr:rowOff>
    </xdr:to>
    <xdr:pic>
      <xdr:nvPicPr>
        <xdr:cNvPr id="5" name="Grafik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667B677-DB36-4A25-A29C-B87E835C0C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0700" y="5543550"/>
          <a:ext cx="328193" cy="320501"/>
        </a:xfrm>
        <a:prstGeom prst="rect">
          <a:avLst/>
        </a:prstGeom>
      </xdr:spPr>
    </xdr:pic>
    <xdr:clientData/>
  </xdr:twoCellAnchor>
  <xdr:oneCellAnchor>
    <xdr:from>
      <xdr:col>6</xdr:col>
      <xdr:colOff>381000</xdr:colOff>
      <xdr:row>5</xdr:row>
      <xdr:rowOff>47625</xdr:rowOff>
    </xdr:from>
    <xdr:ext cx="353287" cy="334237"/>
    <xdr:pic>
      <xdr:nvPicPr>
        <xdr:cNvPr id="6" name="Grafik 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A63E0634-16B5-4F65-B2FE-AC8111EADC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81650" y="1009650"/>
          <a:ext cx="353287" cy="334237"/>
        </a:xfrm>
        <a:prstGeom prst="rect">
          <a:avLst/>
        </a:prstGeom>
        <a:noFill/>
      </xdr:spPr>
    </xdr:pic>
    <xdr:clientData/>
  </xdr:oneCellAnchor>
  <xdr:oneCellAnchor>
    <xdr:from>
      <xdr:col>6</xdr:col>
      <xdr:colOff>371475</xdr:colOff>
      <xdr:row>7</xdr:row>
      <xdr:rowOff>66675</xdr:rowOff>
    </xdr:from>
    <xdr:ext cx="353287" cy="334237"/>
    <xdr:pic>
      <xdr:nvPicPr>
        <xdr:cNvPr id="7" name="Grafik 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C72DB476-F3B6-429C-B6A8-B78C483E53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72125" y="1428750"/>
          <a:ext cx="353287" cy="334237"/>
        </a:xfrm>
        <a:prstGeom prst="rect">
          <a:avLst/>
        </a:prstGeom>
        <a:noFill/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352425</xdr:colOff>
      <xdr:row>21</xdr:row>
      <xdr:rowOff>142875</xdr:rowOff>
    </xdr:from>
    <xdr:ext cx="353287" cy="334237"/>
    <xdr:pic>
      <xdr:nvPicPr>
        <xdr:cNvPr id="2" name="Grafik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D7656B-9AE3-4D34-9088-DB530B9596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53075" y="4257675"/>
          <a:ext cx="353287" cy="334237"/>
        </a:xfrm>
        <a:prstGeom prst="rect">
          <a:avLst/>
        </a:prstGeom>
        <a:noFill/>
      </xdr:spPr>
    </xdr:pic>
    <xdr:clientData/>
  </xdr:oneCellAnchor>
  <xdr:oneCellAnchor>
    <xdr:from>
      <xdr:col>6</xdr:col>
      <xdr:colOff>352425</xdr:colOff>
      <xdr:row>23</xdr:row>
      <xdr:rowOff>180975</xdr:rowOff>
    </xdr:from>
    <xdr:ext cx="353287" cy="334237"/>
    <xdr:pic>
      <xdr:nvPicPr>
        <xdr:cNvPr id="3" name="Grafik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201FA2E-9675-4A1D-A50A-28EA9315B3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53075" y="4686300"/>
          <a:ext cx="353287" cy="334237"/>
        </a:xfrm>
        <a:prstGeom prst="rect">
          <a:avLst/>
        </a:prstGeom>
        <a:noFill/>
      </xdr:spPr>
    </xdr:pic>
    <xdr:clientData/>
  </xdr:oneCellAnchor>
  <xdr:oneCellAnchor>
    <xdr:from>
      <xdr:col>6</xdr:col>
      <xdr:colOff>104775</xdr:colOff>
      <xdr:row>4</xdr:row>
      <xdr:rowOff>66675</xdr:rowOff>
    </xdr:from>
    <xdr:ext cx="353287" cy="334237"/>
    <xdr:pic>
      <xdr:nvPicPr>
        <xdr:cNvPr id="5" name="Grafik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7A934F5-155A-4C98-AEA9-A955599DCF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05425" y="828675"/>
          <a:ext cx="353287" cy="334237"/>
        </a:xfrm>
        <a:prstGeom prst="rect">
          <a:avLst/>
        </a:prstGeom>
        <a:noFill/>
      </xdr:spPr>
    </xdr:pic>
    <xdr:clientData/>
  </xdr:oneCellAnchor>
  <xdr:oneCellAnchor>
    <xdr:from>
      <xdr:col>6</xdr:col>
      <xdr:colOff>590550</xdr:colOff>
      <xdr:row>4</xdr:row>
      <xdr:rowOff>66675</xdr:rowOff>
    </xdr:from>
    <xdr:ext cx="353287" cy="334237"/>
    <xdr:pic>
      <xdr:nvPicPr>
        <xdr:cNvPr id="6" name="Grafik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29FD4BB-87E2-482A-BE80-92E8E49DB9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91200" y="828675"/>
          <a:ext cx="353287" cy="334237"/>
        </a:xfrm>
        <a:prstGeom prst="rect">
          <a:avLst/>
        </a:prstGeom>
        <a:noFill/>
      </xdr:spPr>
    </xdr:pic>
    <xdr:clientData/>
  </xdr:oneCellAnchor>
  <xdr:oneCellAnchor>
    <xdr:from>
      <xdr:col>6</xdr:col>
      <xdr:colOff>104775</xdr:colOff>
      <xdr:row>6</xdr:row>
      <xdr:rowOff>57150</xdr:rowOff>
    </xdr:from>
    <xdr:ext cx="353287" cy="334237"/>
    <xdr:pic>
      <xdr:nvPicPr>
        <xdr:cNvPr id="7" name="Grafik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56F82EDE-FDE0-4DF5-9A31-1E3B983521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05425" y="1219200"/>
          <a:ext cx="353287" cy="334237"/>
        </a:xfrm>
        <a:prstGeom prst="rect">
          <a:avLst/>
        </a:prstGeom>
        <a:noFill/>
      </xdr:spPr>
    </xdr:pic>
    <xdr:clientData/>
  </xdr:oneCellAnchor>
  <xdr:oneCellAnchor>
    <xdr:from>
      <xdr:col>6</xdr:col>
      <xdr:colOff>590550</xdr:colOff>
      <xdr:row>6</xdr:row>
      <xdr:rowOff>57150</xdr:rowOff>
    </xdr:from>
    <xdr:ext cx="353287" cy="334237"/>
    <xdr:pic>
      <xdr:nvPicPr>
        <xdr:cNvPr id="8" name="Grafik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87E7068-245C-4835-AD14-9EDBDCC148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91200" y="1219200"/>
          <a:ext cx="353287" cy="334237"/>
        </a:xfrm>
        <a:prstGeom prst="rect">
          <a:avLst/>
        </a:prstGeom>
        <a:noFill/>
      </xdr:spPr>
    </xdr:pic>
    <xdr:clientData/>
  </xdr:oneCellAnchor>
  <xdr:oneCellAnchor>
    <xdr:from>
      <xdr:col>6</xdr:col>
      <xdr:colOff>95250</xdr:colOff>
      <xdr:row>8</xdr:row>
      <xdr:rowOff>38100</xdr:rowOff>
    </xdr:from>
    <xdr:ext cx="353287" cy="334237"/>
    <xdr:pic>
      <xdr:nvPicPr>
        <xdr:cNvPr id="9" name="Grafik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5918FD00-E683-44A3-AA90-5CFF1DB044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95900" y="1600200"/>
          <a:ext cx="353287" cy="334237"/>
        </a:xfrm>
        <a:prstGeom prst="rect">
          <a:avLst/>
        </a:prstGeom>
        <a:noFill/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142875</xdr:colOff>
      <xdr:row>4</xdr:row>
      <xdr:rowOff>104775</xdr:rowOff>
    </xdr:from>
    <xdr:ext cx="353287" cy="334237"/>
    <xdr:pic>
      <xdr:nvPicPr>
        <xdr:cNvPr id="5" name="Grafik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CE3AF85-F2D5-4D90-89E5-2B05955855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3525" y="866775"/>
          <a:ext cx="353287" cy="334237"/>
        </a:xfrm>
        <a:prstGeom prst="rect">
          <a:avLst/>
        </a:prstGeom>
        <a:noFill/>
      </xdr:spPr>
    </xdr:pic>
    <xdr:clientData/>
  </xdr:oneCellAnchor>
  <xdr:oneCellAnchor>
    <xdr:from>
      <xdr:col>6</xdr:col>
      <xdr:colOff>628650</xdr:colOff>
      <xdr:row>4</xdr:row>
      <xdr:rowOff>104775</xdr:rowOff>
    </xdr:from>
    <xdr:ext cx="353287" cy="334237"/>
    <xdr:pic>
      <xdr:nvPicPr>
        <xdr:cNvPr id="6" name="Grafik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5F82F17-D62D-4556-B0F3-3039DEBEBF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29300" y="866775"/>
          <a:ext cx="353287" cy="334237"/>
        </a:xfrm>
        <a:prstGeom prst="rect">
          <a:avLst/>
        </a:prstGeom>
        <a:noFill/>
      </xdr:spPr>
    </xdr:pic>
    <xdr:clientData/>
  </xdr:oneCellAnchor>
  <xdr:oneCellAnchor>
    <xdr:from>
      <xdr:col>6</xdr:col>
      <xdr:colOff>142875</xdr:colOff>
      <xdr:row>6</xdr:row>
      <xdr:rowOff>95250</xdr:rowOff>
    </xdr:from>
    <xdr:ext cx="353287" cy="334237"/>
    <xdr:pic>
      <xdr:nvPicPr>
        <xdr:cNvPr id="7" name="Grafik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204426A-F7C5-46E1-BCB1-8F6095DEC5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3525" y="1257300"/>
          <a:ext cx="353287" cy="334237"/>
        </a:xfrm>
        <a:prstGeom prst="rect">
          <a:avLst/>
        </a:prstGeom>
        <a:noFill/>
      </xdr:spPr>
    </xdr:pic>
    <xdr:clientData/>
  </xdr:oneCellAnchor>
  <xdr:oneCellAnchor>
    <xdr:from>
      <xdr:col>6</xdr:col>
      <xdr:colOff>628650</xdr:colOff>
      <xdr:row>6</xdr:row>
      <xdr:rowOff>95250</xdr:rowOff>
    </xdr:from>
    <xdr:ext cx="353287" cy="334237"/>
    <xdr:pic>
      <xdr:nvPicPr>
        <xdr:cNvPr id="8" name="Grafik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60424E5-C854-4224-9D71-6EAB691535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29300" y="1257300"/>
          <a:ext cx="353287" cy="334237"/>
        </a:xfrm>
        <a:prstGeom prst="rect">
          <a:avLst/>
        </a:prstGeom>
        <a:noFill/>
      </xdr:spPr>
    </xdr:pic>
    <xdr:clientData/>
  </xdr:oneCellAnchor>
  <xdr:oneCellAnchor>
    <xdr:from>
      <xdr:col>6</xdr:col>
      <xdr:colOff>133350</xdr:colOff>
      <xdr:row>8</xdr:row>
      <xdr:rowOff>76200</xdr:rowOff>
    </xdr:from>
    <xdr:ext cx="353287" cy="334237"/>
    <xdr:pic>
      <xdr:nvPicPr>
        <xdr:cNvPr id="9" name="Grafik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D934EF60-2F11-4C3F-810C-2408BD1D60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0" y="1638300"/>
          <a:ext cx="353287" cy="334237"/>
        </a:xfrm>
        <a:prstGeom prst="rect">
          <a:avLst/>
        </a:prstGeom>
        <a:noFill/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400050</xdr:colOff>
      <xdr:row>11</xdr:row>
      <xdr:rowOff>28575</xdr:rowOff>
    </xdr:from>
    <xdr:to>
      <xdr:col>6</xdr:col>
      <xdr:colOff>728243</xdr:colOff>
      <xdr:row>12</xdr:row>
      <xdr:rowOff>149051</xdr:rowOff>
    </xdr:to>
    <xdr:pic>
      <xdr:nvPicPr>
        <xdr:cNvPr id="4" name="Grafik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C9FB42E-1453-4B3B-89CD-238FE82CD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0700" y="2190750"/>
          <a:ext cx="328193" cy="320501"/>
        </a:xfrm>
        <a:prstGeom prst="rect">
          <a:avLst/>
        </a:prstGeom>
      </xdr:spPr>
    </xdr:pic>
    <xdr:clientData/>
  </xdr:twoCellAnchor>
  <xdr:oneCellAnchor>
    <xdr:from>
      <xdr:col>6</xdr:col>
      <xdr:colOff>142875</xdr:colOff>
      <xdr:row>4</xdr:row>
      <xdr:rowOff>57150</xdr:rowOff>
    </xdr:from>
    <xdr:ext cx="353287" cy="334237"/>
    <xdr:pic>
      <xdr:nvPicPr>
        <xdr:cNvPr id="5" name="Grafik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0FCC8DB-94C8-44B0-A483-BB0BA91F3C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3525" y="819150"/>
          <a:ext cx="353287" cy="334237"/>
        </a:xfrm>
        <a:prstGeom prst="rect">
          <a:avLst/>
        </a:prstGeom>
        <a:noFill/>
      </xdr:spPr>
    </xdr:pic>
    <xdr:clientData/>
  </xdr:oneCellAnchor>
  <xdr:oneCellAnchor>
    <xdr:from>
      <xdr:col>6</xdr:col>
      <xdr:colOff>628650</xdr:colOff>
      <xdr:row>4</xdr:row>
      <xdr:rowOff>57150</xdr:rowOff>
    </xdr:from>
    <xdr:ext cx="353287" cy="334237"/>
    <xdr:pic>
      <xdr:nvPicPr>
        <xdr:cNvPr id="6" name="Grafik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76D60CD-77A5-41AC-8B1F-F7E2D1F078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29300" y="819150"/>
          <a:ext cx="353287" cy="334237"/>
        </a:xfrm>
        <a:prstGeom prst="rect">
          <a:avLst/>
        </a:prstGeom>
        <a:noFill/>
      </xdr:spPr>
    </xdr:pic>
    <xdr:clientData/>
  </xdr:oneCellAnchor>
  <xdr:oneCellAnchor>
    <xdr:from>
      <xdr:col>6</xdr:col>
      <xdr:colOff>142875</xdr:colOff>
      <xdr:row>6</xdr:row>
      <xdr:rowOff>47625</xdr:rowOff>
    </xdr:from>
    <xdr:ext cx="353287" cy="334237"/>
    <xdr:pic>
      <xdr:nvPicPr>
        <xdr:cNvPr id="7" name="Grafik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5C9AD32-50EC-4EC2-ADD7-38C9CDB1D5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3525" y="1209675"/>
          <a:ext cx="353287" cy="334237"/>
        </a:xfrm>
        <a:prstGeom prst="rect">
          <a:avLst/>
        </a:prstGeom>
        <a:noFill/>
      </xdr:spPr>
    </xdr:pic>
    <xdr:clientData/>
  </xdr:oneCellAnchor>
  <xdr:oneCellAnchor>
    <xdr:from>
      <xdr:col>6</xdr:col>
      <xdr:colOff>628650</xdr:colOff>
      <xdr:row>6</xdr:row>
      <xdr:rowOff>47625</xdr:rowOff>
    </xdr:from>
    <xdr:ext cx="353287" cy="334237"/>
    <xdr:pic>
      <xdr:nvPicPr>
        <xdr:cNvPr id="8" name="Grafik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9C816695-0A5D-495F-9AF3-55C6A5E8E4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29300" y="1209675"/>
          <a:ext cx="353287" cy="334237"/>
        </a:xfrm>
        <a:prstGeom prst="rect">
          <a:avLst/>
        </a:prstGeom>
        <a:noFill/>
      </xdr:spPr>
    </xdr:pic>
    <xdr:clientData/>
  </xdr:oneCellAnchor>
  <xdr:oneCellAnchor>
    <xdr:from>
      <xdr:col>6</xdr:col>
      <xdr:colOff>133350</xdr:colOff>
      <xdr:row>8</xdr:row>
      <xdr:rowOff>28575</xdr:rowOff>
    </xdr:from>
    <xdr:ext cx="353287" cy="334237"/>
    <xdr:pic>
      <xdr:nvPicPr>
        <xdr:cNvPr id="9" name="Grafik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F5176ADE-0D65-4FC8-A3B2-B6C903DB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0" y="1590675"/>
          <a:ext cx="353287" cy="334237"/>
        </a:xfrm>
        <a:prstGeom prst="rect">
          <a:avLst/>
        </a:prstGeom>
        <a:noFill/>
      </xdr:spPr>
    </xdr:pic>
    <xdr:clientData/>
  </xdr:oneCellAnchor>
  <xdr:oneCellAnchor>
    <xdr:from>
      <xdr:col>6</xdr:col>
      <xdr:colOff>628650</xdr:colOff>
      <xdr:row>8</xdr:row>
      <xdr:rowOff>28575</xdr:rowOff>
    </xdr:from>
    <xdr:ext cx="353287" cy="334237"/>
    <xdr:pic>
      <xdr:nvPicPr>
        <xdr:cNvPr id="10" name="Grafik 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08748B6-88C5-4677-97C3-B79B4BB5C3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29300" y="1590675"/>
          <a:ext cx="353287" cy="334237"/>
        </a:xfrm>
        <a:prstGeom prst="rect">
          <a:avLst/>
        </a:prstGeom>
        <a:noFill/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342900</xdr:colOff>
      <xdr:row>5</xdr:row>
      <xdr:rowOff>19050</xdr:rowOff>
    </xdr:from>
    <xdr:ext cx="353287" cy="334237"/>
    <xdr:pic>
      <xdr:nvPicPr>
        <xdr:cNvPr id="2" name="Grafik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2BBCF0-13C3-4BE2-9BD4-50210DA543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43550" y="981075"/>
          <a:ext cx="353287" cy="334237"/>
        </a:xfrm>
        <a:prstGeom prst="rect">
          <a:avLst/>
        </a:prstGeom>
        <a:noFill/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352425</xdr:colOff>
      <xdr:row>5</xdr:row>
      <xdr:rowOff>28575</xdr:rowOff>
    </xdr:from>
    <xdr:ext cx="353287" cy="334237"/>
    <xdr:pic>
      <xdr:nvPicPr>
        <xdr:cNvPr id="2" name="Grafik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5B2B03A-3609-4DF5-81B6-4344349682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53075" y="990600"/>
          <a:ext cx="353287" cy="334237"/>
        </a:xfrm>
        <a:prstGeom prst="rect">
          <a:avLst/>
        </a:prstGeom>
        <a:noFill/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371475</xdr:colOff>
      <xdr:row>5</xdr:row>
      <xdr:rowOff>38100</xdr:rowOff>
    </xdr:from>
    <xdr:ext cx="353287" cy="334237"/>
    <xdr:pic>
      <xdr:nvPicPr>
        <xdr:cNvPr id="2" name="Grafik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ABEEDAC-DE53-4890-BFBD-70E8861FA2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72125" y="1000125"/>
          <a:ext cx="353287" cy="334237"/>
        </a:xfrm>
        <a:prstGeom prst="rect">
          <a:avLst/>
        </a:prstGeom>
        <a:noFill/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314326</xdr:colOff>
      <xdr:row>11</xdr:row>
      <xdr:rowOff>54123</xdr:rowOff>
    </xdr:from>
    <xdr:to>
      <xdr:col>5</xdr:col>
      <xdr:colOff>970174</xdr:colOff>
      <xdr:row>28</xdr:row>
      <xdr:rowOff>28575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BE94D5DE-24AC-D4BB-B5C7-6A04CA371C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8726" y="2206773"/>
          <a:ext cx="4141998" cy="3212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2"/>
  <dimension ref="A1:W44"/>
  <sheetViews>
    <sheetView showWhiteSpace="0" view="pageLayout" topLeftCell="A6" zoomScaleNormal="100" workbookViewId="0">
      <selection activeCell="Y8" sqref="Y8"/>
    </sheetView>
  </sheetViews>
  <sheetFormatPr baseColWidth="10" defaultColWidth="11.42578125" defaultRowHeight="15" customHeight="1" x14ac:dyDescent="0.3"/>
  <cols>
    <col min="1" max="1" width="3.28515625" style="1" customWidth="1"/>
    <col min="2" max="2" width="8.28515625" style="1" customWidth="1"/>
    <col min="3" max="3" width="9.85546875" style="1" customWidth="1"/>
    <col min="4" max="4" width="10.7109375" style="1" customWidth="1"/>
    <col min="5" max="11" width="13.28515625" style="1" customWidth="1"/>
    <col min="12" max="12" width="3.28515625" style="1" customWidth="1"/>
    <col min="13" max="13" width="13.28515625" style="1" customWidth="1"/>
    <col min="14" max="15" width="4.85546875" style="1" customWidth="1"/>
    <col min="16" max="16" width="3.28515625" style="1" customWidth="1"/>
    <col min="17" max="17" width="10.28515625" style="13" customWidth="1"/>
    <col min="18" max="20" width="8.28515625" style="1" customWidth="1"/>
    <col min="21" max="21" width="15" style="1" customWidth="1"/>
    <col min="22" max="16384" width="11.42578125" style="1"/>
  </cols>
  <sheetData>
    <row r="1" spans="1:23" ht="28.35" customHeight="1" thickBot="1" x14ac:dyDescent="0.35">
      <c r="B1" s="26" t="s">
        <v>11</v>
      </c>
      <c r="C1" s="27"/>
      <c r="D1" s="27"/>
      <c r="E1" s="27"/>
      <c r="F1" s="27"/>
      <c r="G1" s="27"/>
      <c r="H1" s="27"/>
      <c r="I1" s="28" t="s">
        <v>0</v>
      </c>
      <c r="J1" s="29">
        <v>46426</v>
      </c>
      <c r="K1" s="28" t="s">
        <v>1</v>
      </c>
      <c r="L1" s="30" t="s">
        <v>2</v>
      </c>
      <c r="M1" s="30"/>
      <c r="N1" s="30"/>
      <c r="O1" s="31"/>
      <c r="P1" s="27"/>
      <c r="Q1" s="337"/>
      <c r="R1" s="338"/>
      <c r="S1" s="338"/>
      <c r="T1" s="338"/>
      <c r="U1" s="32"/>
    </row>
    <row r="2" spans="1:23" ht="5.0999999999999996" customHeight="1" thickBot="1" x14ac:dyDescent="0.35">
      <c r="C2" s="5"/>
      <c r="D2"/>
      <c r="E2"/>
      <c r="F2"/>
      <c r="G2"/>
      <c r="H2" s="12"/>
      <c r="I2" s="12"/>
      <c r="J2" s="12"/>
      <c r="K2" s="12"/>
    </row>
    <row r="3" spans="1:23" ht="19.5" customHeight="1" thickBot="1" x14ac:dyDescent="0.35">
      <c r="B3" s="299" t="s">
        <v>10</v>
      </c>
      <c r="C3" s="300"/>
      <c r="D3" s="300"/>
      <c r="E3" s="300"/>
      <c r="F3" s="300"/>
      <c r="G3" s="300"/>
      <c r="H3" s="257"/>
      <c r="I3" s="257"/>
      <c r="J3" s="257"/>
      <c r="K3" s="258"/>
      <c r="L3" s="9"/>
      <c r="M3" s="115" t="s">
        <v>8</v>
      </c>
      <c r="N3" s="116"/>
      <c r="O3" s="117"/>
      <c r="P3" s="9"/>
      <c r="Q3" s="20" t="s">
        <v>54</v>
      </c>
      <c r="R3" s="21"/>
      <c r="S3" s="22"/>
      <c r="T3" s="22"/>
      <c r="U3" s="23"/>
    </row>
    <row r="4" spans="1:23" ht="5.0999999999999996" customHeight="1" thickBot="1" x14ac:dyDescent="0.35">
      <c r="C4" s="2"/>
      <c r="D4" s="2"/>
      <c r="E4" s="2"/>
      <c r="F4" s="2"/>
      <c r="G4" s="2"/>
      <c r="H4" s="2"/>
      <c r="I4" s="2"/>
      <c r="J4" s="2"/>
      <c r="K4" s="2"/>
      <c r="M4" s="118"/>
      <c r="N4" s="118"/>
      <c r="O4" s="118"/>
      <c r="Q4" s="16"/>
      <c r="R4" s="8"/>
      <c r="S4" s="8"/>
      <c r="T4" s="7"/>
    </row>
    <row r="5" spans="1:23" ht="20.100000000000001" customHeight="1" x14ac:dyDescent="0.3">
      <c r="B5" s="304" t="s">
        <v>3</v>
      </c>
      <c r="C5" s="305"/>
      <c r="D5" s="306"/>
      <c r="E5" s="265" t="s">
        <v>33</v>
      </c>
      <c r="F5" s="266"/>
      <c r="G5" s="309" t="s">
        <v>34</v>
      </c>
      <c r="H5" s="310"/>
      <c r="I5" s="265" t="s">
        <v>35</v>
      </c>
      <c r="J5" s="266"/>
      <c r="M5" s="342" t="s">
        <v>9</v>
      </c>
      <c r="N5" s="343"/>
      <c r="O5" s="344"/>
      <c r="Q5" s="24">
        <f>J1+0</f>
        <v>46426</v>
      </c>
      <c r="R5" s="238" t="s">
        <v>103</v>
      </c>
      <c r="S5" s="184"/>
      <c r="T5" s="184"/>
      <c r="U5" s="185"/>
    </row>
    <row r="6" spans="1:23" ht="20.100000000000001" customHeight="1" thickBot="1" x14ac:dyDescent="0.35">
      <c r="B6" s="307"/>
      <c r="C6" s="153"/>
      <c r="D6" s="308"/>
      <c r="E6" s="267" t="s">
        <v>41</v>
      </c>
      <c r="F6" s="268"/>
      <c r="G6" s="282" t="s">
        <v>42</v>
      </c>
      <c r="H6" s="268"/>
      <c r="I6" s="267" t="s">
        <v>43</v>
      </c>
      <c r="J6" s="268"/>
      <c r="M6" s="345" t="s">
        <v>305</v>
      </c>
      <c r="N6" s="346"/>
      <c r="O6" s="347"/>
      <c r="Q6" s="25" t="s">
        <v>55</v>
      </c>
      <c r="R6" s="240" t="s">
        <v>104</v>
      </c>
      <c r="S6" s="186"/>
      <c r="T6" s="186"/>
      <c r="U6" s="187"/>
    </row>
    <row r="7" spans="1:23" ht="20.100000000000001" customHeight="1" x14ac:dyDescent="0.3">
      <c r="B7" s="283" t="s">
        <v>4</v>
      </c>
      <c r="C7" s="284"/>
      <c r="D7" s="285"/>
      <c r="E7" s="317" t="s">
        <v>45</v>
      </c>
      <c r="F7" s="274" t="s">
        <v>44</v>
      </c>
      <c r="G7" s="320" t="s">
        <v>68</v>
      </c>
      <c r="H7" s="274" t="s">
        <v>69</v>
      </c>
      <c r="I7" s="311" t="s">
        <v>46</v>
      </c>
      <c r="J7" s="211" t="s">
        <v>17</v>
      </c>
      <c r="L7" s="10"/>
      <c r="M7" s="348"/>
      <c r="N7" s="349"/>
      <c r="O7" s="350"/>
      <c r="Q7" s="24">
        <f>Q5+7</f>
        <v>46433</v>
      </c>
      <c r="R7" s="238" t="s">
        <v>103</v>
      </c>
      <c r="S7" s="184"/>
      <c r="T7" s="184"/>
      <c r="U7" s="185"/>
    </row>
    <row r="8" spans="1:23" ht="20.100000000000001" customHeight="1" thickBot="1" x14ac:dyDescent="0.35">
      <c r="B8" s="286"/>
      <c r="C8" s="287"/>
      <c r="D8" s="288"/>
      <c r="E8" s="318"/>
      <c r="F8" s="280"/>
      <c r="G8" s="321"/>
      <c r="H8" s="275"/>
      <c r="I8" s="312"/>
      <c r="J8" s="212"/>
      <c r="L8" s="10"/>
      <c r="M8" s="348"/>
      <c r="N8" s="349"/>
      <c r="O8" s="350"/>
      <c r="Q8" s="25" t="s">
        <v>55</v>
      </c>
      <c r="R8" s="240" t="s">
        <v>104</v>
      </c>
      <c r="S8" s="186"/>
      <c r="T8" s="186"/>
      <c r="U8" s="187"/>
    </row>
    <row r="9" spans="1:23" ht="20.100000000000001" customHeight="1" x14ac:dyDescent="0.3">
      <c r="B9" s="286"/>
      <c r="C9" s="287"/>
      <c r="D9" s="288"/>
      <c r="E9" s="319"/>
      <c r="F9" s="280"/>
      <c r="G9" s="321"/>
      <c r="H9" s="275"/>
      <c r="I9" s="313"/>
      <c r="J9" s="212"/>
      <c r="L9" s="10"/>
      <c r="M9" s="351"/>
      <c r="N9" s="352"/>
      <c r="O9" s="353"/>
      <c r="Q9" s="24">
        <f>Q7+7</f>
        <v>46440</v>
      </c>
      <c r="R9" s="238" t="s">
        <v>103</v>
      </c>
      <c r="S9" s="184"/>
      <c r="T9" s="184"/>
      <c r="U9" s="185"/>
    </row>
    <row r="10" spans="1:23" ht="20.100000000000001" customHeight="1" thickBot="1" x14ac:dyDescent="0.35">
      <c r="A10" s="6"/>
      <c r="B10" s="286"/>
      <c r="C10" s="287"/>
      <c r="D10" s="288"/>
      <c r="E10" s="315" t="s">
        <v>16</v>
      </c>
      <c r="F10" s="280"/>
      <c r="G10" s="322"/>
      <c r="H10" s="275"/>
      <c r="I10" s="315" t="s">
        <v>18</v>
      </c>
      <c r="J10" s="212"/>
      <c r="L10" s="10"/>
      <c r="M10" s="351"/>
      <c r="N10" s="352"/>
      <c r="O10" s="353"/>
      <c r="Q10" s="25" t="s">
        <v>56</v>
      </c>
      <c r="R10" s="240" t="s">
        <v>104</v>
      </c>
      <c r="S10" s="186"/>
      <c r="T10" s="186"/>
      <c r="U10" s="187"/>
    </row>
    <row r="11" spans="1:23" ht="20.100000000000001" customHeight="1" x14ac:dyDescent="0.3">
      <c r="A11" s="6"/>
      <c r="B11" s="286"/>
      <c r="C11" s="287"/>
      <c r="D11" s="288"/>
      <c r="E11" s="312"/>
      <c r="F11" s="280"/>
      <c r="G11" s="322"/>
      <c r="H11" s="275"/>
      <c r="I11" s="312"/>
      <c r="J11" s="212"/>
      <c r="L11" s="10"/>
      <c r="M11" s="351"/>
      <c r="N11" s="352"/>
      <c r="O11" s="353"/>
      <c r="Q11" s="24">
        <f>Q9+7</f>
        <v>46447</v>
      </c>
      <c r="R11" s="238" t="s">
        <v>103</v>
      </c>
      <c r="S11" s="184"/>
      <c r="T11" s="184"/>
      <c r="U11" s="185"/>
    </row>
    <row r="12" spans="1:23" ht="20.100000000000001" customHeight="1" thickBot="1" x14ac:dyDescent="0.35">
      <c r="B12" s="289"/>
      <c r="C12" s="290"/>
      <c r="D12" s="291"/>
      <c r="E12" s="316"/>
      <c r="F12" s="281"/>
      <c r="G12" s="323"/>
      <c r="H12" s="276"/>
      <c r="I12" s="316"/>
      <c r="J12" s="314"/>
      <c r="L12" s="10"/>
      <c r="M12" s="354"/>
      <c r="N12" s="355"/>
      <c r="O12" s="356"/>
      <c r="Q12" s="25" t="s">
        <v>55</v>
      </c>
      <c r="R12" s="240" t="s">
        <v>104</v>
      </c>
      <c r="S12" s="186"/>
      <c r="T12" s="186"/>
      <c r="U12" s="187"/>
    </row>
    <row r="13" spans="1:23" ht="19.5" customHeight="1" thickBot="1" x14ac:dyDescent="0.35">
      <c r="C13" s="3"/>
      <c r="D13" s="4"/>
      <c r="E13" s="301"/>
      <c r="F13" s="301"/>
      <c r="G13" s="302"/>
      <c r="H13" s="303"/>
      <c r="I13" s="303"/>
      <c r="J13" s="15"/>
      <c r="K13" s="16"/>
      <c r="Q13" s="24">
        <f>Q11+8</f>
        <v>46455</v>
      </c>
      <c r="R13" s="326" t="s">
        <v>75</v>
      </c>
      <c r="S13" s="327"/>
      <c r="T13" s="327"/>
      <c r="U13" s="328"/>
      <c r="W13" s="39"/>
    </row>
    <row r="14" spans="1:23" ht="20.100000000000001" customHeight="1" thickBot="1" x14ac:dyDescent="0.35">
      <c r="B14" s="304" t="s">
        <v>3</v>
      </c>
      <c r="C14" s="305"/>
      <c r="D14" s="306"/>
      <c r="E14" s="265" t="s">
        <v>36</v>
      </c>
      <c r="F14" s="266"/>
      <c r="G14" s="265" t="s">
        <v>37</v>
      </c>
      <c r="H14" s="266"/>
      <c r="I14" s="205" t="s">
        <v>251</v>
      </c>
      <c r="J14" s="206"/>
      <c r="K14" s="14"/>
      <c r="L14" s="9"/>
      <c r="M14" s="357" t="s">
        <v>306</v>
      </c>
      <c r="N14" s="358"/>
      <c r="O14" s="359"/>
      <c r="Q14" s="25" t="s">
        <v>61</v>
      </c>
      <c r="R14" s="240" t="s">
        <v>104</v>
      </c>
      <c r="S14" s="186"/>
      <c r="T14" s="186"/>
      <c r="U14" s="187"/>
    </row>
    <row r="15" spans="1:23" ht="20.100000000000001" customHeight="1" x14ac:dyDescent="0.3">
      <c r="B15" s="307"/>
      <c r="C15" s="153"/>
      <c r="D15" s="308"/>
      <c r="E15" s="267" t="s">
        <v>43</v>
      </c>
      <c r="F15" s="268"/>
      <c r="G15" s="267" t="s">
        <v>52</v>
      </c>
      <c r="H15" s="268"/>
      <c r="I15" s="207" t="s">
        <v>252</v>
      </c>
      <c r="J15" s="208"/>
      <c r="K15" s="14"/>
      <c r="M15" s="360" t="s">
        <v>307</v>
      </c>
      <c r="N15" s="361"/>
      <c r="O15" s="362"/>
      <c r="Q15" s="24">
        <f>Q13+7</f>
        <v>46462</v>
      </c>
      <c r="R15" s="326" t="s">
        <v>75</v>
      </c>
      <c r="S15" s="327"/>
      <c r="T15" s="327"/>
      <c r="U15" s="328"/>
    </row>
    <row r="16" spans="1:23" ht="20.100000000000001" customHeight="1" thickBot="1" x14ac:dyDescent="0.35">
      <c r="B16" s="283" t="s">
        <v>4</v>
      </c>
      <c r="C16" s="284"/>
      <c r="D16" s="285"/>
      <c r="E16" s="271" t="s">
        <v>19</v>
      </c>
      <c r="F16" s="274" t="s">
        <v>20</v>
      </c>
      <c r="G16" s="269" t="s">
        <v>12</v>
      </c>
      <c r="H16" s="270"/>
      <c r="I16" s="209" t="s">
        <v>253</v>
      </c>
      <c r="J16" s="211" t="s">
        <v>254</v>
      </c>
      <c r="K16" s="14"/>
      <c r="M16" s="363"/>
      <c r="N16" s="361"/>
      <c r="O16" s="362"/>
      <c r="Q16" s="25" t="s">
        <v>58</v>
      </c>
      <c r="R16" s="240" t="s">
        <v>77</v>
      </c>
      <c r="S16" s="186"/>
      <c r="T16" s="186"/>
      <c r="U16" s="187"/>
    </row>
    <row r="17" spans="2:21" ht="20.100000000000001" customHeight="1" thickBot="1" x14ac:dyDescent="0.35">
      <c r="B17" s="286"/>
      <c r="C17" s="287"/>
      <c r="D17" s="288"/>
      <c r="E17" s="329"/>
      <c r="F17" s="280"/>
      <c r="G17" s="271" t="s">
        <v>13</v>
      </c>
      <c r="H17" s="274" t="s">
        <v>14</v>
      </c>
      <c r="I17" s="210"/>
      <c r="J17" s="212"/>
      <c r="K17" s="14"/>
      <c r="M17" s="364"/>
      <c r="N17" s="365"/>
      <c r="O17" s="366"/>
      <c r="Q17" s="24">
        <f>Q15+7</f>
        <v>46469</v>
      </c>
      <c r="R17" s="326" t="s">
        <v>75</v>
      </c>
      <c r="S17" s="327"/>
      <c r="T17" s="327"/>
      <c r="U17" s="328"/>
    </row>
    <row r="18" spans="2:21" ht="20.100000000000001" customHeight="1" thickBot="1" x14ac:dyDescent="0.35">
      <c r="B18" s="286"/>
      <c r="C18" s="287"/>
      <c r="D18" s="288"/>
      <c r="E18" s="329"/>
      <c r="F18" s="280"/>
      <c r="G18" s="272"/>
      <c r="H18" s="275"/>
      <c r="I18" s="210"/>
      <c r="J18" s="212"/>
      <c r="K18" s="14"/>
      <c r="L18"/>
      <c r="Q18" s="25" t="s">
        <v>59</v>
      </c>
      <c r="R18" s="240" t="s">
        <v>77</v>
      </c>
      <c r="S18" s="186"/>
      <c r="T18" s="186"/>
      <c r="U18" s="187"/>
    </row>
    <row r="19" spans="2:21" ht="20.100000000000001" customHeight="1" x14ac:dyDescent="0.3">
      <c r="B19" s="286"/>
      <c r="C19" s="287"/>
      <c r="D19" s="288"/>
      <c r="E19" s="329"/>
      <c r="F19" s="280"/>
      <c r="G19" s="272"/>
      <c r="H19" s="275"/>
      <c r="I19" s="213" t="s">
        <v>255</v>
      </c>
      <c r="J19" s="216" t="s">
        <v>256</v>
      </c>
      <c r="K19" s="14"/>
      <c r="M19" s="367" t="s">
        <v>308</v>
      </c>
      <c r="N19" s="368"/>
      <c r="O19" s="369"/>
      <c r="Q19" s="24">
        <f>Q17+7</f>
        <v>46476</v>
      </c>
      <c r="R19" s="326" t="s">
        <v>75</v>
      </c>
      <c r="S19" s="327"/>
      <c r="T19" s="327"/>
      <c r="U19" s="328"/>
    </row>
    <row r="20" spans="2:21" ht="20.100000000000001" customHeight="1" thickBot="1" x14ac:dyDescent="0.35">
      <c r="B20" s="286"/>
      <c r="C20" s="287"/>
      <c r="D20" s="288"/>
      <c r="E20" s="329"/>
      <c r="F20" s="280"/>
      <c r="G20" s="272"/>
      <c r="H20" s="275"/>
      <c r="I20" s="214"/>
      <c r="J20" s="217"/>
      <c r="K20" s="14"/>
      <c r="M20" s="119" t="s">
        <v>50</v>
      </c>
      <c r="N20" s="370">
        <v>3</v>
      </c>
      <c r="O20" s="371"/>
      <c r="Q20" s="25" t="s">
        <v>63</v>
      </c>
      <c r="R20" s="240" t="s">
        <v>77</v>
      </c>
      <c r="S20" s="186"/>
      <c r="T20" s="186"/>
      <c r="U20" s="187"/>
    </row>
    <row r="21" spans="2:21" ht="20.100000000000001" customHeight="1" thickBot="1" x14ac:dyDescent="0.35">
      <c r="B21" s="289"/>
      <c r="C21" s="290"/>
      <c r="D21" s="291"/>
      <c r="E21" s="330"/>
      <c r="F21" s="281"/>
      <c r="G21" s="273"/>
      <c r="H21" s="276"/>
      <c r="I21" s="215"/>
      <c r="J21" s="218"/>
      <c r="K21" s="14"/>
      <c r="M21" s="120" t="s">
        <v>34</v>
      </c>
      <c r="N21" s="198">
        <v>3</v>
      </c>
      <c r="O21" s="199"/>
      <c r="Q21" s="24">
        <f>Q19+7</f>
        <v>46483</v>
      </c>
      <c r="R21" s="326" t="s">
        <v>75</v>
      </c>
      <c r="S21" s="327"/>
      <c r="T21" s="327"/>
      <c r="U21" s="328"/>
    </row>
    <row r="22" spans="2:21" ht="19.5" customHeight="1" thickBot="1" x14ac:dyDescent="0.35">
      <c r="M22" s="120" t="s">
        <v>35</v>
      </c>
      <c r="N22" s="198">
        <v>3</v>
      </c>
      <c r="O22" s="199"/>
      <c r="Q22" s="25" t="s">
        <v>57</v>
      </c>
      <c r="R22" s="240" t="s">
        <v>77</v>
      </c>
      <c r="S22" s="186"/>
      <c r="T22" s="186"/>
      <c r="U22" s="187"/>
    </row>
    <row r="23" spans="2:21" ht="20.100000000000001" customHeight="1" x14ac:dyDescent="0.3">
      <c r="B23" s="245" t="s">
        <v>32</v>
      </c>
      <c r="C23" s="246"/>
      <c r="D23" s="246"/>
      <c r="E23" s="219" t="s">
        <v>48</v>
      </c>
      <c r="F23" s="294"/>
      <c r="G23" s="295"/>
      <c r="H23" s="249" t="s">
        <v>38</v>
      </c>
      <c r="I23" s="250"/>
      <c r="L23" s="9"/>
      <c r="M23" s="120" t="s">
        <v>36</v>
      </c>
      <c r="N23" s="198">
        <v>2</v>
      </c>
      <c r="O23" s="199"/>
      <c r="Q23" s="24">
        <f>Q21+21</f>
        <v>46504</v>
      </c>
      <c r="R23" s="326" t="s">
        <v>75</v>
      </c>
      <c r="S23" s="327"/>
      <c r="T23" s="327"/>
      <c r="U23" s="328"/>
    </row>
    <row r="24" spans="2:21" ht="20.100000000000001" customHeight="1" thickBot="1" x14ac:dyDescent="0.35">
      <c r="B24" s="247"/>
      <c r="C24" s="248"/>
      <c r="D24" s="248"/>
      <c r="E24" s="296" t="s">
        <v>62</v>
      </c>
      <c r="F24" s="297"/>
      <c r="G24" s="298"/>
      <c r="H24" s="324" t="s">
        <v>47</v>
      </c>
      <c r="I24" s="325"/>
      <c r="M24" s="120" t="s">
        <v>37</v>
      </c>
      <c r="N24" s="198">
        <v>1</v>
      </c>
      <c r="O24" s="199"/>
      <c r="Q24" s="25" t="s">
        <v>60</v>
      </c>
      <c r="R24" s="240" t="s">
        <v>76</v>
      </c>
      <c r="S24" s="186"/>
      <c r="T24" s="186"/>
      <c r="U24" s="187"/>
    </row>
    <row r="25" spans="2:21" s="9" customFormat="1" ht="20.100000000000001" customHeight="1" x14ac:dyDescent="0.3">
      <c r="B25" s="259" t="s">
        <v>310</v>
      </c>
      <c r="C25" s="260"/>
      <c r="D25" s="260"/>
      <c r="E25" s="195" t="s">
        <v>24</v>
      </c>
      <c r="F25" s="188" t="s">
        <v>26</v>
      </c>
      <c r="G25" s="191" t="s">
        <v>21</v>
      </c>
      <c r="H25" s="193" t="s">
        <v>49</v>
      </c>
      <c r="I25" s="191" t="s">
        <v>23</v>
      </c>
      <c r="L25" s="11"/>
      <c r="M25" s="120" t="s">
        <v>251</v>
      </c>
      <c r="N25" s="198">
        <v>1</v>
      </c>
      <c r="O25" s="199"/>
      <c r="Q25" s="24">
        <f>Q23+7</f>
        <v>46511</v>
      </c>
      <c r="R25" s="326" t="s">
        <v>75</v>
      </c>
      <c r="S25" s="327"/>
      <c r="T25" s="327"/>
      <c r="U25" s="328"/>
    </row>
    <row r="26" spans="2:21" s="9" customFormat="1" ht="20.100000000000001" customHeight="1" thickBot="1" x14ac:dyDescent="0.35">
      <c r="B26" s="261"/>
      <c r="C26" s="262"/>
      <c r="D26" s="262"/>
      <c r="E26" s="196"/>
      <c r="F26" s="189"/>
      <c r="G26" s="191"/>
      <c r="H26" s="194"/>
      <c r="I26" s="239"/>
      <c r="K26" s="95"/>
      <c r="L26" s="11"/>
      <c r="M26" s="121" t="s">
        <v>309</v>
      </c>
      <c r="N26" s="372">
        <f>SUM(N20:O25)</f>
        <v>13</v>
      </c>
      <c r="O26" s="373"/>
      <c r="Q26" s="25" t="s">
        <v>65</v>
      </c>
      <c r="R26" s="240" t="s">
        <v>76</v>
      </c>
      <c r="S26" s="186"/>
      <c r="T26" s="186"/>
      <c r="U26" s="187"/>
    </row>
    <row r="27" spans="2:21" s="9" customFormat="1" ht="20.100000000000001" customHeight="1" thickBot="1" x14ac:dyDescent="0.35">
      <c r="B27" s="261"/>
      <c r="C27" s="262"/>
      <c r="D27" s="262"/>
      <c r="E27" s="196"/>
      <c r="F27" s="189"/>
      <c r="G27" s="191"/>
      <c r="H27" s="194"/>
      <c r="I27" s="239"/>
      <c r="L27" s="11"/>
      <c r="Q27" s="24">
        <f>Q25+7</f>
        <v>46518</v>
      </c>
      <c r="R27" s="238" t="s">
        <v>78</v>
      </c>
      <c r="S27" s="184"/>
      <c r="T27" s="184"/>
      <c r="U27" s="185"/>
    </row>
    <row r="28" spans="2:21" s="9" customFormat="1" ht="20.100000000000001" customHeight="1" thickBot="1" x14ac:dyDescent="0.35">
      <c r="B28" s="261"/>
      <c r="C28" s="262"/>
      <c r="D28" s="262"/>
      <c r="E28" s="195" t="s">
        <v>25</v>
      </c>
      <c r="F28" s="188" t="s">
        <v>27</v>
      </c>
      <c r="G28" s="191"/>
      <c r="H28" s="195" t="s">
        <v>22</v>
      </c>
      <c r="I28" s="242" t="s">
        <v>70</v>
      </c>
      <c r="L28" s="11"/>
      <c r="M28" s="202" t="s">
        <v>311</v>
      </c>
      <c r="N28" s="203"/>
      <c r="O28" s="204"/>
      <c r="Q28" s="25" t="s">
        <v>65</v>
      </c>
      <c r="R28" s="240" t="s">
        <v>76</v>
      </c>
      <c r="S28" s="186"/>
      <c r="T28" s="186"/>
      <c r="U28" s="187"/>
    </row>
    <row r="29" spans="2:21" s="9" customFormat="1" ht="20.100000000000001" customHeight="1" x14ac:dyDescent="0.3">
      <c r="B29" s="261"/>
      <c r="C29" s="262"/>
      <c r="D29" s="262"/>
      <c r="E29" s="196"/>
      <c r="F29" s="189"/>
      <c r="G29" s="191"/>
      <c r="H29" s="196"/>
      <c r="I29" s="243"/>
      <c r="L29" s="11"/>
      <c r="M29" s="122" t="s">
        <v>48</v>
      </c>
      <c r="N29" s="200">
        <v>3</v>
      </c>
      <c r="O29" s="201"/>
      <c r="Q29" s="24">
        <f>Q27+7</f>
        <v>46525</v>
      </c>
      <c r="R29" s="238" t="s">
        <v>78</v>
      </c>
      <c r="S29" s="184"/>
      <c r="T29" s="184"/>
      <c r="U29" s="185"/>
    </row>
    <row r="30" spans="2:21" s="9" customFormat="1" ht="20.100000000000001" customHeight="1" thickBot="1" x14ac:dyDescent="0.35">
      <c r="B30" s="263"/>
      <c r="C30" s="264"/>
      <c r="D30" s="264"/>
      <c r="E30" s="197"/>
      <c r="F30" s="190"/>
      <c r="G30" s="192"/>
      <c r="H30" s="197"/>
      <c r="I30" s="244"/>
      <c r="L30" s="11"/>
      <c r="M30" s="123" t="s">
        <v>38</v>
      </c>
      <c r="N30" s="331">
        <v>2</v>
      </c>
      <c r="O30" s="332"/>
      <c r="Q30" s="45" t="s">
        <v>65</v>
      </c>
      <c r="R30" s="339" t="s">
        <v>76</v>
      </c>
      <c r="S30" s="340"/>
      <c r="T30" s="340"/>
      <c r="U30" s="341"/>
    </row>
    <row r="31" spans="2:21" s="9" customFormat="1" ht="19.5" customHeight="1" thickBot="1" x14ac:dyDescent="0.35">
      <c r="M31" s="123" t="s">
        <v>39</v>
      </c>
      <c r="N31" s="331">
        <v>3</v>
      </c>
      <c r="O31" s="332"/>
      <c r="Q31" s="24">
        <f>Q29+7</f>
        <v>46532</v>
      </c>
      <c r="R31" s="238" t="s">
        <v>78</v>
      </c>
      <c r="S31" s="184"/>
      <c r="T31" s="184"/>
      <c r="U31" s="185"/>
    </row>
    <row r="32" spans="2:21" s="9" customFormat="1" ht="20.100000000000001" customHeight="1" thickBot="1" x14ac:dyDescent="0.35">
      <c r="B32" s="245" t="s">
        <v>5</v>
      </c>
      <c r="C32" s="246"/>
      <c r="D32" s="246"/>
      <c r="E32" s="249" t="s">
        <v>39</v>
      </c>
      <c r="F32" s="250"/>
      <c r="G32" s="249" t="s">
        <v>40</v>
      </c>
      <c r="H32" s="251"/>
      <c r="I32" s="250"/>
      <c r="J32" s="219" t="s">
        <v>73</v>
      </c>
      <c r="K32" s="220"/>
      <c r="L32"/>
      <c r="M32" s="123" t="s">
        <v>40</v>
      </c>
      <c r="N32" s="331">
        <v>2</v>
      </c>
      <c r="O32" s="332"/>
      <c r="Q32" s="25" t="s">
        <v>66</v>
      </c>
      <c r="R32" s="186" t="s">
        <v>79</v>
      </c>
      <c r="S32" s="186"/>
      <c r="T32" s="186"/>
      <c r="U32" s="187"/>
    </row>
    <row r="33" spans="2:21" ht="20.100000000000001" customHeight="1" x14ac:dyDescent="0.3">
      <c r="B33" s="247"/>
      <c r="C33" s="248"/>
      <c r="D33" s="248"/>
      <c r="E33" s="252" t="s">
        <v>64</v>
      </c>
      <c r="F33" s="253"/>
      <c r="G33" s="254" t="s">
        <v>51</v>
      </c>
      <c r="H33" s="255"/>
      <c r="I33" s="256"/>
      <c r="J33" s="221" t="s">
        <v>72</v>
      </c>
      <c r="K33" s="222"/>
      <c r="L33" s="18"/>
      <c r="M33" s="124" t="s">
        <v>73</v>
      </c>
      <c r="N33" s="333">
        <v>3</v>
      </c>
      <c r="O33" s="334"/>
      <c r="Q33" s="44">
        <f>Q31+7</f>
        <v>46539</v>
      </c>
      <c r="R33" s="184" t="s">
        <v>80</v>
      </c>
      <c r="S33" s="184"/>
      <c r="T33" s="184"/>
      <c r="U33" s="185"/>
    </row>
    <row r="34" spans="2:21" ht="20.100000000000001" customHeight="1" thickBot="1" x14ac:dyDescent="0.35">
      <c r="B34" s="259" t="s">
        <v>310</v>
      </c>
      <c r="C34" s="260"/>
      <c r="D34" s="260"/>
      <c r="E34" s="178" t="s">
        <v>28</v>
      </c>
      <c r="F34" s="179"/>
      <c r="G34" s="178" t="s">
        <v>31</v>
      </c>
      <c r="H34" s="277" t="s">
        <v>15</v>
      </c>
      <c r="I34" s="191" t="s">
        <v>29</v>
      </c>
      <c r="J34" s="223" t="s">
        <v>74</v>
      </c>
      <c r="K34" s="224"/>
      <c r="L34" s="19"/>
      <c r="M34" s="125" t="s">
        <v>309</v>
      </c>
      <c r="N34" s="335">
        <f>SUM(N29:O33)</f>
        <v>13</v>
      </c>
      <c r="O34" s="336"/>
      <c r="Q34" s="25" t="s">
        <v>67</v>
      </c>
      <c r="R34" s="186" t="s">
        <v>79</v>
      </c>
      <c r="S34" s="186"/>
      <c r="T34" s="186"/>
      <c r="U34" s="187"/>
    </row>
    <row r="35" spans="2:21" ht="20.100000000000001" customHeight="1" x14ac:dyDescent="0.3">
      <c r="B35" s="261"/>
      <c r="C35" s="262"/>
      <c r="D35" s="262"/>
      <c r="E35" s="180"/>
      <c r="F35" s="181"/>
      <c r="G35" s="180"/>
      <c r="H35" s="278"/>
      <c r="I35" s="191"/>
      <c r="J35" s="225"/>
      <c r="K35" s="226"/>
      <c r="L35" s="19"/>
      <c r="Q35" s="24">
        <f>Q33+7</f>
        <v>46546</v>
      </c>
      <c r="R35" s="184" t="s">
        <v>80</v>
      </c>
      <c r="S35" s="184"/>
      <c r="T35" s="184"/>
      <c r="U35" s="185"/>
    </row>
    <row r="36" spans="2:21" ht="20.100000000000001" customHeight="1" thickBot="1" x14ac:dyDescent="0.35">
      <c r="B36" s="261"/>
      <c r="C36" s="262"/>
      <c r="D36" s="262"/>
      <c r="E36" s="180"/>
      <c r="F36" s="181"/>
      <c r="G36" s="292"/>
      <c r="H36" s="278"/>
      <c r="I36" s="191"/>
      <c r="J36" s="225"/>
      <c r="K36" s="226"/>
      <c r="L36" s="19"/>
      <c r="Q36" s="25" t="s">
        <v>66</v>
      </c>
      <c r="R36" s="186" t="s">
        <v>79</v>
      </c>
      <c r="S36" s="186"/>
      <c r="T36" s="186"/>
      <c r="U36" s="187"/>
    </row>
    <row r="37" spans="2:21" ht="20.100000000000001" customHeight="1" x14ac:dyDescent="0.3">
      <c r="B37" s="261"/>
      <c r="C37" s="262"/>
      <c r="D37" s="262"/>
      <c r="E37" s="180"/>
      <c r="F37" s="181"/>
      <c r="G37" s="293" t="s">
        <v>30</v>
      </c>
      <c r="H37" s="278"/>
      <c r="I37" s="191"/>
      <c r="J37" s="227" t="s">
        <v>71</v>
      </c>
      <c r="K37" s="228"/>
      <c r="L37" s="19"/>
      <c r="Q37" s="24">
        <f>Q35+7</f>
        <v>46553</v>
      </c>
      <c r="R37" s="232" t="s">
        <v>74</v>
      </c>
      <c r="S37" s="233"/>
      <c r="T37" s="233"/>
      <c r="U37" s="234"/>
    </row>
    <row r="38" spans="2:21" ht="20.100000000000001" customHeight="1" thickBot="1" x14ac:dyDescent="0.35">
      <c r="B38" s="261"/>
      <c r="C38" s="262"/>
      <c r="D38" s="262"/>
      <c r="E38" s="180"/>
      <c r="F38" s="181"/>
      <c r="G38" s="180"/>
      <c r="H38" s="278"/>
      <c r="I38" s="191"/>
      <c r="J38" s="229"/>
      <c r="K38" s="228"/>
      <c r="L38" s="19"/>
      <c r="Q38" s="98">
        <v>4.0999999999999996</v>
      </c>
      <c r="R38" s="235"/>
      <c r="S38" s="236"/>
      <c r="T38" s="236"/>
      <c r="U38" s="237"/>
    </row>
    <row r="39" spans="2:21" ht="19.5" customHeight="1" thickBot="1" x14ac:dyDescent="0.35">
      <c r="B39" s="263"/>
      <c r="C39" s="264"/>
      <c r="D39" s="264"/>
      <c r="E39" s="182"/>
      <c r="F39" s="183"/>
      <c r="G39" s="182"/>
      <c r="H39" s="279"/>
      <c r="I39" s="192"/>
      <c r="J39" s="230"/>
      <c r="K39" s="231"/>
      <c r="L39"/>
      <c r="M39" s="114"/>
      <c r="N39" s="241"/>
      <c r="O39" s="241"/>
      <c r="Q39" s="24">
        <f>Q37+7</f>
        <v>46560</v>
      </c>
      <c r="R39" s="184" t="s">
        <v>257</v>
      </c>
      <c r="S39" s="184"/>
      <c r="T39" s="184"/>
      <c r="U39" s="185"/>
    </row>
    <row r="40" spans="2:21" ht="15" customHeight="1" thickBot="1" x14ac:dyDescent="0.35">
      <c r="Q40" s="25" t="s">
        <v>250</v>
      </c>
      <c r="R40" s="186" t="s">
        <v>258</v>
      </c>
      <c r="S40" s="186"/>
      <c r="T40" s="186"/>
      <c r="U40" s="187"/>
    </row>
    <row r="41" spans="2:21" s="17" customFormat="1" ht="15" customHeight="1" thickBot="1" x14ac:dyDescent="0.35">
      <c r="H41" s="99"/>
      <c r="Q41" s="40">
        <f>Q39+7</f>
        <v>46567</v>
      </c>
      <c r="R41" s="41" t="s">
        <v>53</v>
      </c>
      <c r="S41" s="42"/>
      <c r="T41" s="42"/>
      <c r="U41" s="43"/>
    </row>
    <row r="42" spans="2:21" s="9" customFormat="1" ht="15" customHeight="1" thickBot="1" x14ac:dyDescent="0.35">
      <c r="B42"/>
      <c r="C42"/>
      <c r="D42" s="38"/>
      <c r="E42" s="38"/>
      <c r="F42" s="38"/>
      <c r="G42"/>
      <c r="H42"/>
      <c r="I42"/>
      <c r="J42"/>
      <c r="K42"/>
      <c r="L42"/>
      <c r="M42"/>
      <c r="N42"/>
      <c r="O42"/>
      <c r="P42"/>
      <c r="Q42" s="40">
        <f>Q41+7</f>
        <v>46574</v>
      </c>
      <c r="R42" s="41" t="s">
        <v>296</v>
      </c>
      <c r="S42" s="42"/>
      <c r="T42" s="42"/>
      <c r="U42" s="43"/>
    </row>
    <row r="43" spans="2:21" ht="5.0999999999999996" customHeight="1" thickBot="1" x14ac:dyDescent="0.35"/>
    <row r="44" spans="2:21" ht="15" customHeight="1" thickBot="1" x14ac:dyDescent="0.35">
      <c r="B44" s="33" t="s">
        <v>6</v>
      </c>
      <c r="C44" s="34"/>
      <c r="D44" s="34"/>
      <c r="E44" s="34"/>
      <c r="F44" s="34"/>
      <c r="G44" s="35"/>
      <c r="H44" s="34"/>
      <c r="I44" s="34"/>
      <c r="J44" s="36"/>
      <c r="K44" s="34" t="s">
        <v>7</v>
      </c>
      <c r="L44" s="35"/>
      <c r="M44" s="34"/>
      <c r="N44" s="34"/>
      <c r="O44" s="34"/>
      <c r="P44" s="34"/>
      <c r="Q44" s="36"/>
      <c r="R44" s="34"/>
      <c r="S44" s="34"/>
      <c r="T44" s="34"/>
      <c r="U44" s="37"/>
    </row>
  </sheetData>
  <mergeCells count="124">
    <mergeCell ref="M5:O5"/>
    <mergeCell ref="M6:O12"/>
    <mergeCell ref="M14:O14"/>
    <mergeCell ref="M15:O17"/>
    <mergeCell ref="M19:O19"/>
    <mergeCell ref="N20:O20"/>
    <mergeCell ref="N21:O21"/>
    <mergeCell ref="N22:O22"/>
    <mergeCell ref="N26:O26"/>
    <mergeCell ref="Q1:T1"/>
    <mergeCell ref="R16:U16"/>
    <mergeCell ref="R17:U17"/>
    <mergeCell ref="R11:U11"/>
    <mergeCell ref="R12:U12"/>
    <mergeCell ref="R13:U13"/>
    <mergeCell ref="R14:U14"/>
    <mergeCell ref="R21:U21"/>
    <mergeCell ref="R30:U30"/>
    <mergeCell ref="R23:U23"/>
    <mergeCell ref="R24:U24"/>
    <mergeCell ref="R25:U25"/>
    <mergeCell ref="R26:U26"/>
    <mergeCell ref="R22:U22"/>
    <mergeCell ref="R6:U6"/>
    <mergeCell ref="R5:U5"/>
    <mergeCell ref="B23:D24"/>
    <mergeCell ref="H23:I23"/>
    <mergeCell ref="H24:I24"/>
    <mergeCell ref="B25:D30"/>
    <mergeCell ref="E25:E27"/>
    <mergeCell ref="B14:D15"/>
    <mergeCell ref="R7:U7"/>
    <mergeCell ref="R8:U8"/>
    <mergeCell ref="R9:U9"/>
    <mergeCell ref="R10:U10"/>
    <mergeCell ref="R15:U15"/>
    <mergeCell ref="E16:E21"/>
    <mergeCell ref="R18:U18"/>
    <mergeCell ref="R19:U19"/>
    <mergeCell ref="R20:U20"/>
    <mergeCell ref="N24:O24"/>
    <mergeCell ref="N30:O30"/>
    <mergeCell ref="N23:O23"/>
    <mergeCell ref="H3:I3"/>
    <mergeCell ref="B3:G3"/>
    <mergeCell ref="E15:F15"/>
    <mergeCell ref="E13:G13"/>
    <mergeCell ref="H13:I13"/>
    <mergeCell ref="E14:F14"/>
    <mergeCell ref="B5:D6"/>
    <mergeCell ref="B7:D12"/>
    <mergeCell ref="E5:F5"/>
    <mergeCell ref="F7:F12"/>
    <mergeCell ref="G5:H5"/>
    <mergeCell ref="H7:H12"/>
    <mergeCell ref="I6:J6"/>
    <mergeCell ref="I7:I9"/>
    <mergeCell ref="J7:J12"/>
    <mergeCell ref="I10:I12"/>
    <mergeCell ref="E7:E9"/>
    <mergeCell ref="E10:E12"/>
    <mergeCell ref="G7:G12"/>
    <mergeCell ref="B32:D33"/>
    <mergeCell ref="E32:F32"/>
    <mergeCell ref="G32:I32"/>
    <mergeCell ref="E33:F33"/>
    <mergeCell ref="G33:I33"/>
    <mergeCell ref="J3:K3"/>
    <mergeCell ref="B34:D39"/>
    <mergeCell ref="G14:H14"/>
    <mergeCell ref="G15:H15"/>
    <mergeCell ref="G16:H16"/>
    <mergeCell ref="G17:G21"/>
    <mergeCell ref="H17:H21"/>
    <mergeCell ref="E28:E30"/>
    <mergeCell ref="E6:F6"/>
    <mergeCell ref="H34:H39"/>
    <mergeCell ref="I34:I39"/>
    <mergeCell ref="F16:F21"/>
    <mergeCell ref="G6:H6"/>
    <mergeCell ref="I5:J5"/>
    <mergeCell ref="B16:D21"/>
    <mergeCell ref="G34:G36"/>
    <mergeCell ref="G37:G39"/>
    <mergeCell ref="E23:G23"/>
    <mergeCell ref="E24:G24"/>
    <mergeCell ref="R40:U40"/>
    <mergeCell ref="I14:J14"/>
    <mergeCell ref="I15:J15"/>
    <mergeCell ref="I16:I18"/>
    <mergeCell ref="J16:J18"/>
    <mergeCell ref="I19:I21"/>
    <mergeCell ref="J19:J21"/>
    <mergeCell ref="J32:K32"/>
    <mergeCell ref="J33:K33"/>
    <mergeCell ref="J34:K36"/>
    <mergeCell ref="J37:K39"/>
    <mergeCell ref="R37:U38"/>
    <mergeCell ref="R27:U27"/>
    <mergeCell ref="R29:U29"/>
    <mergeCell ref="I25:I27"/>
    <mergeCell ref="R31:U31"/>
    <mergeCell ref="R32:U32"/>
    <mergeCell ref="R33:U33"/>
    <mergeCell ref="R28:U28"/>
    <mergeCell ref="N39:O39"/>
    <mergeCell ref="I28:I30"/>
    <mergeCell ref="N31:O31"/>
    <mergeCell ref="N32:O32"/>
    <mergeCell ref="N33:O33"/>
    <mergeCell ref="E34:F39"/>
    <mergeCell ref="R39:U39"/>
    <mergeCell ref="R36:U36"/>
    <mergeCell ref="R35:U35"/>
    <mergeCell ref="R34:U34"/>
    <mergeCell ref="F25:F27"/>
    <mergeCell ref="F28:F30"/>
    <mergeCell ref="G25:G30"/>
    <mergeCell ref="H25:H27"/>
    <mergeCell ref="H28:H30"/>
    <mergeCell ref="N25:O25"/>
    <mergeCell ref="N29:O29"/>
    <mergeCell ref="M28:O28"/>
    <mergeCell ref="N34:O34"/>
  </mergeCells>
  <phoneticPr fontId="22" type="noConversion"/>
  <conditionalFormatting sqref="R5:U12 Q6:Q10 Q11:U37 Q38 Q39:U40">
    <cfRule type="expression" dxfId="1" priority="56">
      <formula>$Q$7=$M$39</formula>
    </cfRule>
    <cfRule type="expression" dxfId="0" priority="57">
      <formula>$Q$7=#REF!</formula>
    </cfRule>
  </conditionalFormatting>
  <pageMargins left="0.23622047244094488" right="0.23622047244094488" top="0.23622047244094488" bottom="0.23622047244094488" header="0.31496062992125984" footer="0.31496062992125984"/>
  <pageSetup paperSize="8" orientation="landscape" r:id="rId1"/>
  <headerFooter>
    <oddHeader xml:space="preserve">&amp;L
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91D45-6A51-4E35-AC2C-DA9C47955797}">
  <dimension ref="B1:J48"/>
  <sheetViews>
    <sheetView workbookViewId="0">
      <selection activeCell="F30" sqref="F30"/>
    </sheetView>
  </sheetViews>
  <sheetFormatPr baseColWidth="10" defaultColWidth="11.42578125" defaultRowHeight="15" x14ac:dyDescent="0.25"/>
  <cols>
    <col min="1" max="1" width="2.85546875" customWidth="1"/>
    <col min="2" max="2" width="10" customWidth="1"/>
    <col min="3" max="7" width="16.28515625" customWidth="1"/>
  </cols>
  <sheetData>
    <row r="1" spans="2:7" x14ac:dyDescent="0.25">
      <c r="B1" s="140" t="s">
        <v>81</v>
      </c>
      <c r="C1" s="141"/>
      <c r="D1" s="141"/>
      <c r="E1" s="144">
        <f>Kompetenzraster!Q5</f>
        <v>46426</v>
      </c>
      <c r="F1" s="145"/>
      <c r="G1" s="148">
        <v>1</v>
      </c>
    </row>
    <row r="2" spans="2:7" x14ac:dyDescent="0.25">
      <c r="B2" s="142"/>
      <c r="C2" s="143"/>
      <c r="D2" s="143"/>
      <c r="E2" s="146"/>
      <c r="F2" s="147"/>
      <c r="G2" s="149"/>
    </row>
    <row r="3" spans="2:7" ht="15.75" customHeight="1" x14ac:dyDescent="0.25">
      <c r="B3" s="374" t="s">
        <v>89</v>
      </c>
      <c r="C3" s="375"/>
      <c r="D3" s="375"/>
      <c r="E3" s="375"/>
      <c r="F3" s="378">
        <v>4.5999999999999996</v>
      </c>
      <c r="G3" s="380" t="s">
        <v>82</v>
      </c>
    </row>
    <row r="4" spans="2:7" ht="14.25" customHeight="1" x14ac:dyDescent="0.25">
      <c r="B4" s="376"/>
      <c r="C4" s="377"/>
      <c r="D4" s="377"/>
      <c r="E4" s="377"/>
      <c r="F4" s="379"/>
      <c r="G4" s="381"/>
    </row>
    <row r="5" spans="2:7" ht="15.75" customHeight="1" x14ac:dyDescent="0.3">
      <c r="B5" s="382" t="s">
        <v>107</v>
      </c>
      <c r="C5" s="46"/>
      <c r="D5" s="47"/>
      <c r="E5" s="48"/>
      <c r="F5" s="49"/>
      <c r="G5" s="50"/>
    </row>
    <row r="6" spans="2:7" ht="15.75" x14ac:dyDescent="0.3">
      <c r="B6" s="383"/>
      <c r="C6" s="51" t="s">
        <v>267</v>
      </c>
      <c r="D6" s="52"/>
      <c r="E6" s="52"/>
      <c r="F6" s="53"/>
      <c r="G6" s="53"/>
    </row>
    <row r="7" spans="2:7" ht="15.75" x14ac:dyDescent="0.3">
      <c r="B7" s="383"/>
      <c r="C7" s="54" t="s">
        <v>297</v>
      </c>
      <c r="F7" s="55"/>
      <c r="G7" s="53"/>
    </row>
    <row r="8" spans="2:7" ht="15.75" x14ac:dyDescent="0.3">
      <c r="B8" s="383"/>
      <c r="C8" s="54" t="s">
        <v>268</v>
      </c>
      <c r="F8" s="53"/>
      <c r="G8" s="55"/>
    </row>
    <row r="9" spans="2:7" ht="15.75" x14ac:dyDescent="0.3">
      <c r="B9" s="383"/>
      <c r="C9" s="54" t="s">
        <v>269</v>
      </c>
      <c r="E9" s="76"/>
      <c r="F9" s="56"/>
      <c r="G9" s="53"/>
    </row>
    <row r="10" spans="2:7" x14ac:dyDescent="0.25">
      <c r="B10" s="383"/>
      <c r="C10" s="66"/>
      <c r="E10" s="77"/>
      <c r="F10" s="57"/>
      <c r="G10" s="53"/>
    </row>
    <row r="11" spans="2:7" x14ac:dyDescent="0.25">
      <c r="B11" s="383"/>
      <c r="C11" s="51" t="s">
        <v>83</v>
      </c>
      <c r="D11" s="77"/>
      <c r="E11" s="14"/>
      <c r="F11" s="78"/>
      <c r="G11" s="53"/>
    </row>
    <row r="12" spans="2:7" ht="15.75" x14ac:dyDescent="0.3">
      <c r="B12" s="383"/>
      <c r="C12" s="54" t="s">
        <v>105</v>
      </c>
      <c r="D12" s="14"/>
      <c r="E12" s="52"/>
      <c r="F12" s="53"/>
      <c r="G12" s="53"/>
    </row>
    <row r="13" spans="2:7" ht="15.75" x14ac:dyDescent="0.3">
      <c r="B13" s="383"/>
      <c r="C13" s="54" t="s">
        <v>106</v>
      </c>
      <c r="D13" s="52"/>
      <c r="F13" s="53"/>
      <c r="G13" s="53"/>
    </row>
    <row r="14" spans="2:7" x14ac:dyDescent="0.25">
      <c r="B14" s="383"/>
      <c r="C14" s="67"/>
      <c r="D14" s="60"/>
      <c r="E14" s="60"/>
      <c r="F14" s="61"/>
      <c r="G14" s="61"/>
    </row>
    <row r="15" spans="2:7" ht="15.75" customHeight="1" x14ac:dyDescent="0.25">
      <c r="B15" s="384"/>
      <c r="C15" s="386" t="s">
        <v>85</v>
      </c>
      <c r="D15" s="387"/>
      <c r="E15" s="387"/>
      <c r="F15" s="387"/>
      <c r="G15" s="133"/>
    </row>
    <row r="16" spans="2:7" ht="15" customHeight="1" x14ac:dyDescent="0.3">
      <c r="B16" s="385"/>
      <c r="C16" s="58" t="s">
        <v>109</v>
      </c>
      <c r="D16" s="48"/>
      <c r="E16" s="48"/>
      <c r="F16" s="48"/>
      <c r="G16" s="49"/>
    </row>
    <row r="17" spans="2:10" ht="15" customHeight="1" x14ac:dyDescent="0.3">
      <c r="B17" s="385"/>
      <c r="C17" s="59" t="s">
        <v>110</v>
      </c>
      <c r="D17" s="60"/>
      <c r="E17" s="60"/>
      <c r="F17" s="60"/>
      <c r="G17" s="61"/>
    </row>
    <row r="18" spans="2:10" ht="15" customHeight="1" x14ac:dyDescent="0.25">
      <c r="B18" s="134" t="s">
        <v>86</v>
      </c>
      <c r="C18" s="135"/>
      <c r="D18" s="135"/>
      <c r="E18" s="135"/>
      <c r="F18" s="135"/>
      <c r="G18" s="136"/>
    </row>
    <row r="19" spans="2:10" ht="15.75" customHeight="1" x14ac:dyDescent="0.25">
      <c r="B19" s="137"/>
      <c r="C19" s="138"/>
      <c r="D19" s="138"/>
      <c r="E19" s="138"/>
      <c r="F19" s="138"/>
      <c r="G19" s="139"/>
      <c r="J19" s="62"/>
    </row>
    <row r="20" spans="2:10" ht="15" customHeight="1" x14ac:dyDescent="0.25">
      <c r="B20" s="150" t="s">
        <v>90</v>
      </c>
      <c r="C20" s="151"/>
      <c r="D20" s="151"/>
      <c r="E20" s="151"/>
      <c r="F20" s="154">
        <v>4.0999999999999996</v>
      </c>
      <c r="G20" s="156" t="s">
        <v>82</v>
      </c>
    </row>
    <row r="21" spans="2:10" ht="16.5" customHeight="1" x14ac:dyDescent="0.25">
      <c r="B21" s="152"/>
      <c r="C21" s="153"/>
      <c r="D21" s="153"/>
      <c r="E21" s="153"/>
      <c r="F21" s="155"/>
      <c r="G21" s="157"/>
    </row>
    <row r="22" spans="2:10" ht="15.75" customHeight="1" x14ac:dyDescent="0.3">
      <c r="B22" s="127" t="s">
        <v>148</v>
      </c>
      <c r="C22" s="63"/>
      <c r="D22" s="64"/>
      <c r="E22" s="64"/>
      <c r="F22" s="49"/>
      <c r="G22" s="50"/>
    </row>
    <row r="23" spans="2:10" ht="15.75" x14ac:dyDescent="0.3">
      <c r="B23" s="128"/>
      <c r="C23" s="51" t="s">
        <v>83</v>
      </c>
      <c r="D23" s="52"/>
      <c r="E23" s="52"/>
      <c r="F23" s="53"/>
      <c r="G23" s="53"/>
      <c r="I23" s="108"/>
    </row>
    <row r="24" spans="2:10" ht="15.75" x14ac:dyDescent="0.3">
      <c r="B24" s="128"/>
      <c r="C24" s="54" t="s">
        <v>99</v>
      </c>
      <c r="F24" s="55"/>
      <c r="G24" s="53"/>
      <c r="I24" s="108"/>
    </row>
    <row r="25" spans="2:10" ht="15.75" x14ac:dyDescent="0.3">
      <c r="B25" s="128"/>
      <c r="C25" s="54" t="s">
        <v>100</v>
      </c>
      <c r="F25" s="53"/>
      <c r="G25" s="53"/>
    </row>
    <row r="26" spans="2:10" ht="15.75" x14ac:dyDescent="0.3">
      <c r="B26" s="128"/>
      <c r="C26" s="54"/>
      <c r="F26" s="53"/>
      <c r="G26" s="53"/>
    </row>
    <row r="27" spans="2:10" ht="15.75" customHeight="1" x14ac:dyDescent="0.25">
      <c r="B27" s="128"/>
      <c r="C27" s="51" t="s">
        <v>84</v>
      </c>
      <c r="F27" s="53"/>
      <c r="G27" s="53"/>
    </row>
    <row r="28" spans="2:10" ht="15.75" x14ac:dyDescent="0.3">
      <c r="B28" s="128"/>
      <c r="C28" s="54" t="s">
        <v>101</v>
      </c>
      <c r="D28" s="14"/>
      <c r="E28" s="14"/>
      <c r="F28" s="78"/>
      <c r="G28" s="53"/>
    </row>
    <row r="29" spans="2:10" ht="15.75" x14ac:dyDescent="0.3">
      <c r="B29" s="128"/>
      <c r="C29" s="54" t="s">
        <v>102</v>
      </c>
      <c r="E29" s="52"/>
      <c r="F29" s="55"/>
      <c r="G29" s="68"/>
    </row>
    <row r="30" spans="2:10" ht="15.75" customHeight="1" x14ac:dyDescent="0.3">
      <c r="B30" s="128"/>
      <c r="C30" s="54"/>
      <c r="D30" s="9"/>
      <c r="F30" s="53"/>
      <c r="G30" s="53"/>
    </row>
    <row r="31" spans="2:10" ht="15.75" customHeight="1" x14ac:dyDescent="0.25">
      <c r="B31" s="128"/>
      <c r="C31" s="173" t="s">
        <v>85</v>
      </c>
      <c r="D31" s="174"/>
      <c r="E31" s="174"/>
      <c r="F31" s="174"/>
      <c r="G31" s="133"/>
    </row>
    <row r="32" spans="2:10" ht="15.75" customHeight="1" x14ac:dyDescent="0.3">
      <c r="B32" s="167"/>
      <c r="C32" s="58" t="s">
        <v>92</v>
      </c>
      <c r="D32" s="48"/>
      <c r="E32" s="48"/>
      <c r="F32" s="49"/>
      <c r="G32" s="49"/>
    </row>
    <row r="33" spans="2:7" ht="15.75" customHeight="1" x14ac:dyDescent="0.3">
      <c r="B33" s="167"/>
      <c r="C33" s="54" t="s">
        <v>91</v>
      </c>
      <c r="F33" s="53"/>
      <c r="G33" s="55"/>
    </row>
    <row r="34" spans="2:7" ht="15.75" x14ac:dyDescent="0.3">
      <c r="B34" s="168"/>
      <c r="C34" s="54" t="s">
        <v>93</v>
      </c>
      <c r="F34" s="53"/>
      <c r="G34" s="53"/>
    </row>
    <row r="35" spans="2:7" ht="15.75" customHeight="1" x14ac:dyDescent="0.3">
      <c r="B35" s="169"/>
      <c r="C35" s="59" t="s">
        <v>94</v>
      </c>
      <c r="D35" s="60"/>
      <c r="E35" s="60"/>
      <c r="F35" s="61"/>
      <c r="G35" s="61"/>
    </row>
    <row r="36" spans="2:7" ht="15.75" customHeight="1" x14ac:dyDescent="0.25">
      <c r="B36" s="161" t="s">
        <v>87</v>
      </c>
      <c r="C36" s="162"/>
      <c r="D36" s="162"/>
      <c r="E36" s="161" t="s">
        <v>88</v>
      </c>
      <c r="F36" s="162"/>
      <c r="G36" s="165"/>
    </row>
    <row r="37" spans="2:7" ht="15.75" customHeight="1" x14ac:dyDescent="0.25">
      <c r="B37" s="163"/>
      <c r="C37" s="164"/>
      <c r="D37" s="164"/>
      <c r="E37" s="163"/>
      <c r="F37" s="164"/>
      <c r="G37" s="166"/>
    </row>
    <row r="38" spans="2:7" ht="15.75" customHeight="1" x14ac:dyDescent="0.25">
      <c r="B38" s="46"/>
      <c r="C38" s="64"/>
      <c r="D38" s="65"/>
      <c r="E38" s="46"/>
      <c r="F38" s="64"/>
      <c r="G38" s="65"/>
    </row>
    <row r="39" spans="2:7" ht="15.75" customHeight="1" x14ac:dyDescent="0.25">
      <c r="B39" s="66"/>
      <c r="D39" s="53"/>
      <c r="E39" s="66"/>
      <c r="G39" s="53"/>
    </row>
    <row r="40" spans="2:7" ht="15.75" customHeight="1" x14ac:dyDescent="0.25">
      <c r="B40" s="66"/>
      <c r="D40" s="53"/>
      <c r="E40" s="66"/>
      <c r="G40" s="53"/>
    </row>
    <row r="41" spans="2:7" ht="15.75" customHeight="1" x14ac:dyDescent="0.25">
      <c r="B41" s="66"/>
      <c r="D41" s="53"/>
      <c r="E41" s="66"/>
      <c r="G41" s="53"/>
    </row>
    <row r="42" spans="2:7" ht="15.75" customHeight="1" x14ac:dyDescent="0.25">
      <c r="B42" s="66"/>
      <c r="D42" s="53"/>
      <c r="E42" s="66"/>
      <c r="G42" s="53"/>
    </row>
    <row r="43" spans="2:7" ht="15.75" customHeight="1" x14ac:dyDescent="0.25">
      <c r="B43" s="66"/>
      <c r="D43" s="53"/>
      <c r="E43" s="66"/>
      <c r="G43" s="53"/>
    </row>
    <row r="44" spans="2:7" ht="15.75" customHeight="1" x14ac:dyDescent="0.25">
      <c r="B44" s="66"/>
      <c r="D44" s="53"/>
      <c r="E44" s="66"/>
      <c r="G44" s="53"/>
    </row>
    <row r="45" spans="2:7" ht="15.75" customHeight="1" x14ac:dyDescent="0.25">
      <c r="B45" s="66"/>
      <c r="D45" s="53"/>
      <c r="E45" s="66"/>
      <c r="G45" s="53"/>
    </row>
    <row r="46" spans="2:7" ht="15.75" customHeight="1" x14ac:dyDescent="0.25">
      <c r="B46" s="66"/>
      <c r="D46" s="53"/>
      <c r="E46" s="66"/>
      <c r="G46" s="53"/>
    </row>
    <row r="47" spans="2:7" x14ac:dyDescent="0.25">
      <c r="B47" s="66"/>
      <c r="D47" s="53"/>
      <c r="E47" s="66"/>
      <c r="G47" s="53"/>
    </row>
    <row r="48" spans="2:7" x14ac:dyDescent="0.25">
      <c r="B48" s="67"/>
      <c r="C48" s="60"/>
      <c r="D48" s="61"/>
      <c r="E48" s="67"/>
      <c r="F48" s="60"/>
      <c r="G48" s="61"/>
    </row>
  </sheetData>
  <mergeCells count="16">
    <mergeCell ref="B36:D37"/>
    <mergeCell ref="E36:G37"/>
    <mergeCell ref="B5:B17"/>
    <mergeCell ref="C15:G15"/>
    <mergeCell ref="B18:G19"/>
    <mergeCell ref="B20:E21"/>
    <mergeCell ref="F20:F21"/>
    <mergeCell ref="G20:G21"/>
    <mergeCell ref="C31:G31"/>
    <mergeCell ref="B22:B35"/>
    <mergeCell ref="B1:D2"/>
    <mergeCell ref="E1:F2"/>
    <mergeCell ref="G1:G2"/>
    <mergeCell ref="B3:E4"/>
    <mergeCell ref="F3:F4"/>
    <mergeCell ref="G3:G4"/>
  </mergeCells>
  <pageMargins left="0.25" right="0.25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712C3-2005-46DD-A1BD-4EC2A546B072}">
  <dimension ref="B1:J48"/>
  <sheetViews>
    <sheetView workbookViewId="0">
      <selection activeCell="E10" sqref="C10:E10"/>
    </sheetView>
  </sheetViews>
  <sheetFormatPr baseColWidth="10" defaultColWidth="11.42578125" defaultRowHeight="15" x14ac:dyDescent="0.25"/>
  <cols>
    <col min="1" max="1" width="2.85546875" customWidth="1"/>
    <col min="2" max="2" width="10" customWidth="1"/>
    <col min="3" max="7" width="16.28515625" customWidth="1"/>
  </cols>
  <sheetData>
    <row r="1" spans="2:7" x14ac:dyDescent="0.25">
      <c r="B1" s="140" t="s">
        <v>81</v>
      </c>
      <c r="C1" s="141"/>
      <c r="D1" s="141"/>
      <c r="E1" s="144">
        <f>Kompetenzraster!Q7</f>
        <v>46433</v>
      </c>
      <c r="F1" s="145"/>
      <c r="G1" s="148">
        <v>2</v>
      </c>
    </row>
    <row r="2" spans="2:7" x14ac:dyDescent="0.25">
      <c r="B2" s="142"/>
      <c r="C2" s="143"/>
      <c r="D2" s="143"/>
      <c r="E2" s="146"/>
      <c r="F2" s="147"/>
      <c r="G2" s="149"/>
    </row>
    <row r="3" spans="2:7" ht="15.75" customHeight="1" x14ac:dyDescent="0.25">
      <c r="B3" s="374" t="s">
        <v>89</v>
      </c>
      <c r="C3" s="375"/>
      <c r="D3" s="375"/>
      <c r="E3" s="375"/>
      <c r="F3" s="378">
        <v>4.5999999999999996</v>
      </c>
      <c r="G3" s="380" t="s">
        <v>82</v>
      </c>
    </row>
    <row r="4" spans="2:7" ht="14.25" customHeight="1" x14ac:dyDescent="0.25">
      <c r="B4" s="376"/>
      <c r="C4" s="388"/>
      <c r="D4" s="388"/>
      <c r="E4" s="388"/>
      <c r="F4" s="379"/>
      <c r="G4" s="381"/>
    </row>
    <row r="5" spans="2:7" ht="15.75" customHeight="1" x14ac:dyDescent="0.3">
      <c r="B5" s="382" t="s">
        <v>107</v>
      </c>
      <c r="C5" s="46"/>
      <c r="D5" s="47"/>
      <c r="E5" s="64"/>
      <c r="F5" s="49"/>
      <c r="G5" s="82"/>
    </row>
    <row r="6" spans="2:7" ht="15.75" x14ac:dyDescent="0.3">
      <c r="B6" s="383"/>
      <c r="C6" s="51" t="s">
        <v>84</v>
      </c>
      <c r="D6" s="52"/>
      <c r="E6" s="52"/>
      <c r="F6" s="53"/>
      <c r="G6" s="79"/>
    </row>
    <row r="7" spans="2:7" ht="15.75" x14ac:dyDescent="0.3">
      <c r="B7" s="383"/>
      <c r="C7" s="54" t="s">
        <v>116</v>
      </c>
      <c r="F7" s="55"/>
      <c r="G7" s="79"/>
    </row>
    <row r="8" spans="2:7" ht="15.75" x14ac:dyDescent="0.3">
      <c r="B8" s="383"/>
      <c r="C8" s="54" t="s">
        <v>117</v>
      </c>
      <c r="F8" s="53"/>
      <c r="G8" s="83"/>
    </row>
    <row r="9" spans="2:7" ht="15.75" x14ac:dyDescent="0.3">
      <c r="B9" s="383"/>
      <c r="C9" s="54" t="s">
        <v>108</v>
      </c>
      <c r="D9" s="76"/>
      <c r="E9" s="76"/>
      <c r="F9" s="56"/>
      <c r="G9" s="79"/>
    </row>
    <row r="10" spans="2:7" ht="15.75" x14ac:dyDescent="0.3">
      <c r="B10" s="383"/>
      <c r="C10" s="54" t="s">
        <v>119</v>
      </c>
      <c r="D10" s="77"/>
      <c r="E10" s="77"/>
      <c r="F10" s="57"/>
      <c r="G10" s="79"/>
    </row>
    <row r="11" spans="2:7" ht="15.75" x14ac:dyDescent="0.3">
      <c r="B11" s="383"/>
      <c r="C11" s="54" t="s">
        <v>112</v>
      </c>
      <c r="D11" s="52"/>
      <c r="E11" s="52"/>
      <c r="F11" s="53"/>
      <c r="G11" s="79"/>
    </row>
    <row r="12" spans="2:7" ht="15.75" x14ac:dyDescent="0.3">
      <c r="B12" s="383"/>
      <c r="C12" s="54" t="s">
        <v>118</v>
      </c>
      <c r="D12" s="52"/>
      <c r="E12" s="52"/>
      <c r="F12" s="53"/>
      <c r="G12" s="79"/>
    </row>
    <row r="13" spans="2:7" x14ac:dyDescent="0.25">
      <c r="B13" s="383"/>
      <c r="C13" s="67"/>
      <c r="D13" s="60"/>
      <c r="E13" s="60"/>
      <c r="F13" s="61"/>
      <c r="G13" s="80"/>
    </row>
    <row r="14" spans="2:7" x14ac:dyDescent="0.25">
      <c r="B14" s="383"/>
      <c r="C14" s="386" t="s">
        <v>85</v>
      </c>
      <c r="D14" s="387"/>
      <c r="E14" s="387"/>
      <c r="F14" s="387"/>
      <c r="G14" s="133"/>
    </row>
    <row r="15" spans="2:7" ht="15.75" customHeight="1" x14ac:dyDescent="0.3">
      <c r="B15" s="384"/>
      <c r="C15" s="54" t="s">
        <v>111</v>
      </c>
      <c r="D15" s="52"/>
      <c r="E15" s="52"/>
      <c r="F15" s="52"/>
      <c r="G15" s="55"/>
    </row>
    <row r="16" spans="2:7" ht="15" customHeight="1" x14ac:dyDescent="0.3">
      <c r="B16" s="385"/>
      <c r="C16" s="54"/>
      <c r="G16" s="53"/>
    </row>
    <row r="17" spans="2:10" ht="15" customHeight="1" x14ac:dyDescent="0.3">
      <c r="B17" s="385"/>
      <c r="C17" s="59"/>
      <c r="D17" s="60"/>
      <c r="E17" s="60"/>
      <c r="F17" s="60"/>
      <c r="G17" s="61"/>
    </row>
    <row r="18" spans="2:10" ht="15" customHeight="1" x14ac:dyDescent="0.25">
      <c r="B18" s="134" t="s">
        <v>86</v>
      </c>
      <c r="C18" s="135"/>
      <c r="D18" s="135"/>
      <c r="E18" s="135"/>
      <c r="F18" s="135"/>
      <c r="G18" s="136"/>
    </row>
    <row r="19" spans="2:10" ht="15.75" customHeight="1" x14ac:dyDescent="0.25">
      <c r="B19" s="137"/>
      <c r="C19" s="138"/>
      <c r="D19" s="138"/>
      <c r="E19" s="138"/>
      <c r="F19" s="138"/>
      <c r="G19" s="139"/>
      <c r="J19" s="62"/>
    </row>
    <row r="20" spans="2:10" ht="15" customHeight="1" x14ac:dyDescent="0.25">
      <c r="B20" s="150" t="s">
        <v>90</v>
      </c>
      <c r="C20" s="151"/>
      <c r="D20" s="151"/>
      <c r="E20" s="151"/>
      <c r="F20" s="154">
        <v>4.0999999999999996</v>
      </c>
      <c r="G20" s="156" t="s">
        <v>82</v>
      </c>
    </row>
    <row r="21" spans="2:10" ht="16.5" customHeight="1" x14ac:dyDescent="0.25">
      <c r="B21" s="152"/>
      <c r="C21" s="153"/>
      <c r="D21" s="153"/>
      <c r="E21" s="153"/>
      <c r="F21" s="155"/>
      <c r="G21" s="157"/>
    </row>
    <row r="22" spans="2:10" ht="15.75" customHeight="1" x14ac:dyDescent="0.3">
      <c r="B22" s="127" t="s">
        <v>148</v>
      </c>
      <c r="C22" s="63"/>
      <c r="D22" s="64"/>
      <c r="E22" s="64"/>
      <c r="F22" s="49"/>
      <c r="G22" s="50"/>
    </row>
    <row r="23" spans="2:10" ht="15.75" x14ac:dyDescent="0.3">
      <c r="B23" s="128"/>
      <c r="C23" s="51" t="s">
        <v>114</v>
      </c>
      <c r="D23" s="52"/>
      <c r="E23" s="52"/>
      <c r="F23" s="53"/>
      <c r="G23" s="53"/>
    </row>
    <row r="24" spans="2:10" ht="15.75" x14ac:dyDescent="0.3">
      <c r="B24" s="128"/>
      <c r="C24" s="54" t="s">
        <v>115</v>
      </c>
      <c r="F24" s="55"/>
      <c r="G24" s="53"/>
    </row>
    <row r="25" spans="2:10" ht="15.75" x14ac:dyDescent="0.3">
      <c r="B25" s="128"/>
      <c r="C25" s="54"/>
      <c r="F25" s="53"/>
      <c r="G25" s="53"/>
    </row>
    <row r="26" spans="2:10" x14ac:dyDescent="0.25">
      <c r="B26" s="128"/>
      <c r="C26" s="66"/>
      <c r="F26" s="53"/>
      <c r="G26" s="53"/>
    </row>
    <row r="27" spans="2:10" ht="15.75" customHeight="1" x14ac:dyDescent="0.25">
      <c r="B27" s="128"/>
      <c r="C27" s="66"/>
      <c r="F27" s="53"/>
      <c r="G27" s="53"/>
    </row>
    <row r="28" spans="2:10" x14ac:dyDescent="0.25">
      <c r="B28" s="128"/>
      <c r="C28" s="66"/>
      <c r="D28" s="14"/>
      <c r="E28" s="14"/>
      <c r="F28" s="78"/>
      <c r="G28" s="53"/>
    </row>
    <row r="29" spans="2:10" ht="15.75" x14ac:dyDescent="0.3">
      <c r="B29" s="128"/>
      <c r="C29" s="54"/>
      <c r="E29" s="52"/>
      <c r="F29" s="55"/>
      <c r="G29" s="68"/>
    </row>
    <row r="30" spans="2:10" ht="15.75" customHeight="1" x14ac:dyDescent="0.3">
      <c r="B30" s="128"/>
      <c r="C30" s="59"/>
      <c r="D30" s="81"/>
      <c r="E30" s="60"/>
      <c r="F30" s="61"/>
      <c r="G30" s="53"/>
    </row>
    <row r="31" spans="2:10" ht="15.75" customHeight="1" x14ac:dyDescent="0.25">
      <c r="B31" s="128"/>
      <c r="C31" s="173" t="s">
        <v>85</v>
      </c>
      <c r="D31" s="174"/>
      <c r="E31" s="174"/>
      <c r="F31" s="174"/>
      <c r="G31" s="133"/>
    </row>
    <row r="32" spans="2:10" ht="15.75" customHeight="1" x14ac:dyDescent="0.3">
      <c r="B32" s="167"/>
      <c r="C32" s="58" t="s">
        <v>92</v>
      </c>
      <c r="D32" s="48"/>
      <c r="E32" s="48"/>
      <c r="F32" s="49"/>
      <c r="G32" s="49"/>
    </row>
    <row r="33" spans="2:7" ht="15.75" customHeight="1" x14ac:dyDescent="0.3">
      <c r="B33" s="167"/>
      <c r="C33" s="54" t="s">
        <v>91</v>
      </c>
      <c r="F33" s="53"/>
      <c r="G33" s="55"/>
    </row>
    <row r="34" spans="2:7" ht="15.75" x14ac:dyDescent="0.3">
      <c r="B34" s="168"/>
      <c r="C34" s="54" t="s">
        <v>93</v>
      </c>
      <c r="F34" s="53"/>
      <c r="G34" s="53"/>
    </row>
    <row r="35" spans="2:7" ht="15.75" customHeight="1" x14ac:dyDescent="0.3">
      <c r="B35" s="169"/>
      <c r="C35" s="59" t="s">
        <v>94</v>
      </c>
      <c r="D35" s="60"/>
      <c r="E35" s="60"/>
      <c r="F35" s="61"/>
      <c r="G35" s="61"/>
    </row>
    <row r="36" spans="2:7" ht="15.75" customHeight="1" x14ac:dyDescent="0.25">
      <c r="B36" s="161" t="s">
        <v>87</v>
      </c>
      <c r="C36" s="162"/>
      <c r="D36" s="162"/>
      <c r="E36" s="161" t="s">
        <v>88</v>
      </c>
      <c r="F36" s="162"/>
      <c r="G36" s="165"/>
    </row>
    <row r="37" spans="2:7" ht="15.75" customHeight="1" x14ac:dyDescent="0.25">
      <c r="B37" s="163"/>
      <c r="C37" s="164"/>
      <c r="D37" s="164"/>
      <c r="E37" s="163"/>
      <c r="F37" s="164"/>
      <c r="G37" s="166"/>
    </row>
    <row r="38" spans="2:7" ht="15.75" customHeight="1" x14ac:dyDescent="0.25">
      <c r="B38" s="46"/>
      <c r="C38" s="64"/>
      <c r="D38" s="65"/>
      <c r="E38" s="46"/>
      <c r="F38" s="64"/>
      <c r="G38" s="65"/>
    </row>
    <row r="39" spans="2:7" ht="15.75" customHeight="1" x14ac:dyDescent="0.25">
      <c r="B39" s="66"/>
      <c r="D39" s="53"/>
      <c r="E39" s="66"/>
      <c r="G39" s="53"/>
    </row>
    <row r="40" spans="2:7" ht="15.75" customHeight="1" x14ac:dyDescent="0.25">
      <c r="B40" s="66"/>
      <c r="D40" s="53"/>
      <c r="E40" s="66"/>
      <c r="G40" s="53"/>
    </row>
    <row r="41" spans="2:7" ht="15.75" customHeight="1" x14ac:dyDescent="0.25">
      <c r="B41" s="66"/>
      <c r="D41" s="53"/>
      <c r="E41" s="66"/>
      <c r="G41" s="53"/>
    </row>
    <row r="42" spans="2:7" ht="15.75" customHeight="1" x14ac:dyDescent="0.25">
      <c r="B42" s="66"/>
      <c r="D42" s="53"/>
      <c r="E42" s="66"/>
      <c r="G42" s="53"/>
    </row>
    <row r="43" spans="2:7" ht="15.75" customHeight="1" x14ac:dyDescent="0.25">
      <c r="B43" s="66"/>
      <c r="D43" s="53"/>
      <c r="E43" s="66"/>
      <c r="G43" s="53"/>
    </row>
    <row r="44" spans="2:7" ht="15.75" customHeight="1" x14ac:dyDescent="0.25">
      <c r="B44" s="66"/>
      <c r="D44" s="53"/>
      <c r="E44" s="66"/>
      <c r="G44" s="53"/>
    </row>
    <row r="45" spans="2:7" ht="15.75" customHeight="1" x14ac:dyDescent="0.25">
      <c r="B45" s="66"/>
      <c r="D45" s="53"/>
      <c r="E45" s="66"/>
      <c r="G45" s="53"/>
    </row>
    <row r="46" spans="2:7" ht="15.75" customHeight="1" x14ac:dyDescent="0.25">
      <c r="B46" s="66"/>
      <c r="D46" s="53"/>
      <c r="E46" s="66"/>
      <c r="G46" s="53"/>
    </row>
    <row r="47" spans="2:7" x14ac:dyDescent="0.25">
      <c r="B47" s="66"/>
      <c r="D47" s="53"/>
      <c r="E47" s="66"/>
      <c r="G47" s="53"/>
    </row>
    <row r="48" spans="2:7" x14ac:dyDescent="0.25">
      <c r="B48" s="67"/>
      <c r="C48" s="60"/>
      <c r="D48" s="61"/>
      <c r="E48" s="67"/>
      <c r="F48" s="60"/>
      <c r="G48" s="61"/>
    </row>
  </sheetData>
  <mergeCells count="16">
    <mergeCell ref="B1:D2"/>
    <mergeCell ref="E1:F2"/>
    <mergeCell ref="G1:G2"/>
    <mergeCell ref="B3:E4"/>
    <mergeCell ref="F3:F4"/>
    <mergeCell ref="G3:G4"/>
    <mergeCell ref="B22:B35"/>
    <mergeCell ref="C31:G31"/>
    <mergeCell ref="B36:D37"/>
    <mergeCell ref="E36:G37"/>
    <mergeCell ref="B5:B17"/>
    <mergeCell ref="C14:G14"/>
    <mergeCell ref="B18:G19"/>
    <mergeCell ref="B20:E21"/>
    <mergeCell ref="F20:F21"/>
    <mergeCell ref="G20:G21"/>
  </mergeCells>
  <pageMargins left="0.25" right="0.25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46AF6-AAF8-4454-AE4E-B561E11F5E15}">
  <dimension ref="B1:L48"/>
  <sheetViews>
    <sheetView workbookViewId="0">
      <selection activeCell="C10" sqref="C10:F12"/>
    </sheetView>
  </sheetViews>
  <sheetFormatPr baseColWidth="10" defaultColWidth="11.42578125" defaultRowHeight="15" x14ac:dyDescent="0.25"/>
  <cols>
    <col min="1" max="1" width="2.85546875" customWidth="1"/>
    <col min="2" max="2" width="10" customWidth="1"/>
    <col min="3" max="7" width="16.28515625" customWidth="1"/>
  </cols>
  <sheetData>
    <row r="1" spans="2:12" x14ac:dyDescent="0.25">
      <c r="B1" s="140" t="s">
        <v>81</v>
      </c>
      <c r="C1" s="141"/>
      <c r="D1" s="141"/>
      <c r="E1" s="144">
        <f>Kompetenzraster!Q9</f>
        <v>46440</v>
      </c>
      <c r="F1" s="145"/>
      <c r="G1" s="148">
        <v>3</v>
      </c>
    </row>
    <row r="2" spans="2:12" x14ac:dyDescent="0.25">
      <c r="B2" s="142"/>
      <c r="C2" s="143"/>
      <c r="D2" s="143"/>
      <c r="E2" s="146"/>
      <c r="F2" s="147"/>
      <c r="G2" s="149"/>
    </row>
    <row r="3" spans="2:12" ht="15.75" customHeight="1" x14ac:dyDescent="0.25">
      <c r="B3" s="374" t="s">
        <v>89</v>
      </c>
      <c r="C3" s="375"/>
      <c r="D3" s="375"/>
      <c r="E3" s="375"/>
      <c r="F3" s="378">
        <v>4.5999999999999996</v>
      </c>
      <c r="G3" s="380" t="s">
        <v>82</v>
      </c>
    </row>
    <row r="4" spans="2:12" ht="14.25" customHeight="1" x14ac:dyDescent="0.25">
      <c r="B4" s="376"/>
      <c r="C4" s="388"/>
      <c r="D4" s="388"/>
      <c r="E4" s="388"/>
      <c r="F4" s="379"/>
      <c r="G4" s="381"/>
    </row>
    <row r="5" spans="2:12" ht="15.75" customHeight="1" x14ac:dyDescent="0.3">
      <c r="B5" s="382" t="s">
        <v>107</v>
      </c>
      <c r="C5" s="46"/>
      <c r="D5" s="47"/>
      <c r="E5" s="64"/>
      <c r="F5" s="49"/>
      <c r="G5" s="82"/>
    </row>
    <row r="6" spans="2:12" ht="15.75" x14ac:dyDescent="0.3">
      <c r="B6" s="383"/>
      <c r="C6" s="51" t="s">
        <v>113</v>
      </c>
      <c r="D6" s="52"/>
      <c r="E6" s="52"/>
      <c r="F6" s="53"/>
      <c r="G6" s="79"/>
    </row>
    <row r="7" spans="2:12" ht="15.75" x14ac:dyDescent="0.3">
      <c r="B7" s="383"/>
      <c r="C7" s="54" t="s">
        <v>120</v>
      </c>
      <c r="F7" s="55"/>
      <c r="G7" s="79"/>
    </row>
    <row r="8" spans="2:12" ht="15.75" x14ac:dyDescent="0.3">
      <c r="B8" s="383"/>
      <c r="C8" s="54" t="s">
        <v>121</v>
      </c>
      <c r="F8" s="53"/>
      <c r="G8" s="83"/>
    </row>
    <row r="9" spans="2:12" x14ac:dyDescent="0.25">
      <c r="B9" s="383"/>
      <c r="C9" s="66"/>
      <c r="D9" s="76"/>
      <c r="E9" s="76"/>
      <c r="F9" s="56"/>
      <c r="G9" s="79"/>
    </row>
    <row r="10" spans="2:12" x14ac:dyDescent="0.25">
      <c r="B10" s="383"/>
      <c r="C10" s="51" t="s">
        <v>114</v>
      </c>
      <c r="D10" s="77"/>
      <c r="E10" s="77"/>
      <c r="F10" s="57"/>
      <c r="G10" s="79"/>
      <c r="L10" s="84"/>
    </row>
    <row r="11" spans="2:12" ht="15.75" x14ac:dyDescent="0.3">
      <c r="B11" s="383"/>
      <c r="C11" s="54" t="s">
        <v>127</v>
      </c>
      <c r="D11" s="52"/>
      <c r="E11" s="52"/>
      <c r="F11" s="53"/>
      <c r="G11" s="79"/>
    </row>
    <row r="12" spans="2:12" ht="15.75" x14ac:dyDescent="0.3">
      <c r="B12" s="383"/>
      <c r="C12" s="54" t="s">
        <v>122</v>
      </c>
      <c r="D12" s="52"/>
      <c r="E12" s="52"/>
      <c r="F12" s="53"/>
      <c r="G12" s="79"/>
    </row>
    <row r="13" spans="2:12" x14ac:dyDescent="0.25">
      <c r="B13" s="383"/>
      <c r="C13" s="67"/>
      <c r="D13" s="60"/>
      <c r="E13" s="60"/>
      <c r="F13" s="61"/>
      <c r="G13" s="80"/>
    </row>
    <row r="14" spans="2:12" x14ac:dyDescent="0.25">
      <c r="B14" s="383"/>
      <c r="C14" s="386" t="s">
        <v>85</v>
      </c>
      <c r="D14" s="387"/>
      <c r="E14" s="387"/>
      <c r="F14" s="387"/>
      <c r="G14" s="133"/>
    </row>
    <row r="15" spans="2:12" ht="15.75" customHeight="1" x14ac:dyDescent="0.3">
      <c r="B15" s="384"/>
      <c r="C15" s="58" t="s">
        <v>298</v>
      </c>
      <c r="D15" s="48"/>
      <c r="E15" s="48"/>
      <c r="F15" s="48"/>
      <c r="G15" s="49"/>
    </row>
    <row r="16" spans="2:12" ht="15" customHeight="1" x14ac:dyDescent="0.3">
      <c r="B16" s="385"/>
      <c r="C16" s="54" t="s">
        <v>123</v>
      </c>
      <c r="G16" s="53"/>
    </row>
    <row r="17" spans="2:10" ht="15" customHeight="1" x14ac:dyDescent="0.3">
      <c r="B17" s="385"/>
      <c r="C17" s="59" t="s">
        <v>124</v>
      </c>
      <c r="D17" s="60"/>
      <c r="E17" s="60"/>
      <c r="F17" s="60"/>
      <c r="G17" s="61"/>
    </row>
    <row r="18" spans="2:10" ht="15" customHeight="1" x14ac:dyDescent="0.25">
      <c r="B18" s="134" t="s">
        <v>86</v>
      </c>
      <c r="C18" s="135"/>
      <c r="D18" s="135"/>
      <c r="E18" s="135"/>
      <c r="F18" s="135"/>
      <c r="G18" s="136"/>
    </row>
    <row r="19" spans="2:10" ht="15.75" customHeight="1" x14ac:dyDescent="0.25">
      <c r="B19" s="137"/>
      <c r="C19" s="138"/>
      <c r="D19" s="138"/>
      <c r="E19" s="138"/>
      <c r="F19" s="138"/>
      <c r="G19" s="139"/>
      <c r="J19" s="62"/>
    </row>
    <row r="20" spans="2:10" ht="15" customHeight="1" x14ac:dyDescent="0.25">
      <c r="B20" s="150" t="s">
        <v>90</v>
      </c>
      <c r="C20" s="151"/>
      <c r="D20" s="151"/>
      <c r="E20" s="151"/>
      <c r="F20" s="154">
        <v>4.0999999999999996</v>
      </c>
      <c r="G20" s="156" t="s">
        <v>82</v>
      </c>
    </row>
    <row r="21" spans="2:10" ht="16.5" customHeight="1" x14ac:dyDescent="0.25">
      <c r="B21" s="152"/>
      <c r="C21" s="153"/>
      <c r="D21" s="153"/>
      <c r="E21" s="153"/>
      <c r="F21" s="155"/>
      <c r="G21" s="157"/>
    </row>
    <row r="22" spans="2:10" ht="15.75" customHeight="1" x14ac:dyDescent="0.3">
      <c r="B22" s="127" t="s">
        <v>148</v>
      </c>
      <c r="C22" s="63"/>
      <c r="D22" s="64"/>
      <c r="E22" s="64"/>
      <c r="F22" s="49"/>
      <c r="G22" s="50"/>
    </row>
    <row r="23" spans="2:10" x14ac:dyDescent="0.25">
      <c r="B23" s="128"/>
      <c r="C23" s="51" t="s">
        <v>114</v>
      </c>
      <c r="F23" s="53"/>
      <c r="G23" s="53"/>
    </row>
    <row r="24" spans="2:10" ht="15.75" x14ac:dyDescent="0.3">
      <c r="B24" s="128"/>
      <c r="C24" s="54" t="s">
        <v>125</v>
      </c>
      <c r="F24" s="55"/>
      <c r="G24" s="53"/>
    </row>
    <row r="25" spans="2:10" ht="15.75" x14ac:dyDescent="0.3">
      <c r="B25" s="128"/>
      <c r="C25" s="54" t="s">
        <v>126</v>
      </c>
      <c r="F25" s="53"/>
      <c r="G25" s="53"/>
    </row>
    <row r="26" spans="2:10" x14ac:dyDescent="0.25">
      <c r="B26" s="128"/>
      <c r="C26" s="66"/>
      <c r="F26" s="53"/>
      <c r="G26" s="53"/>
    </row>
    <row r="27" spans="2:10" ht="15.75" customHeight="1" x14ac:dyDescent="0.25">
      <c r="B27" s="128"/>
      <c r="C27" s="66"/>
      <c r="F27" s="53"/>
      <c r="G27" s="53"/>
    </row>
    <row r="28" spans="2:10" x14ac:dyDescent="0.25">
      <c r="B28" s="128"/>
      <c r="C28" s="66"/>
      <c r="D28" s="14"/>
      <c r="E28" s="14"/>
      <c r="F28" s="78"/>
      <c r="G28" s="53"/>
    </row>
    <row r="29" spans="2:10" ht="15.75" x14ac:dyDescent="0.3">
      <c r="B29" s="128"/>
      <c r="C29" s="54"/>
      <c r="E29" s="52"/>
      <c r="F29" s="55"/>
      <c r="G29" s="68"/>
    </row>
    <row r="30" spans="2:10" ht="15.75" customHeight="1" x14ac:dyDescent="0.3">
      <c r="B30" s="128"/>
      <c r="C30" s="59"/>
      <c r="D30" s="81"/>
      <c r="E30" s="60"/>
      <c r="F30" s="61"/>
      <c r="G30" s="53"/>
    </row>
    <row r="31" spans="2:10" ht="15.75" customHeight="1" x14ac:dyDescent="0.25">
      <c r="B31" s="128"/>
      <c r="C31" s="173" t="s">
        <v>85</v>
      </c>
      <c r="D31" s="174"/>
      <c r="E31" s="174"/>
      <c r="F31" s="174"/>
      <c r="G31" s="133"/>
    </row>
    <row r="32" spans="2:10" ht="15.75" customHeight="1" x14ac:dyDescent="0.3">
      <c r="B32" s="167"/>
      <c r="C32" s="58" t="s">
        <v>92</v>
      </c>
      <c r="D32" s="48"/>
      <c r="E32" s="48"/>
      <c r="F32" s="49"/>
      <c r="G32" s="49"/>
    </row>
    <row r="33" spans="2:7" ht="15.75" customHeight="1" x14ac:dyDescent="0.3">
      <c r="B33" s="167"/>
      <c r="C33" s="54" t="s">
        <v>91</v>
      </c>
      <c r="F33" s="53"/>
      <c r="G33" s="55"/>
    </row>
    <row r="34" spans="2:7" ht="15.75" x14ac:dyDescent="0.3">
      <c r="B34" s="168"/>
      <c r="C34" s="54" t="s">
        <v>93</v>
      </c>
      <c r="F34" s="53"/>
      <c r="G34" s="53"/>
    </row>
    <row r="35" spans="2:7" ht="15.75" customHeight="1" x14ac:dyDescent="0.3">
      <c r="B35" s="169"/>
      <c r="C35" s="59" t="s">
        <v>94</v>
      </c>
      <c r="D35" s="60"/>
      <c r="E35" s="60"/>
      <c r="F35" s="61"/>
      <c r="G35" s="61"/>
    </row>
    <row r="36" spans="2:7" ht="15.75" customHeight="1" x14ac:dyDescent="0.25">
      <c r="B36" s="161" t="s">
        <v>87</v>
      </c>
      <c r="C36" s="162"/>
      <c r="D36" s="162"/>
      <c r="E36" s="161" t="s">
        <v>88</v>
      </c>
      <c r="F36" s="162"/>
      <c r="G36" s="165"/>
    </row>
    <row r="37" spans="2:7" ht="15.75" customHeight="1" x14ac:dyDescent="0.25">
      <c r="B37" s="163"/>
      <c r="C37" s="164"/>
      <c r="D37" s="164"/>
      <c r="E37" s="163"/>
      <c r="F37" s="164"/>
      <c r="G37" s="166"/>
    </row>
    <row r="38" spans="2:7" ht="15.75" customHeight="1" x14ac:dyDescent="0.25">
      <c r="B38" s="46"/>
      <c r="C38" s="64"/>
      <c r="D38" s="65"/>
      <c r="E38" s="46"/>
      <c r="F38" s="64"/>
      <c r="G38" s="65"/>
    </row>
    <row r="39" spans="2:7" ht="15.75" customHeight="1" x14ac:dyDescent="0.25">
      <c r="B39" s="66"/>
      <c r="D39" s="53"/>
      <c r="E39" s="66"/>
      <c r="G39" s="53"/>
    </row>
    <row r="40" spans="2:7" ht="15.75" customHeight="1" x14ac:dyDescent="0.25">
      <c r="B40" s="66"/>
      <c r="D40" s="53"/>
      <c r="E40" s="66"/>
      <c r="G40" s="53"/>
    </row>
    <row r="41" spans="2:7" ht="15.75" customHeight="1" x14ac:dyDescent="0.25">
      <c r="B41" s="66"/>
      <c r="D41" s="53"/>
      <c r="E41" s="66"/>
      <c r="G41" s="53"/>
    </row>
    <row r="42" spans="2:7" ht="15.75" customHeight="1" x14ac:dyDescent="0.25">
      <c r="B42" s="66"/>
      <c r="D42" s="53"/>
      <c r="E42" s="66"/>
      <c r="G42" s="53"/>
    </row>
    <row r="43" spans="2:7" ht="15.75" customHeight="1" x14ac:dyDescent="0.25">
      <c r="B43" s="66"/>
      <c r="D43" s="53"/>
      <c r="E43" s="66"/>
      <c r="G43" s="53"/>
    </row>
    <row r="44" spans="2:7" ht="15.75" customHeight="1" x14ac:dyDescent="0.25">
      <c r="B44" s="66"/>
      <c r="D44" s="53"/>
      <c r="E44" s="66"/>
      <c r="G44" s="53"/>
    </row>
    <row r="45" spans="2:7" ht="15.75" customHeight="1" x14ac:dyDescent="0.25">
      <c r="B45" s="66"/>
      <c r="D45" s="53"/>
      <c r="E45" s="66"/>
      <c r="G45" s="53"/>
    </row>
    <row r="46" spans="2:7" ht="15.75" customHeight="1" x14ac:dyDescent="0.25">
      <c r="B46" s="66"/>
      <c r="D46" s="53"/>
      <c r="E46" s="66"/>
      <c r="G46" s="53"/>
    </row>
    <row r="47" spans="2:7" x14ac:dyDescent="0.25">
      <c r="B47" s="66"/>
      <c r="D47" s="53"/>
      <c r="E47" s="66"/>
      <c r="G47" s="53"/>
    </row>
    <row r="48" spans="2:7" x14ac:dyDescent="0.25">
      <c r="B48" s="67"/>
      <c r="C48" s="60"/>
      <c r="D48" s="61"/>
      <c r="E48" s="67"/>
      <c r="F48" s="60"/>
      <c r="G48" s="61"/>
    </row>
  </sheetData>
  <mergeCells count="16">
    <mergeCell ref="B22:B35"/>
    <mergeCell ref="C31:G31"/>
    <mergeCell ref="B36:D37"/>
    <mergeCell ref="E36:G37"/>
    <mergeCell ref="B5:B17"/>
    <mergeCell ref="C14:G14"/>
    <mergeCell ref="B18:G19"/>
    <mergeCell ref="B20:E21"/>
    <mergeCell ref="F20:F21"/>
    <mergeCell ref="G20:G21"/>
    <mergeCell ref="B1:D2"/>
    <mergeCell ref="E1:F2"/>
    <mergeCell ref="G1:G2"/>
    <mergeCell ref="B3:E4"/>
    <mergeCell ref="F3:F4"/>
    <mergeCell ref="G3:G4"/>
  </mergeCells>
  <pageMargins left="0.25" right="0.25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9CD2C-3BA2-4AFA-A209-30B2D577997B}">
  <dimension ref="B1:L48"/>
  <sheetViews>
    <sheetView workbookViewId="0">
      <selection activeCell="L31" sqref="L31"/>
    </sheetView>
  </sheetViews>
  <sheetFormatPr baseColWidth="10" defaultColWidth="11.42578125" defaultRowHeight="15" x14ac:dyDescent="0.25"/>
  <cols>
    <col min="1" max="1" width="2.85546875" customWidth="1"/>
    <col min="2" max="2" width="10" customWidth="1"/>
    <col min="3" max="7" width="16.28515625" customWidth="1"/>
  </cols>
  <sheetData>
    <row r="1" spans="2:12" x14ac:dyDescent="0.25">
      <c r="B1" s="140" t="s">
        <v>81</v>
      </c>
      <c r="C1" s="141"/>
      <c r="D1" s="141"/>
      <c r="E1" s="144">
        <f>Kompetenzraster!Q19</f>
        <v>46476</v>
      </c>
      <c r="F1" s="145"/>
      <c r="G1" s="148">
        <v>4</v>
      </c>
    </row>
    <row r="2" spans="2:12" x14ac:dyDescent="0.25">
      <c r="B2" s="142"/>
      <c r="C2" s="143"/>
      <c r="D2" s="143"/>
      <c r="E2" s="146"/>
      <c r="F2" s="147"/>
      <c r="G2" s="149"/>
    </row>
    <row r="3" spans="2:12" ht="15.75" customHeight="1" x14ac:dyDescent="0.25">
      <c r="B3" s="374" t="s">
        <v>89</v>
      </c>
      <c r="C3" s="375"/>
      <c r="D3" s="375"/>
      <c r="E3" s="375"/>
      <c r="F3" s="378">
        <v>4.5999999999999996</v>
      </c>
      <c r="G3" s="380" t="s">
        <v>82</v>
      </c>
    </row>
    <row r="4" spans="2:12" ht="14.25" customHeight="1" x14ac:dyDescent="0.25">
      <c r="B4" s="376"/>
      <c r="C4" s="388"/>
      <c r="D4" s="388"/>
      <c r="E4" s="388"/>
      <c r="F4" s="379"/>
      <c r="G4" s="381"/>
    </row>
    <row r="5" spans="2:12" ht="15.75" customHeight="1" x14ac:dyDescent="0.3">
      <c r="B5" s="382" t="s">
        <v>107</v>
      </c>
      <c r="C5" s="46"/>
      <c r="D5" s="47"/>
      <c r="E5" s="64"/>
      <c r="F5" s="49"/>
      <c r="G5" s="82"/>
    </row>
    <row r="6" spans="2:12" ht="15.75" x14ac:dyDescent="0.3">
      <c r="B6" s="383"/>
      <c r="C6" s="51" t="s">
        <v>128</v>
      </c>
      <c r="D6" s="52"/>
      <c r="E6" s="52"/>
      <c r="F6" s="53"/>
      <c r="G6" s="79"/>
    </row>
    <row r="7" spans="2:12" ht="15.75" x14ac:dyDescent="0.3">
      <c r="B7" s="383"/>
      <c r="C7" s="54" t="s">
        <v>129</v>
      </c>
      <c r="F7" s="55"/>
      <c r="G7" s="79"/>
    </row>
    <row r="8" spans="2:12" ht="15.75" x14ac:dyDescent="0.3">
      <c r="B8" s="383"/>
      <c r="C8" s="54" t="s">
        <v>130</v>
      </c>
      <c r="F8" s="53"/>
      <c r="G8" s="83"/>
    </row>
    <row r="9" spans="2:12" ht="15.75" x14ac:dyDescent="0.3">
      <c r="B9" s="383"/>
      <c r="C9" s="54" t="s">
        <v>122</v>
      </c>
      <c r="D9" s="76"/>
      <c r="E9" s="76"/>
      <c r="F9" s="56"/>
      <c r="G9" s="79"/>
    </row>
    <row r="10" spans="2:12" ht="15.75" x14ac:dyDescent="0.3">
      <c r="B10" s="383"/>
      <c r="C10" s="54"/>
      <c r="D10" s="77"/>
      <c r="E10" s="77"/>
      <c r="F10" s="57"/>
      <c r="G10" s="79"/>
      <c r="L10" s="84"/>
    </row>
    <row r="11" spans="2:12" ht="15.75" x14ac:dyDescent="0.3">
      <c r="B11" s="383"/>
      <c r="C11" s="54"/>
      <c r="D11" s="52"/>
      <c r="E11" s="52"/>
      <c r="F11" s="53"/>
      <c r="G11" s="85" t="s">
        <v>132</v>
      </c>
    </row>
    <row r="12" spans="2:12" x14ac:dyDescent="0.25">
      <c r="B12" s="383"/>
      <c r="C12" s="66"/>
      <c r="F12" s="53"/>
      <c r="G12" s="53"/>
    </row>
    <row r="13" spans="2:12" ht="15.75" x14ac:dyDescent="0.3">
      <c r="B13" s="383"/>
      <c r="C13" s="59"/>
      <c r="D13" s="60"/>
      <c r="E13" s="60"/>
      <c r="F13" s="61"/>
      <c r="G13" s="61"/>
    </row>
    <row r="14" spans="2:12" x14ac:dyDescent="0.25">
      <c r="B14" s="383"/>
      <c r="C14" s="386" t="s">
        <v>85</v>
      </c>
      <c r="D14" s="387"/>
      <c r="E14" s="387"/>
      <c r="F14" s="387"/>
      <c r="G14" s="133"/>
    </row>
    <row r="15" spans="2:12" ht="15.75" customHeight="1" x14ac:dyDescent="0.3">
      <c r="B15" s="384"/>
      <c r="C15" s="58" t="s">
        <v>147</v>
      </c>
      <c r="D15" s="48"/>
      <c r="E15" s="48"/>
      <c r="F15" s="48"/>
      <c r="G15" s="49"/>
    </row>
    <row r="16" spans="2:12" ht="15" customHeight="1" x14ac:dyDescent="0.3">
      <c r="B16" s="385"/>
      <c r="C16" s="54" t="s">
        <v>146</v>
      </c>
      <c r="G16" s="53"/>
    </row>
    <row r="17" spans="2:10" ht="15" customHeight="1" x14ac:dyDescent="0.3">
      <c r="B17" s="385"/>
      <c r="C17" s="59"/>
      <c r="D17" s="60"/>
      <c r="E17" s="60"/>
      <c r="F17" s="60"/>
      <c r="G17" s="61"/>
    </row>
    <row r="18" spans="2:10" ht="15" customHeight="1" x14ac:dyDescent="0.25">
      <c r="B18" s="134" t="s">
        <v>86</v>
      </c>
      <c r="C18" s="135"/>
      <c r="D18" s="135"/>
      <c r="E18" s="135"/>
      <c r="F18" s="135"/>
      <c r="G18" s="136"/>
    </row>
    <row r="19" spans="2:10" ht="15.75" customHeight="1" x14ac:dyDescent="0.25">
      <c r="B19" s="137"/>
      <c r="C19" s="138"/>
      <c r="D19" s="138"/>
      <c r="E19" s="138"/>
      <c r="F19" s="138"/>
      <c r="G19" s="139"/>
      <c r="J19" s="62"/>
    </row>
    <row r="20" spans="2:10" ht="15" customHeight="1" x14ac:dyDescent="0.25">
      <c r="B20" s="150" t="s">
        <v>90</v>
      </c>
      <c r="C20" s="151"/>
      <c r="D20" s="151"/>
      <c r="E20" s="151"/>
      <c r="F20" s="154">
        <v>4.0999999999999996</v>
      </c>
      <c r="G20" s="156" t="s">
        <v>82</v>
      </c>
    </row>
    <row r="21" spans="2:10" ht="16.5" customHeight="1" x14ac:dyDescent="0.25">
      <c r="B21" s="152"/>
      <c r="C21" s="153"/>
      <c r="D21" s="153"/>
      <c r="E21" s="153"/>
      <c r="F21" s="155"/>
      <c r="G21" s="157"/>
    </row>
    <row r="22" spans="2:10" ht="15.75" customHeight="1" x14ac:dyDescent="0.3">
      <c r="B22" s="127" t="s">
        <v>148</v>
      </c>
      <c r="C22" s="63"/>
      <c r="D22" s="64"/>
      <c r="E22" s="64"/>
      <c r="F22" s="49"/>
      <c r="G22" s="50"/>
    </row>
    <row r="23" spans="2:10" x14ac:dyDescent="0.25">
      <c r="B23" s="128"/>
      <c r="C23" s="51" t="s">
        <v>114</v>
      </c>
      <c r="F23" s="53"/>
      <c r="G23" s="53"/>
    </row>
    <row r="24" spans="2:10" ht="15.75" x14ac:dyDescent="0.3">
      <c r="B24" s="128"/>
      <c r="C24" s="54" t="s">
        <v>133</v>
      </c>
      <c r="F24" s="55"/>
      <c r="G24" s="53"/>
    </row>
    <row r="25" spans="2:10" ht="15.75" x14ac:dyDescent="0.3">
      <c r="B25" s="128"/>
      <c r="C25" s="54" t="s">
        <v>131</v>
      </c>
      <c r="F25" s="53"/>
      <c r="G25" s="53"/>
    </row>
    <row r="26" spans="2:10" x14ac:dyDescent="0.25">
      <c r="B26" s="128"/>
      <c r="C26" s="66"/>
      <c r="F26" s="53"/>
      <c r="G26" s="53"/>
    </row>
    <row r="27" spans="2:10" ht="15.75" customHeight="1" x14ac:dyDescent="0.25">
      <c r="B27" s="128"/>
      <c r="C27" s="66"/>
      <c r="F27" s="53"/>
      <c r="G27" s="53"/>
    </row>
    <row r="28" spans="2:10" ht="15.75" x14ac:dyDescent="0.3">
      <c r="B28" s="128"/>
      <c r="C28" s="51"/>
      <c r="D28" s="52"/>
      <c r="E28" s="52"/>
      <c r="F28" s="53"/>
      <c r="G28" s="85" t="s">
        <v>132</v>
      </c>
    </row>
    <row r="29" spans="2:10" ht="15.75" x14ac:dyDescent="0.3">
      <c r="B29" s="128"/>
      <c r="C29" s="54"/>
      <c r="F29" s="53"/>
      <c r="G29" s="68"/>
    </row>
    <row r="30" spans="2:10" ht="15.75" customHeight="1" x14ac:dyDescent="0.3">
      <c r="B30" s="128"/>
      <c r="C30" s="59"/>
      <c r="D30" s="60"/>
      <c r="E30" s="60"/>
      <c r="F30" s="61"/>
      <c r="G30" s="53"/>
    </row>
    <row r="31" spans="2:10" ht="15.75" customHeight="1" x14ac:dyDescent="0.25">
      <c r="B31" s="128"/>
      <c r="C31" s="173" t="s">
        <v>85</v>
      </c>
      <c r="D31" s="174"/>
      <c r="E31" s="174"/>
      <c r="F31" s="174"/>
      <c r="G31" s="133"/>
    </row>
    <row r="32" spans="2:10" ht="15.75" customHeight="1" x14ac:dyDescent="0.3">
      <c r="B32" s="167"/>
      <c r="C32" s="58" t="s">
        <v>92</v>
      </c>
      <c r="D32" s="48"/>
      <c r="E32" s="48"/>
      <c r="F32" s="49"/>
      <c r="G32" s="49"/>
    </row>
    <row r="33" spans="2:7" ht="15.75" customHeight="1" x14ac:dyDescent="0.3">
      <c r="B33" s="167"/>
      <c r="C33" s="54" t="s">
        <v>91</v>
      </c>
      <c r="F33" s="53"/>
      <c r="G33" s="55"/>
    </row>
    <row r="34" spans="2:7" ht="15.75" x14ac:dyDescent="0.3">
      <c r="B34" s="168"/>
      <c r="C34" s="54" t="s">
        <v>93</v>
      </c>
      <c r="F34" s="53"/>
      <c r="G34" s="53"/>
    </row>
    <row r="35" spans="2:7" ht="15.75" customHeight="1" x14ac:dyDescent="0.3">
      <c r="B35" s="169"/>
      <c r="C35" s="59" t="s">
        <v>94</v>
      </c>
      <c r="D35" s="60"/>
      <c r="E35" s="60"/>
      <c r="F35" s="61"/>
      <c r="G35" s="61"/>
    </row>
    <row r="36" spans="2:7" ht="15.75" customHeight="1" x14ac:dyDescent="0.25">
      <c r="B36" s="161" t="s">
        <v>87</v>
      </c>
      <c r="C36" s="162"/>
      <c r="D36" s="162"/>
      <c r="E36" s="161" t="s">
        <v>88</v>
      </c>
      <c r="F36" s="162"/>
      <c r="G36" s="165"/>
    </row>
    <row r="37" spans="2:7" ht="15.75" customHeight="1" x14ac:dyDescent="0.25">
      <c r="B37" s="163"/>
      <c r="C37" s="164"/>
      <c r="D37" s="164"/>
      <c r="E37" s="163"/>
      <c r="F37" s="164"/>
      <c r="G37" s="166"/>
    </row>
    <row r="38" spans="2:7" ht="15.75" customHeight="1" x14ac:dyDescent="0.25">
      <c r="B38" s="46"/>
      <c r="C38" s="64"/>
      <c r="D38" s="65"/>
      <c r="E38" s="46"/>
      <c r="F38" s="64"/>
      <c r="G38" s="65"/>
    </row>
    <row r="39" spans="2:7" ht="15.75" customHeight="1" x14ac:dyDescent="0.25">
      <c r="B39" s="66"/>
      <c r="D39" s="53"/>
      <c r="E39" s="66"/>
      <c r="G39" s="53"/>
    </row>
    <row r="40" spans="2:7" ht="15.75" customHeight="1" x14ac:dyDescent="0.25">
      <c r="B40" s="66"/>
      <c r="D40" s="53"/>
      <c r="E40" s="66"/>
      <c r="G40" s="53"/>
    </row>
    <row r="41" spans="2:7" ht="15.75" customHeight="1" x14ac:dyDescent="0.25">
      <c r="B41" s="66"/>
      <c r="D41" s="53"/>
      <c r="E41" s="66"/>
      <c r="G41" s="53"/>
    </row>
    <row r="42" spans="2:7" ht="15.75" customHeight="1" x14ac:dyDescent="0.25">
      <c r="B42" s="66"/>
      <c r="D42" s="53"/>
      <c r="E42" s="66"/>
      <c r="G42" s="53"/>
    </row>
    <row r="43" spans="2:7" ht="15.75" customHeight="1" x14ac:dyDescent="0.25">
      <c r="B43" s="66"/>
      <c r="D43" s="53"/>
      <c r="E43" s="66"/>
      <c r="G43" s="53"/>
    </row>
    <row r="44" spans="2:7" ht="15.75" customHeight="1" x14ac:dyDescent="0.25">
      <c r="B44" s="66"/>
      <c r="D44" s="53"/>
      <c r="E44" s="66"/>
      <c r="G44" s="53"/>
    </row>
    <row r="45" spans="2:7" ht="15.75" customHeight="1" x14ac:dyDescent="0.25">
      <c r="B45" s="66"/>
      <c r="D45" s="53"/>
      <c r="E45" s="66"/>
      <c r="G45" s="53"/>
    </row>
    <row r="46" spans="2:7" ht="15.75" customHeight="1" x14ac:dyDescent="0.25">
      <c r="B46" s="66"/>
      <c r="D46" s="53"/>
      <c r="E46" s="66"/>
      <c r="G46" s="53"/>
    </row>
    <row r="47" spans="2:7" x14ac:dyDescent="0.25">
      <c r="B47" s="66"/>
      <c r="D47" s="53"/>
      <c r="E47" s="66"/>
      <c r="G47" s="53"/>
    </row>
    <row r="48" spans="2:7" x14ac:dyDescent="0.25">
      <c r="B48" s="67"/>
      <c r="C48" s="60"/>
      <c r="D48" s="61"/>
      <c r="E48" s="67"/>
      <c r="F48" s="60"/>
      <c r="G48" s="61"/>
    </row>
  </sheetData>
  <mergeCells count="16">
    <mergeCell ref="B1:D2"/>
    <mergeCell ref="E1:F2"/>
    <mergeCell ref="G1:G2"/>
    <mergeCell ref="B3:E4"/>
    <mergeCell ref="F3:F4"/>
    <mergeCell ref="G3:G4"/>
    <mergeCell ref="B22:B35"/>
    <mergeCell ref="C31:G31"/>
    <mergeCell ref="B36:D37"/>
    <mergeCell ref="E36:G37"/>
    <mergeCell ref="B5:B17"/>
    <mergeCell ref="C14:G14"/>
    <mergeCell ref="B18:G19"/>
    <mergeCell ref="B20:E21"/>
    <mergeCell ref="F20:F21"/>
    <mergeCell ref="G20:G21"/>
  </mergeCells>
  <pageMargins left="0.25" right="0.25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B367A-CB96-48B4-8450-27D2396D5B7B}">
  <dimension ref="B1:L48"/>
  <sheetViews>
    <sheetView workbookViewId="0">
      <selection activeCell="J14" sqref="J14"/>
    </sheetView>
  </sheetViews>
  <sheetFormatPr baseColWidth="10" defaultColWidth="11.42578125" defaultRowHeight="15" x14ac:dyDescent="0.25"/>
  <cols>
    <col min="1" max="1" width="2.85546875" customWidth="1"/>
    <col min="2" max="2" width="10" customWidth="1"/>
    <col min="3" max="7" width="16.28515625" customWidth="1"/>
  </cols>
  <sheetData>
    <row r="1" spans="2:12" x14ac:dyDescent="0.25">
      <c r="B1" s="140" t="s">
        <v>81</v>
      </c>
      <c r="C1" s="141"/>
      <c r="D1" s="141"/>
      <c r="E1" s="144">
        <f>Kompetenzraster!Q13</f>
        <v>46455</v>
      </c>
      <c r="F1" s="145"/>
      <c r="G1" s="148">
        <v>5</v>
      </c>
    </row>
    <row r="2" spans="2:12" x14ac:dyDescent="0.25">
      <c r="B2" s="142"/>
      <c r="C2" s="143"/>
      <c r="D2" s="143"/>
      <c r="E2" s="146"/>
      <c r="F2" s="147"/>
      <c r="G2" s="149"/>
    </row>
    <row r="3" spans="2:12" ht="15.75" customHeight="1" x14ac:dyDescent="0.25">
      <c r="B3" s="374" t="s">
        <v>89</v>
      </c>
      <c r="C3" s="375"/>
      <c r="D3" s="375"/>
      <c r="E3" s="375"/>
      <c r="F3" s="378">
        <v>4.5999999999999996</v>
      </c>
      <c r="G3" s="380" t="s">
        <v>82</v>
      </c>
    </row>
    <row r="4" spans="2:12" ht="14.25" customHeight="1" x14ac:dyDescent="0.25">
      <c r="B4" s="376"/>
      <c r="C4" s="388"/>
      <c r="D4" s="388"/>
      <c r="E4" s="388"/>
      <c r="F4" s="379"/>
      <c r="G4" s="381"/>
    </row>
    <row r="5" spans="2:12" ht="15.75" customHeight="1" x14ac:dyDescent="0.3">
      <c r="B5" s="382" t="s">
        <v>107</v>
      </c>
      <c r="C5" s="46"/>
      <c r="D5" s="47"/>
      <c r="E5" s="64"/>
      <c r="F5" s="49"/>
      <c r="G5" s="82"/>
    </row>
    <row r="6" spans="2:12" ht="15.75" x14ac:dyDescent="0.3">
      <c r="B6" s="383"/>
      <c r="C6" s="111" t="s">
        <v>142</v>
      </c>
      <c r="D6" s="112"/>
      <c r="E6" s="112"/>
      <c r="F6" s="113" t="s">
        <v>143</v>
      </c>
      <c r="G6" s="79"/>
    </row>
    <row r="7" spans="2:12" x14ac:dyDescent="0.25">
      <c r="B7" s="383"/>
      <c r="C7" s="66"/>
      <c r="F7" s="53"/>
      <c r="G7" s="79"/>
    </row>
    <row r="8" spans="2:12" ht="15.75" x14ac:dyDescent="0.3">
      <c r="B8" s="383"/>
      <c r="C8" s="111" t="s">
        <v>144</v>
      </c>
      <c r="D8" s="112"/>
      <c r="E8" s="112"/>
      <c r="F8" s="113" t="s">
        <v>145</v>
      </c>
      <c r="G8" s="83"/>
    </row>
    <row r="9" spans="2:12" x14ac:dyDescent="0.25">
      <c r="B9" s="383"/>
      <c r="C9" s="66"/>
      <c r="F9" s="53"/>
      <c r="G9" s="79"/>
    </row>
    <row r="10" spans="2:12" x14ac:dyDescent="0.25">
      <c r="B10" s="383"/>
      <c r="C10" s="66"/>
      <c r="F10" s="53"/>
      <c r="G10" s="79"/>
      <c r="L10" s="84"/>
    </row>
    <row r="11" spans="2:12" ht="15.75" x14ac:dyDescent="0.3">
      <c r="B11" s="383"/>
      <c r="C11" s="54" t="s">
        <v>299</v>
      </c>
      <c r="F11" s="53"/>
      <c r="G11" s="85"/>
    </row>
    <row r="12" spans="2:12" ht="15.75" x14ac:dyDescent="0.3">
      <c r="B12" s="383"/>
      <c r="C12" s="54"/>
      <c r="F12" s="53"/>
      <c r="G12" s="53"/>
    </row>
    <row r="13" spans="2:12" ht="15.75" x14ac:dyDescent="0.3">
      <c r="B13" s="383"/>
      <c r="C13" s="59"/>
      <c r="D13" s="60"/>
      <c r="E13" s="60"/>
      <c r="F13" s="61"/>
      <c r="G13" s="61"/>
    </row>
    <row r="14" spans="2:12" x14ac:dyDescent="0.25">
      <c r="B14" s="383"/>
      <c r="C14" s="386" t="s">
        <v>85</v>
      </c>
      <c r="D14" s="387"/>
      <c r="E14" s="387"/>
      <c r="F14" s="387"/>
      <c r="G14" s="133"/>
    </row>
    <row r="15" spans="2:12" ht="15.75" customHeight="1" x14ac:dyDescent="0.3">
      <c r="B15" s="384"/>
      <c r="C15" s="58"/>
      <c r="D15" s="48"/>
      <c r="E15" s="48"/>
      <c r="F15" s="48"/>
      <c r="G15" s="49"/>
    </row>
    <row r="16" spans="2:12" ht="15" customHeight="1" x14ac:dyDescent="0.3">
      <c r="B16" s="385"/>
      <c r="C16" s="54"/>
      <c r="G16" s="53"/>
    </row>
    <row r="17" spans="2:10" ht="15" customHeight="1" x14ac:dyDescent="0.3">
      <c r="B17" s="385"/>
      <c r="C17" s="59"/>
      <c r="D17" s="60"/>
      <c r="E17" s="60"/>
      <c r="F17" s="60"/>
      <c r="G17" s="61"/>
    </row>
    <row r="18" spans="2:10" ht="15" customHeight="1" x14ac:dyDescent="0.25">
      <c r="B18" s="134" t="s">
        <v>86</v>
      </c>
      <c r="C18" s="135"/>
      <c r="D18" s="135"/>
      <c r="E18" s="135"/>
      <c r="F18" s="135"/>
      <c r="G18" s="136"/>
    </row>
    <row r="19" spans="2:10" ht="15.75" customHeight="1" x14ac:dyDescent="0.25">
      <c r="B19" s="137"/>
      <c r="C19" s="138"/>
      <c r="D19" s="138"/>
      <c r="E19" s="138"/>
      <c r="F19" s="138"/>
      <c r="G19" s="139"/>
      <c r="J19" s="62"/>
    </row>
    <row r="20" spans="2:10" ht="15" customHeight="1" x14ac:dyDescent="0.25">
      <c r="B20" s="150" t="s">
        <v>134</v>
      </c>
      <c r="C20" s="151"/>
      <c r="D20" s="151"/>
      <c r="E20" s="151"/>
      <c r="F20" s="154">
        <v>4.2</v>
      </c>
      <c r="G20" s="156" t="s">
        <v>82</v>
      </c>
    </row>
    <row r="21" spans="2:10" ht="16.5" customHeight="1" x14ac:dyDescent="0.25">
      <c r="B21" s="152"/>
      <c r="C21" s="153"/>
      <c r="D21" s="153"/>
      <c r="E21" s="153"/>
      <c r="F21" s="155"/>
      <c r="G21" s="157"/>
    </row>
    <row r="22" spans="2:10" ht="15.75" customHeight="1" x14ac:dyDescent="0.3">
      <c r="B22" s="127" t="s">
        <v>148</v>
      </c>
      <c r="C22" s="63" t="s">
        <v>83</v>
      </c>
      <c r="D22" s="64"/>
      <c r="E22" s="64"/>
      <c r="F22" s="49"/>
      <c r="G22" s="50"/>
    </row>
    <row r="23" spans="2:10" ht="15.75" x14ac:dyDescent="0.3">
      <c r="B23" s="128"/>
      <c r="C23" s="54" t="s">
        <v>135</v>
      </c>
      <c r="F23" s="53"/>
      <c r="G23" s="53"/>
    </row>
    <row r="24" spans="2:10" ht="15.75" x14ac:dyDescent="0.3">
      <c r="B24" s="128"/>
      <c r="C24" s="54" t="s">
        <v>137</v>
      </c>
      <c r="F24" s="55"/>
      <c r="G24" s="53"/>
    </row>
    <row r="25" spans="2:10" ht="15.75" x14ac:dyDescent="0.3">
      <c r="B25" s="128"/>
      <c r="C25" s="54" t="s">
        <v>136</v>
      </c>
      <c r="F25" s="53"/>
      <c r="G25" s="53"/>
    </row>
    <row r="26" spans="2:10" ht="15.75" x14ac:dyDescent="0.3">
      <c r="B26" s="128"/>
      <c r="C26" s="54" t="s">
        <v>138</v>
      </c>
      <c r="F26" s="53"/>
      <c r="G26" s="53"/>
    </row>
    <row r="27" spans="2:10" ht="15.75" customHeight="1" x14ac:dyDescent="0.25">
      <c r="B27" s="128"/>
      <c r="C27" s="66"/>
      <c r="F27" s="53"/>
      <c r="G27" s="53"/>
    </row>
    <row r="28" spans="2:10" x14ac:dyDescent="0.25">
      <c r="B28" s="128"/>
      <c r="C28" s="51" t="s">
        <v>84</v>
      </c>
      <c r="F28" s="53"/>
      <c r="G28" s="85"/>
    </row>
    <row r="29" spans="2:10" ht="15.75" x14ac:dyDescent="0.3">
      <c r="B29" s="128"/>
      <c r="C29" s="54" t="s">
        <v>149</v>
      </c>
      <c r="F29" s="53"/>
      <c r="G29" s="53"/>
    </row>
    <row r="30" spans="2:10" ht="15.75" customHeight="1" x14ac:dyDescent="0.3">
      <c r="B30" s="128"/>
      <c r="C30" s="59" t="s">
        <v>150</v>
      </c>
      <c r="D30" s="60"/>
      <c r="E30" s="60"/>
      <c r="F30" s="61"/>
      <c r="G30" s="61"/>
    </row>
    <row r="31" spans="2:10" ht="15.75" customHeight="1" x14ac:dyDescent="0.25">
      <c r="B31" s="128"/>
      <c r="C31" s="173" t="s">
        <v>85</v>
      </c>
      <c r="D31" s="174"/>
      <c r="E31" s="174"/>
      <c r="F31" s="174"/>
      <c r="G31" s="133"/>
    </row>
    <row r="32" spans="2:10" ht="15.75" customHeight="1" x14ac:dyDescent="0.3">
      <c r="B32" s="167"/>
      <c r="C32" s="58" t="s">
        <v>139</v>
      </c>
      <c r="D32" s="48"/>
      <c r="E32" s="48"/>
      <c r="F32" s="49"/>
      <c r="G32" s="49"/>
    </row>
    <row r="33" spans="2:7" ht="15.75" customHeight="1" x14ac:dyDescent="0.3">
      <c r="B33" s="167"/>
      <c r="C33" s="54" t="s">
        <v>140</v>
      </c>
      <c r="F33" s="53"/>
      <c r="G33" s="55"/>
    </row>
    <row r="34" spans="2:7" ht="15.75" x14ac:dyDescent="0.3">
      <c r="B34" s="168"/>
      <c r="C34" s="54"/>
      <c r="F34" s="53"/>
      <c r="G34" s="53"/>
    </row>
    <row r="35" spans="2:7" ht="15.75" customHeight="1" x14ac:dyDescent="0.3">
      <c r="B35" s="169"/>
      <c r="C35" s="59"/>
      <c r="D35" s="60"/>
      <c r="E35" s="60"/>
      <c r="F35" s="61"/>
      <c r="G35" s="61"/>
    </row>
    <row r="36" spans="2:7" ht="15.75" customHeight="1" x14ac:dyDescent="0.25">
      <c r="B36" s="161" t="s">
        <v>87</v>
      </c>
      <c r="C36" s="162"/>
      <c r="D36" s="162"/>
      <c r="E36" s="161" t="s">
        <v>88</v>
      </c>
      <c r="F36" s="162"/>
      <c r="G36" s="165"/>
    </row>
    <row r="37" spans="2:7" ht="15.75" customHeight="1" x14ac:dyDescent="0.25">
      <c r="B37" s="163"/>
      <c r="C37" s="164"/>
      <c r="D37" s="164"/>
      <c r="E37" s="163"/>
      <c r="F37" s="164"/>
      <c r="G37" s="166"/>
    </row>
    <row r="38" spans="2:7" ht="15.75" customHeight="1" x14ac:dyDescent="0.25">
      <c r="B38" s="46"/>
      <c r="C38" s="64"/>
      <c r="D38" s="65"/>
      <c r="E38" s="46"/>
      <c r="F38" s="64"/>
      <c r="G38" s="65"/>
    </row>
    <row r="39" spans="2:7" ht="15.75" customHeight="1" x14ac:dyDescent="0.25">
      <c r="B39" s="66"/>
      <c r="D39" s="53"/>
      <c r="E39" s="66"/>
      <c r="G39" s="53"/>
    </row>
    <row r="40" spans="2:7" ht="15.75" customHeight="1" x14ac:dyDescent="0.25">
      <c r="B40" s="66"/>
      <c r="D40" s="53"/>
      <c r="E40" s="66"/>
      <c r="G40" s="53"/>
    </row>
    <row r="41" spans="2:7" ht="15.75" customHeight="1" x14ac:dyDescent="0.25">
      <c r="B41" s="66"/>
      <c r="D41" s="53"/>
      <c r="E41" s="66"/>
      <c r="G41" s="53"/>
    </row>
    <row r="42" spans="2:7" ht="15.75" customHeight="1" x14ac:dyDescent="0.25">
      <c r="B42" s="66"/>
      <c r="D42" s="53"/>
      <c r="E42" s="66"/>
      <c r="G42" s="53"/>
    </row>
    <row r="43" spans="2:7" ht="15.75" customHeight="1" x14ac:dyDescent="0.25">
      <c r="B43" s="66"/>
      <c r="D43" s="53"/>
      <c r="E43" s="66"/>
      <c r="G43" s="53"/>
    </row>
    <row r="44" spans="2:7" ht="15.75" customHeight="1" x14ac:dyDescent="0.25">
      <c r="B44" s="66"/>
      <c r="D44" s="53"/>
      <c r="E44" s="66"/>
      <c r="G44" s="53"/>
    </row>
    <row r="45" spans="2:7" ht="15.75" customHeight="1" x14ac:dyDescent="0.25">
      <c r="B45" s="66"/>
      <c r="D45" s="53"/>
      <c r="E45" s="66"/>
      <c r="G45" s="53"/>
    </row>
    <row r="46" spans="2:7" ht="15.75" customHeight="1" x14ac:dyDescent="0.25">
      <c r="B46" s="66"/>
      <c r="D46" s="53"/>
      <c r="E46" s="66"/>
      <c r="G46" s="53"/>
    </row>
    <row r="47" spans="2:7" x14ac:dyDescent="0.25">
      <c r="B47" s="66"/>
      <c r="D47" s="53"/>
      <c r="E47" s="66"/>
      <c r="G47" s="53"/>
    </row>
    <row r="48" spans="2:7" x14ac:dyDescent="0.25">
      <c r="B48" s="67"/>
      <c r="C48" s="60"/>
      <c r="D48" s="61"/>
      <c r="E48" s="67"/>
      <c r="F48" s="60"/>
      <c r="G48" s="61"/>
    </row>
  </sheetData>
  <mergeCells count="16">
    <mergeCell ref="B1:D2"/>
    <mergeCell ref="E1:F2"/>
    <mergeCell ref="G1:G2"/>
    <mergeCell ref="B3:E4"/>
    <mergeCell ref="F3:F4"/>
    <mergeCell ref="G3:G4"/>
    <mergeCell ref="B22:B35"/>
    <mergeCell ref="C31:G31"/>
    <mergeCell ref="B36:D37"/>
    <mergeCell ref="E36:G37"/>
    <mergeCell ref="B5:B17"/>
    <mergeCell ref="C14:G14"/>
    <mergeCell ref="B18:G19"/>
    <mergeCell ref="B20:E21"/>
    <mergeCell ref="F20:F21"/>
    <mergeCell ref="G20:G21"/>
  </mergeCells>
  <pageMargins left="0.25" right="0.25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91605-A2EB-49F0-ACE5-E86F1B9FCFAD}">
  <dimension ref="B1:M48"/>
  <sheetViews>
    <sheetView workbookViewId="0">
      <selection activeCell="B5" sqref="B5:B17"/>
    </sheetView>
  </sheetViews>
  <sheetFormatPr baseColWidth="10" defaultColWidth="11.42578125" defaultRowHeight="15" x14ac:dyDescent="0.25"/>
  <cols>
    <col min="1" max="1" width="2.85546875" customWidth="1"/>
    <col min="2" max="2" width="10" customWidth="1"/>
    <col min="3" max="7" width="16.28515625" customWidth="1"/>
  </cols>
  <sheetData>
    <row r="1" spans="2:13" x14ac:dyDescent="0.25">
      <c r="B1" s="140" t="s">
        <v>81</v>
      </c>
      <c r="C1" s="141"/>
      <c r="D1" s="141"/>
      <c r="E1" s="144">
        <f>Kompetenzraster!Q13</f>
        <v>46455</v>
      </c>
      <c r="F1" s="145"/>
      <c r="G1" s="148">
        <v>6</v>
      </c>
    </row>
    <row r="2" spans="2:13" x14ac:dyDescent="0.25">
      <c r="B2" s="142"/>
      <c r="C2" s="143"/>
      <c r="D2" s="143"/>
      <c r="E2" s="146"/>
      <c r="F2" s="147"/>
      <c r="G2" s="149"/>
    </row>
    <row r="3" spans="2:13" ht="15.75" customHeight="1" x14ac:dyDescent="0.25">
      <c r="B3" s="374" t="s">
        <v>157</v>
      </c>
      <c r="C3" s="375"/>
      <c r="D3" s="375"/>
      <c r="E3" s="375"/>
      <c r="F3" s="378">
        <v>4.7</v>
      </c>
      <c r="G3" s="380" t="s">
        <v>82</v>
      </c>
    </row>
    <row r="4" spans="2:13" ht="14.25" customHeight="1" x14ac:dyDescent="0.25">
      <c r="B4" s="376"/>
      <c r="C4" s="388"/>
      <c r="D4" s="388"/>
      <c r="E4" s="388"/>
      <c r="F4" s="379"/>
      <c r="G4" s="381"/>
    </row>
    <row r="5" spans="2:13" ht="15.75" customHeight="1" x14ac:dyDescent="0.3">
      <c r="B5" s="382" t="s">
        <v>107</v>
      </c>
      <c r="C5" s="46"/>
      <c r="D5" s="47"/>
      <c r="E5" s="64"/>
      <c r="F5" s="49"/>
      <c r="G5" s="50"/>
    </row>
    <row r="6" spans="2:13" ht="15.75" x14ac:dyDescent="0.3">
      <c r="B6" s="383"/>
      <c r="C6" s="51" t="s">
        <v>141</v>
      </c>
      <c r="D6" s="52"/>
      <c r="E6" s="52"/>
      <c r="F6" s="53"/>
      <c r="G6" s="53"/>
    </row>
    <row r="7" spans="2:13" ht="15.75" x14ac:dyDescent="0.3">
      <c r="B7" s="383"/>
      <c r="C7" s="54" t="s">
        <v>152</v>
      </c>
      <c r="F7" s="55"/>
      <c r="G7" s="53"/>
    </row>
    <row r="8" spans="2:13" ht="15.75" x14ac:dyDescent="0.3">
      <c r="B8" s="383"/>
      <c r="C8" s="54" t="s">
        <v>153</v>
      </c>
      <c r="F8" s="53"/>
      <c r="G8" s="55"/>
    </row>
    <row r="9" spans="2:13" ht="15.75" x14ac:dyDescent="0.3">
      <c r="B9" s="383"/>
      <c r="C9" s="54"/>
      <c r="D9" s="76"/>
      <c r="E9" s="76"/>
      <c r="F9" s="88"/>
      <c r="G9" s="53"/>
    </row>
    <row r="10" spans="2:13" x14ac:dyDescent="0.25">
      <c r="B10" s="383"/>
      <c r="C10" s="91"/>
      <c r="F10" s="53"/>
      <c r="G10" s="53"/>
      <c r="L10" s="84"/>
    </row>
    <row r="11" spans="2:13" ht="15.75" x14ac:dyDescent="0.3">
      <c r="B11" s="383"/>
      <c r="C11" s="54"/>
      <c r="D11" s="76"/>
      <c r="E11" s="76"/>
      <c r="F11" s="88"/>
      <c r="G11" s="68"/>
    </row>
    <row r="12" spans="2:13" ht="15.75" x14ac:dyDescent="0.3">
      <c r="B12" s="383"/>
      <c r="C12" s="54"/>
      <c r="F12" s="53"/>
      <c r="G12" s="53"/>
      <c r="M12" s="84"/>
    </row>
    <row r="13" spans="2:13" ht="15.75" x14ac:dyDescent="0.3">
      <c r="B13" s="383"/>
      <c r="C13" s="59"/>
      <c r="D13" s="60"/>
      <c r="E13" s="60"/>
      <c r="F13" s="61"/>
      <c r="G13" s="61"/>
    </row>
    <row r="14" spans="2:13" x14ac:dyDescent="0.25">
      <c r="B14" s="383"/>
      <c r="C14" s="386" t="s">
        <v>85</v>
      </c>
      <c r="D14" s="387"/>
      <c r="E14" s="387"/>
      <c r="F14" s="387"/>
      <c r="G14" s="133"/>
    </row>
    <row r="15" spans="2:13" ht="15.75" customHeight="1" x14ac:dyDescent="0.3">
      <c r="B15" s="384"/>
      <c r="C15" s="58" t="s">
        <v>154</v>
      </c>
      <c r="D15" s="48"/>
      <c r="E15" s="48"/>
      <c r="F15" s="48"/>
      <c r="G15" s="49"/>
    </row>
    <row r="16" spans="2:13" ht="15" customHeight="1" x14ac:dyDescent="0.3">
      <c r="B16" s="385"/>
      <c r="C16" s="54" t="s">
        <v>155</v>
      </c>
      <c r="G16" s="53"/>
    </row>
    <row r="17" spans="2:10" ht="15" customHeight="1" x14ac:dyDescent="0.3">
      <c r="B17" s="385"/>
      <c r="C17" s="59" t="s">
        <v>156</v>
      </c>
      <c r="D17" s="60"/>
      <c r="E17" s="60"/>
      <c r="F17" s="60"/>
      <c r="G17" s="61"/>
    </row>
    <row r="18" spans="2:10" ht="15" customHeight="1" x14ac:dyDescent="0.25">
      <c r="B18" s="134" t="s">
        <v>86</v>
      </c>
      <c r="C18" s="135"/>
      <c r="D18" s="135"/>
      <c r="E18" s="135"/>
      <c r="F18" s="135"/>
      <c r="G18" s="136"/>
    </row>
    <row r="19" spans="2:10" ht="15.75" customHeight="1" x14ac:dyDescent="0.25">
      <c r="B19" s="137"/>
      <c r="C19" s="138"/>
      <c r="D19" s="138"/>
      <c r="E19" s="138"/>
      <c r="F19" s="138"/>
      <c r="G19" s="139"/>
      <c r="J19" s="62"/>
    </row>
    <row r="20" spans="2:10" ht="15" customHeight="1" x14ac:dyDescent="0.25">
      <c r="B20" s="150" t="s">
        <v>134</v>
      </c>
      <c r="C20" s="151"/>
      <c r="D20" s="151"/>
      <c r="E20" s="151"/>
      <c r="F20" s="154">
        <v>4.2</v>
      </c>
      <c r="G20" s="156" t="s">
        <v>82</v>
      </c>
    </row>
    <row r="21" spans="2:10" ht="16.5" customHeight="1" x14ac:dyDescent="0.25">
      <c r="B21" s="152"/>
      <c r="C21" s="153"/>
      <c r="D21" s="153"/>
      <c r="E21" s="153"/>
      <c r="F21" s="155"/>
      <c r="G21" s="157"/>
    </row>
    <row r="22" spans="2:10" ht="15.75" customHeight="1" x14ac:dyDescent="0.3">
      <c r="B22" s="127" t="s">
        <v>148</v>
      </c>
      <c r="C22" s="63"/>
      <c r="D22" s="64"/>
      <c r="E22" s="64"/>
      <c r="F22" s="49"/>
      <c r="G22" s="50"/>
    </row>
    <row r="23" spans="2:10" x14ac:dyDescent="0.25">
      <c r="B23" s="128"/>
      <c r="C23" s="51" t="s">
        <v>84</v>
      </c>
      <c r="F23" s="53"/>
      <c r="G23" s="53"/>
    </row>
    <row r="24" spans="2:10" ht="15.75" x14ac:dyDescent="0.3">
      <c r="B24" s="128"/>
      <c r="C24" s="54" t="s">
        <v>300</v>
      </c>
      <c r="F24" s="55"/>
      <c r="G24" s="53"/>
    </row>
    <row r="25" spans="2:10" x14ac:dyDescent="0.25">
      <c r="B25" s="128"/>
      <c r="C25" s="109"/>
      <c r="D25" s="110"/>
      <c r="F25" s="53"/>
      <c r="G25" s="53"/>
    </row>
    <row r="26" spans="2:10" x14ac:dyDescent="0.25">
      <c r="B26" s="128"/>
      <c r="C26" s="51" t="s">
        <v>113</v>
      </c>
      <c r="F26" s="53"/>
      <c r="G26" s="53"/>
    </row>
    <row r="27" spans="2:10" ht="15.75" customHeight="1" x14ac:dyDescent="0.3">
      <c r="B27" s="128"/>
      <c r="C27" s="54" t="s">
        <v>151</v>
      </c>
      <c r="F27" s="53"/>
      <c r="G27" s="53"/>
    </row>
    <row r="28" spans="2:10" ht="15.75" x14ac:dyDescent="0.3">
      <c r="B28" s="128"/>
      <c r="C28" s="54" t="s">
        <v>301</v>
      </c>
      <c r="D28" s="52"/>
      <c r="E28" s="52"/>
      <c r="F28" s="53"/>
      <c r="G28" s="85"/>
    </row>
    <row r="29" spans="2:10" ht="15.75" x14ac:dyDescent="0.3">
      <c r="B29" s="128"/>
      <c r="C29" s="54"/>
      <c r="F29" s="53"/>
      <c r="G29" s="53"/>
    </row>
    <row r="30" spans="2:10" ht="15.75" customHeight="1" x14ac:dyDescent="0.3">
      <c r="B30" s="128"/>
      <c r="C30" s="59"/>
      <c r="D30" s="60"/>
      <c r="E30" s="60"/>
      <c r="F30" s="61"/>
      <c r="G30" s="61"/>
    </row>
    <row r="31" spans="2:10" ht="15.75" customHeight="1" x14ac:dyDescent="0.25">
      <c r="B31" s="128"/>
      <c r="C31" s="173" t="s">
        <v>85</v>
      </c>
      <c r="D31" s="174"/>
      <c r="E31" s="174"/>
      <c r="F31" s="174"/>
      <c r="G31" s="133"/>
    </row>
    <row r="32" spans="2:10" ht="15.75" customHeight="1" x14ac:dyDescent="0.3">
      <c r="B32" s="167"/>
      <c r="C32" s="58" t="s">
        <v>139</v>
      </c>
      <c r="D32" s="48"/>
      <c r="E32" s="48"/>
      <c r="F32" s="49"/>
      <c r="G32" s="49"/>
    </row>
    <row r="33" spans="2:7" ht="15.75" customHeight="1" x14ac:dyDescent="0.3">
      <c r="B33" s="167"/>
      <c r="C33" s="54" t="s">
        <v>140</v>
      </c>
      <c r="F33" s="53"/>
      <c r="G33" s="55"/>
    </row>
    <row r="34" spans="2:7" ht="15.75" x14ac:dyDescent="0.3">
      <c r="B34" s="168"/>
      <c r="C34" s="54"/>
      <c r="F34" s="53"/>
      <c r="G34" s="53"/>
    </row>
    <row r="35" spans="2:7" ht="15.75" customHeight="1" x14ac:dyDescent="0.3">
      <c r="B35" s="169"/>
      <c r="C35" s="59"/>
      <c r="D35" s="60"/>
      <c r="E35" s="60"/>
      <c r="F35" s="61"/>
      <c r="G35" s="61"/>
    </row>
    <row r="36" spans="2:7" ht="15.75" customHeight="1" x14ac:dyDescent="0.25">
      <c r="B36" s="161" t="s">
        <v>87</v>
      </c>
      <c r="C36" s="162"/>
      <c r="D36" s="162"/>
      <c r="E36" s="161" t="s">
        <v>88</v>
      </c>
      <c r="F36" s="162"/>
      <c r="G36" s="165"/>
    </row>
    <row r="37" spans="2:7" ht="15.75" customHeight="1" x14ac:dyDescent="0.25">
      <c r="B37" s="163"/>
      <c r="C37" s="164"/>
      <c r="D37" s="164"/>
      <c r="E37" s="163"/>
      <c r="F37" s="164"/>
      <c r="G37" s="166"/>
    </row>
    <row r="38" spans="2:7" ht="15.75" customHeight="1" x14ac:dyDescent="0.25">
      <c r="B38" s="46"/>
      <c r="C38" s="64"/>
      <c r="D38" s="65"/>
      <c r="E38" s="46"/>
      <c r="F38" s="64"/>
      <c r="G38" s="65"/>
    </row>
    <row r="39" spans="2:7" ht="15.75" customHeight="1" x14ac:dyDescent="0.25">
      <c r="B39" s="66"/>
      <c r="D39" s="53"/>
      <c r="E39" s="66"/>
      <c r="G39" s="53"/>
    </row>
    <row r="40" spans="2:7" ht="15.75" customHeight="1" x14ac:dyDescent="0.25">
      <c r="B40" s="66"/>
      <c r="D40" s="53"/>
      <c r="E40" s="66"/>
      <c r="G40" s="53"/>
    </row>
    <row r="41" spans="2:7" ht="15.75" customHeight="1" x14ac:dyDescent="0.25">
      <c r="B41" s="66"/>
      <c r="D41" s="53"/>
      <c r="E41" s="66"/>
      <c r="G41" s="53"/>
    </row>
    <row r="42" spans="2:7" ht="15.75" customHeight="1" x14ac:dyDescent="0.25">
      <c r="B42" s="66"/>
      <c r="D42" s="53"/>
      <c r="E42" s="66"/>
      <c r="G42" s="53"/>
    </row>
    <row r="43" spans="2:7" ht="15.75" customHeight="1" x14ac:dyDescent="0.25">
      <c r="B43" s="66"/>
      <c r="D43" s="53"/>
      <c r="E43" s="66"/>
      <c r="G43" s="53"/>
    </row>
    <row r="44" spans="2:7" ht="15.75" customHeight="1" x14ac:dyDescent="0.25">
      <c r="B44" s="66"/>
      <c r="D44" s="53"/>
      <c r="E44" s="66"/>
      <c r="G44" s="53"/>
    </row>
    <row r="45" spans="2:7" ht="15.75" customHeight="1" x14ac:dyDescent="0.25">
      <c r="B45" s="66"/>
      <c r="D45" s="53"/>
      <c r="E45" s="66"/>
      <c r="G45" s="53"/>
    </row>
    <row r="46" spans="2:7" ht="15.75" customHeight="1" x14ac:dyDescent="0.25">
      <c r="B46" s="66"/>
      <c r="D46" s="53"/>
      <c r="E46" s="66"/>
      <c r="G46" s="53"/>
    </row>
    <row r="47" spans="2:7" x14ac:dyDescent="0.25">
      <c r="B47" s="66"/>
      <c r="D47" s="53"/>
      <c r="E47" s="66"/>
      <c r="G47" s="53"/>
    </row>
    <row r="48" spans="2:7" x14ac:dyDescent="0.25">
      <c r="B48" s="67"/>
      <c r="C48" s="60"/>
      <c r="D48" s="61"/>
      <c r="E48" s="67"/>
      <c r="F48" s="60"/>
      <c r="G48" s="61"/>
    </row>
  </sheetData>
  <mergeCells count="16">
    <mergeCell ref="B22:B35"/>
    <mergeCell ref="C31:G31"/>
    <mergeCell ref="B36:D37"/>
    <mergeCell ref="E36:G37"/>
    <mergeCell ref="B5:B17"/>
    <mergeCell ref="C14:G14"/>
    <mergeCell ref="B18:G19"/>
    <mergeCell ref="B20:E21"/>
    <mergeCell ref="F20:F21"/>
    <mergeCell ref="G20:G21"/>
    <mergeCell ref="B1:D2"/>
    <mergeCell ref="E1:F2"/>
    <mergeCell ref="G1:G2"/>
    <mergeCell ref="B3:E4"/>
    <mergeCell ref="F3:F4"/>
    <mergeCell ref="G3:G4"/>
  </mergeCells>
  <pageMargins left="0.25" right="0.25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21185-E784-4795-96E7-873A06175551}">
  <dimension ref="B1:M48"/>
  <sheetViews>
    <sheetView workbookViewId="0">
      <selection activeCell="F30" sqref="C23:F30"/>
    </sheetView>
  </sheetViews>
  <sheetFormatPr baseColWidth="10" defaultColWidth="11.42578125" defaultRowHeight="15" x14ac:dyDescent="0.25"/>
  <cols>
    <col min="1" max="1" width="2.85546875" customWidth="1"/>
    <col min="2" max="2" width="10" customWidth="1"/>
    <col min="3" max="7" width="16.28515625" customWidth="1"/>
  </cols>
  <sheetData>
    <row r="1" spans="2:13" x14ac:dyDescent="0.25">
      <c r="B1" s="140" t="s">
        <v>81</v>
      </c>
      <c r="C1" s="141"/>
      <c r="D1" s="141"/>
      <c r="E1" s="144">
        <f>Kompetenzraster!Q17</f>
        <v>46469</v>
      </c>
      <c r="F1" s="145"/>
      <c r="G1" s="148">
        <v>7</v>
      </c>
    </row>
    <row r="2" spans="2:13" x14ac:dyDescent="0.25">
      <c r="B2" s="142"/>
      <c r="C2" s="143"/>
      <c r="D2" s="143"/>
      <c r="E2" s="146"/>
      <c r="F2" s="147"/>
      <c r="G2" s="149"/>
    </row>
    <row r="3" spans="2:13" ht="15.75" customHeight="1" x14ac:dyDescent="0.25">
      <c r="B3" s="374" t="s">
        <v>157</v>
      </c>
      <c r="C3" s="375"/>
      <c r="D3" s="375"/>
      <c r="E3" s="375"/>
      <c r="F3" s="378">
        <v>4.7</v>
      </c>
      <c r="G3" s="380" t="s">
        <v>82</v>
      </c>
    </row>
    <row r="4" spans="2:13" ht="14.25" customHeight="1" x14ac:dyDescent="0.25">
      <c r="B4" s="376"/>
      <c r="C4" s="388"/>
      <c r="D4" s="388"/>
      <c r="E4" s="388"/>
      <c r="F4" s="379"/>
      <c r="G4" s="381"/>
    </row>
    <row r="5" spans="2:13" ht="15.75" customHeight="1" x14ac:dyDescent="0.3">
      <c r="B5" s="382" t="s">
        <v>107</v>
      </c>
      <c r="C5" s="46"/>
      <c r="D5" s="47"/>
      <c r="E5" s="64"/>
      <c r="F5" s="49"/>
      <c r="G5" s="50"/>
    </row>
    <row r="6" spans="2:13" ht="15.75" x14ac:dyDescent="0.3">
      <c r="B6" s="383"/>
      <c r="C6" s="51" t="s">
        <v>141</v>
      </c>
      <c r="D6" s="52"/>
      <c r="E6" s="52"/>
      <c r="F6" s="53"/>
      <c r="G6" s="53"/>
    </row>
    <row r="7" spans="2:13" ht="15.75" x14ac:dyDescent="0.3">
      <c r="B7" s="383"/>
      <c r="C7" s="54" t="s">
        <v>158</v>
      </c>
      <c r="F7" s="55"/>
      <c r="G7" s="53"/>
    </row>
    <row r="8" spans="2:13" ht="15.75" x14ac:dyDescent="0.3">
      <c r="B8" s="383"/>
      <c r="C8" s="54" t="s">
        <v>159</v>
      </c>
      <c r="F8" s="53"/>
      <c r="G8" s="55"/>
    </row>
    <row r="9" spans="2:13" ht="15.75" x14ac:dyDescent="0.3">
      <c r="B9" s="383"/>
      <c r="C9" s="54"/>
      <c r="D9" s="76"/>
      <c r="E9" s="76"/>
      <c r="F9" s="88"/>
      <c r="G9" s="53"/>
    </row>
    <row r="10" spans="2:13" x14ac:dyDescent="0.25">
      <c r="B10" s="383"/>
      <c r="C10" s="66"/>
      <c r="F10" s="53"/>
      <c r="G10" s="53"/>
      <c r="L10" s="84"/>
    </row>
    <row r="11" spans="2:13" ht="15.75" x14ac:dyDescent="0.3">
      <c r="B11" s="383"/>
      <c r="C11" s="54"/>
      <c r="D11" s="76"/>
      <c r="E11" s="76"/>
      <c r="F11" s="88"/>
      <c r="G11" s="68"/>
    </row>
    <row r="12" spans="2:13" ht="15.75" x14ac:dyDescent="0.3">
      <c r="B12" s="383"/>
      <c r="C12" s="54"/>
      <c r="F12" s="53"/>
      <c r="G12" s="53"/>
      <c r="M12" s="84"/>
    </row>
    <row r="13" spans="2:13" ht="15.75" x14ac:dyDescent="0.3">
      <c r="B13" s="383"/>
      <c r="C13" s="59"/>
      <c r="D13" s="60"/>
      <c r="E13" s="60"/>
      <c r="F13" s="61"/>
      <c r="G13" s="61"/>
    </row>
    <row r="14" spans="2:13" x14ac:dyDescent="0.25">
      <c r="B14" s="383"/>
      <c r="C14" s="386" t="s">
        <v>85</v>
      </c>
      <c r="D14" s="387"/>
      <c r="E14" s="387"/>
      <c r="F14" s="387"/>
      <c r="G14" s="133"/>
    </row>
    <row r="15" spans="2:13" ht="15.75" customHeight="1" x14ac:dyDescent="0.3">
      <c r="B15" s="384"/>
      <c r="C15" s="58" t="s">
        <v>154</v>
      </c>
      <c r="D15" s="48"/>
      <c r="E15" s="48"/>
      <c r="F15" s="48"/>
      <c r="G15" s="49"/>
    </row>
    <row r="16" spans="2:13" ht="15" customHeight="1" x14ac:dyDescent="0.3">
      <c r="B16" s="385"/>
      <c r="C16" s="54" t="s">
        <v>155</v>
      </c>
      <c r="G16" s="53"/>
    </row>
    <row r="17" spans="2:10" ht="15" customHeight="1" x14ac:dyDescent="0.3">
      <c r="B17" s="385"/>
      <c r="C17" s="59" t="s">
        <v>156</v>
      </c>
      <c r="D17" s="60"/>
      <c r="E17" s="60"/>
      <c r="F17" s="60"/>
      <c r="G17" s="61"/>
    </row>
    <row r="18" spans="2:10" ht="15" customHeight="1" x14ac:dyDescent="0.25">
      <c r="B18" s="134" t="s">
        <v>86</v>
      </c>
      <c r="C18" s="135"/>
      <c r="D18" s="135"/>
      <c r="E18" s="135"/>
      <c r="F18" s="135"/>
      <c r="G18" s="136"/>
    </row>
    <row r="19" spans="2:10" ht="15.75" customHeight="1" x14ac:dyDescent="0.25">
      <c r="B19" s="137"/>
      <c r="C19" s="138"/>
      <c r="D19" s="138"/>
      <c r="E19" s="138"/>
      <c r="F19" s="138"/>
      <c r="G19" s="139"/>
      <c r="J19" s="62"/>
    </row>
    <row r="20" spans="2:10" ht="15" customHeight="1" x14ac:dyDescent="0.25">
      <c r="B20" s="150" t="s">
        <v>134</v>
      </c>
      <c r="C20" s="151"/>
      <c r="D20" s="151"/>
      <c r="E20" s="151"/>
      <c r="F20" s="154">
        <v>4.2</v>
      </c>
      <c r="G20" s="156" t="s">
        <v>82</v>
      </c>
    </row>
    <row r="21" spans="2:10" ht="16.5" customHeight="1" x14ac:dyDescent="0.25">
      <c r="B21" s="152"/>
      <c r="C21" s="153"/>
      <c r="D21" s="153"/>
      <c r="E21" s="153"/>
      <c r="F21" s="155"/>
      <c r="G21" s="157"/>
    </row>
    <row r="22" spans="2:10" ht="15.75" customHeight="1" x14ac:dyDescent="0.3">
      <c r="B22" s="127" t="s">
        <v>148</v>
      </c>
      <c r="C22" s="63"/>
      <c r="D22" s="64"/>
      <c r="E22" s="64"/>
      <c r="F22" s="49"/>
      <c r="G22" s="50"/>
    </row>
    <row r="23" spans="2:10" x14ac:dyDescent="0.25">
      <c r="B23" s="128"/>
      <c r="C23" s="51" t="s">
        <v>114</v>
      </c>
      <c r="F23" s="53"/>
      <c r="G23" s="53"/>
    </row>
    <row r="24" spans="2:10" ht="15.75" x14ac:dyDescent="0.3">
      <c r="B24" s="128"/>
      <c r="C24" s="54" t="s">
        <v>160</v>
      </c>
      <c r="F24" s="55"/>
      <c r="G24" s="53"/>
    </row>
    <row r="25" spans="2:10" ht="15.75" x14ac:dyDescent="0.3">
      <c r="B25" s="128"/>
      <c r="C25" s="54" t="s">
        <v>166</v>
      </c>
      <c r="F25" s="53"/>
      <c r="G25" s="53"/>
    </row>
    <row r="26" spans="2:10" x14ac:dyDescent="0.25">
      <c r="B26" s="128"/>
      <c r="C26" s="51"/>
      <c r="F26" s="53"/>
      <c r="G26" s="53"/>
    </row>
    <row r="27" spans="2:10" ht="15.75" customHeight="1" x14ac:dyDescent="0.3">
      <c r="B27" s="128"/>
      <c r="C27" s="54"/>
      <c r="F27" s="53"/>
      <c r="G27" s="53"/>
    </row>
    <row r="28" spans="2:10" ht="15.75" x14ac:dyDescent="0.3">
      <c r="B28" s="128"/>
      <c r="C28" s="54"/>
      <c r="D28" s="52"/>
      <c r="E28" s="52"/>
      <c r="F28" s="53"/>
      <c r="G28" s="85"/>
    </row>
    <row r="29" spans="2:10" ht="15.75" x14ac:dyDescent="0.3">
      <c r="B29" s="128"/>
      <c r="C29" s="54"/>
      <c r="F29" s="53"/>
      <c r="G29" s="53"/>
    </row>
    <row r="30" spans="2:10" ht="15.75" customHeight="1" x14ac:dyDescent="0.3">
      <c r="B30" s="128"/>
      <c r="C30" s="59"/>
      <c r="D30" s="60"/>
      <c r="E30" s="60"/>
      <c r="F30" s="61"/>
      <c r="G30" s="61"/>
    </row>
    <row r="31" spans="2:10" ht="15.75" customHeight="1" x14ac:dyDescent="0.25">
      <c r="B31" s="128"/>
      <c r="C31" s="173" t="s">
        <v>85</v>
      </c>
      <c r="D31" s="174"/>
      <c r="E31" s="174"/>
      <c r="F31" s="174"/>
      <c r="G31" s="133"/>
    </row>
    <row r="32" spans="2:10" ht="15.75" customHeight="1" x14ac:dyDescent="0.3">
      <c r="B32" s="167"/>
      <c r="C32" s="58" t="s">
        <v>139</v>
      </c>
      <c r="D32" s="48"/>
      <c r="E32" s="48"/>
      <c r="F32" s="49"/>
      <c r="G32" s="49"/>
    </row>
    <row r="33" spans="2:7" ht="15.75" customHeight="1" x14ac:dyDescent="0.3">
      <c r="B33" s="167"/>
      <c r="C33" s="54" t="s">
        <v>140</v>
      </c>
      <c r="F33" s="53"/>
      <c r="G33" s="55"/>
    </row>
    <row r="34" spans="2:7" ht="15.75" x14ac:dyDescent="0.3">
      <c r="B34" s="168"/>
      <c r="C34" s="54"/>
      <c r="F34" s="53"/>
      <c r="G34" s="53"/>
    </row>
    <row r="35" spans="2:7" ht="15.75" customHeight="1" x14ac:dyDescent="0.3">
      <c r="B35" s="169"/>
      <c r="C35" s="59"/>
      <c r="D35" s="60"/>
      <c r="E35" s="60"/>
      <c r="F35" s="61"/>
      <c r="G35" s="61"/>
    </row>
    <row r="36" spans="2:7" ht="15.75" customHeight="1" x14ac:dyDescent="0.25">
      <c r="B36" s="161" t="s">
        <v>87</v>
      </c>
      <c r="C36" s="162"/>
      <c r="D36" s="162"/>
      <c r="E36" s="161" t="s">
        <v>88</v>
      </c>
      <c r="F36" s="162"/>
      <c r="G36" s="165"/>
    </row>
    <row r="37" spans="2:7" ht="15.75" customHeight="1" x14ac:dyDescent="0.25">
      <c r="B37" s="163"/>
      <c r="C37" s="164"/>
      <c r="D37" s="164"/>
      <c r="E37" s="163"/>
      <c r="F37" s="164"/>
      <c r="G37" s="166"/>
    </row>
    <row r="38" spans="2:7" ht="15.75" customHeight="1" x14ac:dyDescent="0.25">
      <c r="B38" s="46"/>
      <c r="C38" s="64"/>
      <c r="D38" s="65"/>
      <c r="E38" s="46"/>
      <c r="F38" s="64"/>
      <c r="G38" s="65"/>
    </row>
    <row r="39" spans="2:7" ht="15.75" customHeight="1" x14ac:dyDescent="0.25">
      <c r="B39" s="66"/>
      <c r="D39" s="53"/>
      <c r="E39" s="66"/>
      <c r="G39" s="53"/>
    </row>
    <row r="40" spans="2:7" ht="15.75" customHeight="1" x14ac:dyDescent="0.25">
      <c r="B40" s="66"/>
      <c r="D40" s="53"/>
      <c r="E40" s="66"/>
      <c r="G40" s="53"/>
    </row>
    <row r="41" spans="2:7" ht="15.75" customHeight="1" x14ac:dyDescent="0.25">
      <c r="B41" s="66"/>
      <c r="D41" s="53"/>
      <c r="E41" s="66"/>
      <c r="G41" s="53"/>
    </row>
    <row r="42" spans="2:7" ht="15.75" customHeight="1" x14ac:dyDescent="0.25">
      <c r="B42" s="66"/>
      <c r="D42" s="53"/>
      <c r="E42" s="66"/>
      <c r="G42" s="53"/>
    </row>
    <row r="43" spans="2:7" ht="15.75" customHeight="1" x14ac:dyDescent="0.25">
      <c r="B43" s="66"/>
      <c r="D43" s="53"/>
      <c r="E43" s="66"/>
      <c r="G43" s="53"/>
    </row>
    <row r="44" spans="2:7" ht="15.75" customHeight="1" x14ac:dyDescent="0.25">
      <c r="B44" s="66"/>
      <c r="D44" s="53"/>
      <c r="E44" s="66"/>
      <c r="G44" s="53"/>
    </row>
    <row r="45" spans="2:7" ht="15.75" customHeight="1" x14ac:dyDescent="0.25">
      <c r="B45" s="66"/>
      <c r="D45" s="53"/>
      <c r="E45" s="66"/>
      <c r="G45" s="53"/>
    </row>
    <row r="46" spans="2:7" ht="15.75" customHeight="1" x14ac:dyDescent="0.25">
      <c r="B46" s="66"/>
      <c r="D46" s="53"/>
      <c r="E46" s="66"/>
      <c r="G46" s="53"/>
    </row>
    <row r="47" spans="2:7" x14ac:dyDescent="0.25">
      <c r="B47" s="66"/>
      <c r="D47" s="53"/>
      <c r="E47" s="66"/>
      <c r="G47" s="53"/>
    </row>
    <row r="48" spans="2:7" x14ac:dyDescent="0.25">
      <c r="B48" s="67"/>
      <c r="C48" s="60"/>
      <c r="D48" s="61"/>
      <c r="E48" s="67"/>
      <c r="F48" s="60"/>
      <c r="G48" s="61"/>
    </row>
  </sheetData>
  <mergeCells count="16">
    <mergeCell ref="B22:B35"/>
    <mergeCell ref="C31:G31"/>
    <mergeCell ref="B36:D37"/>
    <mergeCell ref="E36:G37"/>
    <mergeCell ref="B5:B17"/>
    <mergeCell ref="C14:G14"/>
    <mergeCell ref="B18:G19"/>
    <mergeCell ref="B20:E21"/>
    <mergeCell ref="F20:F21"/>
    <mergeCell ref="G20:G21"/>
    <mergeCell ref="B1:D2"/>
    <mergeCell ref="E1:F2"/>
    <mergeCell ref="G1:G2"/>
    <mergeCell ref="B3:E4"/>
    <mergeCell ref="F3:F4"/>
    <mergeCell ref="G3:G4"/>
  </mergeCells>
  <pageMargins left="0.25" right="0.25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00E08-FDDA-49DA-89B6-1FDBCA0FD930}">
  <dimension ref="B1:M48"/>
  <sheetViews>
    <sheetView workbookViewId="0">
      <selection activeCell="I9" sqref="I9"/>
    </sheetView>
  </sheetViews>
  <sheetFormatPr baseColWidth="10" defaultColWidth="11.42578125" defaultRowHeight="15" x14ac:dyDescent="0.25"/>
  <cols>
    <col min="1" max="1" width="2.85546875" customWidth="1"/>
    <col min="2" max="2" width="10" customWidth="1"/>
    <col min="3" max="7" width="16.28515625" customWidth="1"/>
  </cols>
  <sheetData>
    <row r="1" spans="2:13" x14ac:dyDescent="0.25">
      <c r="B1" s="140" t="s">
        <v>81</v>
      </c>
      <c r="C1" s="141"/>
      <c r="D1" s="141"/>
      <c r="E1" s="144">
        <f>Kompetenzraster!Q19</f>
        <v>46476</v>
      </c>
      <c r="F1" s="145"/>
      <c r="G1" s="148">
        <v>8</v>
      </c>
    </row>
    <row r="2" spans="2:13" x14ac:dyDescent="0.25">
      <c r="B2" s="142"/>
      <c r="C2" s="143"/>
      <c r="D2" s="143"/>
      <c r="E2" s="146"/>
      <c r="F2" s="147"/>
      <c r="G2" s="149"/>
    </row>
    <row r="3" spans="2:13" ht="15.75" customHeight="1" x14ac:dyDescent="0.25">
      <c r="B3" s="374" t="s">
        <v>157</v>
      </c>
      <c r="C3" s="375"/>
      <c r="D3" s="375"/>
      <c r="E3" s="375"/>
      <c r="F3" s="378">
        <v>4.7</v>
      </c>
      <c r="G3" s="380" t="s">
        <v>82</v>
      </c>
    </row>
    <row r="4" spans="2:13" ht="14.25" customHeight="1" x14ac:dyDescent="0.25">
      <c r="B4" s="376"/>
      <c r="C4" s="388"/>
      <c r="D4" s="388"/>
      <c r="E4" s="388"/>
      <c r="F4" s="379"/>
      <c r="G4" s="381"/>
    </row>
    <row r="5" spans="2:13" ht="15.75" customHeight="1" x14ac:dyDescent="0.3">
      <c r="B5" s="382" t="s">
        <v>107</v>
      </c>
      <c r="C5" s="46"/>
      <c r="D5" s="47"/>
      <c r="E5" s="64"/>
      <c r="F5" s="49"/>
      <c r="G5" s="50"/>
    </row>
    <row r="6" spans="2:13" ht="15.75" x14ac:dyDescent="0.3">
      <c r="B6" s="383"/>
      <c r="C6" s="51" t="s">
        <v>141</v>
      </c>
      <c r="D6" s="52"/>
      <c r="E6" s="52"/>
      <c r="F6" s="53"/>
      <c r="G6" s="53"/>
    </row>
    <row r="7" spans="2:13" ht="15.75" x14ac:dyDescent="0.3">
      <c r="B7" s="383"/>
      <c r="C7" s="54" t="s">
        <v>162</v>
      </c>
      <c r="F7" s="55"/>
      <c r="G7" s="53"/>
    </row>
    <row r="8" spans="2:13" ht="15.75" x14ac:dyDescent="0.3">
      <c r="B8" s="383"/>
      <c r="C8" s="54" t="s">
        <v>163</v>
      </c>
      <c r="F8" s="53"/>
      <c r="G8" s="55"/>
    </row>
    <row r="9" spans="2:13" ht="15.75" x14ac:dyDescent="0.3">
      <c r="B9" s="383"/>
      <c r="C9" s="54" t="s">
        <v>312</v>
      </c>
      <c r="D9" s="76"/>
      <c r="E9" s="76"/>
      <c r="F9" s="88"/>
      <c r="G9" s="53"/>
    </row>
    <row r="10" spans="2:13" ht="15.75" x14ac:dyDescent="0.3">
      <c r="B10" s="383"/>
      <c r="C10" s="54" t="s">
        <v>164</v>
      </c>
      <c r="F10" s="53"/>
      <c r="G10" s="53"/>
      <c r="L10" s="84"/>
    </row>
    <row r="11" spans="2:13" ht="15.75" x14ac:dyDescent="0.3">
      <c r="B11" s="383"/>
      <c r="C11" s="54" t="s">
        <v>165</v>
      </c>
      <c r="D11" s="76"/>
      <c r="E11" s="76"/>
      <c r="F11" s="88"/>
      <c r="G11" s="68"/>
    </row>
    <row r="12" spans="2:13" ht="15.75" x14ac:dyDescent="0.3">
      <c r="B12" s="383"/>
      <c r="C12" s="54" t="s">
        <v>313</v>
      </c>
      <c r="F12" s="53"/>
      <c r="G12" s="53"/>
      <c r="M12" s="84"/>
    </row>
    <row r="13" spans="2:13" x14ac:dyDescent="0.25">
      <c r="B13" s="383"/>
      <c r="C13" s="67"/>
      <c r="D13" s="60"/>
      <c r="E13" s="60"/>
      <c r="F13" s="61"/>
      <c r="G13" s="61"/>
    </row>
    <row r="14" spans="2:13" x14ac:dyDescent="0.25">
      <c r="B14" s="383"/>
      <c r="C14" s="386" t="s">
        <v>85</v>
      </c>
      <c r="D14" s="387"/>
      <c r="E14" s="387"/>
      <c r="F14" s="387"/>
      <c r="G14" s="133"/>
    </row>
    <row r="15" spans="2:13" ht="15.75" customHeight="1" x14ac:dyDescent="0.3">
      <c r="B15" s="384"/>
      <c r="C15" s="58" t="s">
        <v>154</v>
      </c>
      <c r="D15" s="48"/>
      <c r="E15" s="48"/>
      <c r="F15" s="48"/>
      <c r="G15" s="49"/>
    </row>
    <row r="16" spans="2:13" ht="15" customHeight="1" x14ac:dyDescent="0.3">
      <c r="B16" s="385"/>
      <c r="C16" s="54" t="s">
        <v>155</v>
      </c>
      <c r="G16" s="53"/>
    </row>
    <row r="17" spans="2:10" ht="15" customHeight="1" x14ac:dyDescent="0.3">
      <c r="B17" s="385"/>
      <c r="C17" s="59" t="s">
        <v>156</v>
      </c>
      <c r="D17" s="60"/>
      <c r="E17" s="60"/>
      <c r="F17" s="60"/>
      <c r="G17" s="61"/>
    </row>
    <row r="18" spans="2:10" ht="15" customHeight="1" x14ac:dyDescent="0.25">
      <c r="B18" s="134" t="s">
        <v>86</v>
      </c>
      <c r="C18" s="135"/>
      <c r="D18" s="135"/>
      <c r="E18" s="135"/>
      <c r="F18" s="135"/>
      <c r="G18" s="136"/>
    </row>
    <row r="19" spans="2:10" ht="15.75" customHeight="1" x14ac:dyDescent="0.25">
      <c r="B19" s="137"/>
      <c r="C19" s="138"/>
      <c r="D19" s="138"/>
      <c r="E19" s="138"/>
      <c r="F19" s="138"/>
      <c r="G19" s="139"/>
      <c r="J19" s="62"/>
    </row>
    <row r="20" spans="2:10" ht="15" customHeight="1" x14ac:dyDescent="0.25">
      <c r="B20" s="150" t="s">
        <v>134</v>
      </c>
      <c r="C20" s="151"/>
      <c r="D20" s="151"/>
      <c r="E20" s="151"/>
      <c r="F20" s="154">
        <v>4.2</v>
      </c>
      <c r="G20" s="156" t="s">
        <v>82</v>
      </c>
    </row>
    <row r="21" spans="2:10" ht="16.5" customHeight="1" x14ac:dyDescent="0.25">
      <c r="B21" s="152"/>
      <c r="C21" s="153"/>
      <c r="D21" s="153"/>
      <c r="E21" s="153"/>
      <c r="F21" s="155"/>
      <c r="G21" s="157"/>
    </row>
    <row r="22" spans="2:10" ht="15.75" customHeight="1" x14ac:dyDescent="0.3">
      <c r="B22" s="127" t="s">
        <v>148</v>
      </c>
      <c r="C22" s="63"/>
      <c r="D22" s="64"/>
      <c r="E22" s="64"/>
      <c r="F22" s="49"/>
      <c r="G22" s="50"/>
    </row>
    <row r="23" spans="2:10" x14ac:dyDescent="0.25">
      <c r="B23" s="128"/>
      <c r="C23" s="51" t="s">
        <v>114</v>
      </c>
      <c r="F23" s="53"/>
      <c r="G23" s="53"/>
    </row>
    <row r="24" spans="2:10" ht="15.75" x14ac:dyDescent="0.3">
      <c r="B24" s="128"/>
      <c r="C24" s="54" t="s">
        <v>302</v>
      </c>
      <c r="D24" s="52" t="s">
        <v>303</v>
      </c>
      <c r="F24" s="55"/>
      <c r="G24" s="53"/>
    </row>
    <row r="25" spans="2:10" ht="15.75" x14ac:dyDescent="0.3">
      <c r="B25" s="128"/>
      <c r="C25" s="54" t="s">
        <v>161</v>
      </c>
      <c r="D25" s="52" t="s">
        <v>171</v>
      </c>
      <c r="F25" s="53"/>
      <c r="G25" s="53"/>
    </row>
    <row r="26" spans="2:10" x14ac:dyDescent="0.25">
      <c r="B26" s="128"/>
      <c r="C26" s="51"/>
      <c r="F26" s="53"/>
      <c r="G26" s="53"/>
    </row>
    <row r="27" spans="2:10" ht="15.75" customHeight="1" x14ac:dyDescent="0.3">
      <c r="B27" s="128"/>
      <c r="C27" s="54"/>
      <c r="F27" s="53"/>
      <c r="G27" s="53"/>
    </row>
    <row r="28" spans="2:10" ht="15.75" x14ac:dyDescent="0.3">
      <c r="B28" s="128"/>
      <c r="C28" s="54"/>
      <c r="D28" s="52"/>
      <c r="E28" s="52"/>
      <c r="F28" s="53"/>
      <c r="G28" s="85"/>
    </row>
    <row r="29" spans="2:10" ht="15.75" x14ac:dyDescent="0.3">
      <c r="B29" s="128"/>
      <c r="C29" s="54"/>
      <c r="F29" s="53"/>
      <c r="G29" s="53"/>
    </row>
    <row r="30" spans="2:10" ht="15.75" customHeight="1" x14ac:dyDescent="0.3">
      <c r="B30" s="128"/>
      <c r="C30" s="59"/>
      <c r="D30" s="60"/>
      <c r="E30" s="60"/>
      <c r="F30" s="61"/>
      <c r="G30" s="61"/>
    </row>
    <row r="31" spans="2:10" ht="15.75" customHeight="1" x14ac:dyDescent="0.25">
      <c r="B31" s="128"/>
      <c r="C31" s="173" t="s">
        <v>85</v>
      </c>
      <c r="D31" s="174"/>
      <c r="E31" s="174"/>
      <c r="F31" s="174"/>
      <c r="G31" s="133"/>
    </row>
    <row r="32" spans="2:10" ht="15.75" customHeight="1" x14ac:dyDescent="0.3">
      <c r="B32" s="167"/>
      <c r="C32" s="58" t="s">
        <v>139</v>
      </c>
      <c r="D32" s="48"/>
      <c r="E32" s="48"/>
      <c r="F32" s="49"/>
      <c r="G32" s="49"/>
    </row>
    <row r="33" spans="2:7" ht="15.75" customHeight="1" x14ac:dyDescent="0.3">
      <c r="B33" s="167"/>
      <c r="C33" s="54" t="s">
        <v>182</v>
      </c>
      <c r="F33" s="53"/>
      <c r="G33" s="55"/>
    </row>
    <row r="34" spans="2:7" ht="15.75" x14ac:dyDescent="0.3">
      <c r="B34" s="168"/>
      <c r="C34" s="54"/>
      <c r="F34" s="53"/>
      <c r="G34" s="53"/>
    </row>
    <row r="35" spans="2:7" ht="15.75" customHeight="1" x14ac:dyDescent="0.3">
      <c r="B35" s="169"/>
      <c r="C35" s="59"/>
      <c r="D35" s="60"/>
      <c r="E35" s="60"/>
      <c r="F35" s="61"/>
      <c r="G35" s="61"/>
    </row>
    <row r="36" spans="2:7" ht="15.75" customHeight="1" x14ac:dyDescent="0.25">
      <c r="B36" s="161" t="s">
        <v>87</v>
      </c>
      <c r="C36" s="162"/>
      <c r="D36" s="162"/>
      <c r="E36" s="161" t="s">
        <v>88</v>
      </c>
      <c r="F36" s="162"/>
      <c r="G36" s="165"/>
    </row>
    <row r="37" spans="2:7" ht="15.75" customHeight="1" x14ac:dyDescent="0.25">
      <c r="B37" s="163"/>
      <c r="C37" s="164"/>
      <c r="D37" s="164"/>
      <c r="E37" s="163"/>
      <c r="F37" s="164"/>
      <c r="G37" s="166"/>
    </row>
    <row r="38" spans="2:7" ht="15.75" customHeight="1" x14ac:dyDescent="0.25">
      <c r="B38" s="46"/>
      <c r="C38" s="64"/>
      <c r="D38" s="65"/>
      <c r="E38" s="46"/>
      <c r="F38" s="64"/>
      <c r="G38" s="65"/>
    </row>
    <row r="39" spans="2:7" ht="15.75" customHeight="1" x14ac:dyDescent="0.25">
      <c r="B39" s="66"/>
      <c r="D39" s="53"/>
      <c r="E39" s="66"/>
      <c r="G39" s="53"/>
    </row>
    <row r="40" spans="2:7" ht="15.75" customHeight="1" x14ac:dyDescent="0.25">
      <c r="B40" s="66"/>
      <c r="D40" s="53"/>
      <c r="E40" s="66"/>
      <c r="G40" s="53"/>
    </row>
    <row r="41" spans="2:7" ht="15.75" customHeight="1" x14ac:dyDescent="0.25">
      <c r="B41" s="66"/>
      <c r="D41" s="53"/>
      <c r="E41" s="66"/>
      <c r="G41" s="53"/>
    </row>
    <row r="42" spans="2:7" ht="15.75" customHeight="1" x14ac:dyDescent="0.25">
      <c r="B42" s="66"/>
      <c r="D42" s="53"/>
      <c r="E42" s="66"/>
      <c r="G42" s="53"/>
    </row>
    <row r="43" spans="2:7" ht="15.75" customHeight="1" x14ac:dyDescent="0.25">
      <c r="B43" s="66"/>
      <c r="D43" s="53"/>
      <c r="E43" s="66"/>
      <c r="G43" s="53"/>
    </row>
    <row r="44" spans="2:7" ht="15.75" customHeight="1" x14ac:dyDescent="0.25">
      <c r="B44" s="66"/>
      <c r="D44" s="53"/>
      <c r="E44" s="66"/>
      <c r="G44" s="53"/>
    </row>
    <row r="45" spans="2:7" ht="15.75" customHeight="1" x14ac:dyDescent="0.25">
      <c r="B45" s="66"/>
      <c r="D45" s="53"/>
      <c r="E45" s="66"/>
      <c r="G45" s="53"/>
    </row>
    <row r="46" spans="2:7" ht="15.75" customHeight="1" x14ac:dyDescent="0.25">
      <c r="B46" s="66"/>
      <c r="D46" s="53"/>
      <c r="E46" s="66"/>
      <c r="G46" s="53"/>
    </row>
    <row r="47" spans="2:7" x14ac:dyDescent="0.25">
      <c r="B47" s="66"/>
      <c r="D47" s="53"/>
      <c r="E47" s="66"/>
      <c r="G47" s="53"/>
    </row>
    <row r="48" spans="2:7" x14ac:dyDescent="0.25">
      <c r="B48" s="67"/>
      <c r="C48" s="60"/>
      <c r="D48" s="61"/>
      <c r="E48" s="67"/>
      <c r="F48" s="60"/>
      <c r="G48" s="61"/>
    </row>
  </sheetData>
  <mergeCells count="16">
    <mergeCell ref="B22:B35"/>
    <mergeCell ref="C31:G31"/>
    <mergeCell ref="B36:D37"/>
    <mergeCell ref="E36:G37"/>
    <mergeCell ref="B5:B17"/>
    <mergeCell ref="C14:G14"/>
    <mergeCell ref="B18:G19"/>
    <mergeCell ref="B20:E21"/>
    <mergeCell ref="F20:F21"/>
    <mergeCell ref="G20:G21"/>
    <mergeCell ref="B1:D2"/>
    <mergeCell ref="E1:F2"/>
    <mergeCell ref="G1:G2"/>
    <mergeCell ref="B3:E4"/>
    <mergeCell ref="F3:F4"/>
    <mergeCell ref="G3:G4"/>
  </mergeCells>
  <pageMargins left="0.25" right="0.25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A0DB0-C513-42FA-86E0-B2C6B445C55E}">
  <dimension ref="B1:G48"/>
  <sheetViews>
    <sheetView zoomScaleNormal="100" workbookViewId="0">
      <selection activeCell="C24" sqref="C24:F24"/>
    </sheetView>
  </sheetViews>
  <sheetFormatPr baseColWidth="10" defaultColWidth="11.42578125" defaultRowHeight="15" x14ac:dyDescent="0.25"/>
  <cols>
    <col min="1" max="1" width="2.85546875" customWidth="1"/>
    <col min="2" max="2" width="10" customWidth="1"/>
    <col min="3" max="7" width="16.28515625" customWidth="1"/>
  </cols>
  <sheetData>
    <row r="1" spans="2:7" x14ac:dyDescent="0.25">
      <c r="B1" s="140" t="s">
        <v>81</v>
      </c>
      <c r="C1" s="141"/>
      <c r="D1" s="141"/>
      <c r="E1" s="144">
        <f>Kompetenzraster!Q21+3</f>
        <v>46486</v>
      </c>
      <c r="F1" s="145"/>
      <c r="G1" s="148">
        <v>9</v>
      </c>
    </row>
    <row r="2" spans="2:7" x14ac:dyDescent="0.25">
      <c r="B2" s="142"/>
      <c r="C2" s="143"/>
      <c r="D2" s="143"/>
      <c r="E2" s="146"/>
      <c r="F2" s="147"/>
      <c r="G2" s="149"/>
    </row>
    <row r="3" spans="2:7" ht="15.75" customHeight="1" x14ac:dyDescent="0.25">
      <c r="B3" s="374" t="s">
        <v>157</v>
      </c>
      <c r="C3" s="375"/>
      <c r="D3" s="375"/>
      <c r="E3" s="375"/>
      <c r="F3" s="378">
        <v>4.7</v>
      </c>
      <c r="G3" s="380" t="s">
        <v>82</v>
      </c>
    </row>
    <row r="4" spans="2:7" ht="14.25" customHeight="1" x14ac:dyDescent="0.25">
      <c r="B4" s="376"/>
      <c r="C4" s="388"/>
      <c r="D4" s="388"/>
      <c r="E4" s="388"/>
      <c r="F4" s="379"/>
      <c r="G4" s="381"/>
    </row>
    <row r="5" spans="2:7" ht="15.75" customHeight="1" x14ac:dyDescent="0.3">
      <c r="B5" s="382" t="s">
        <v>172</v>
      </c>
      <c r="C5" s="46"/>
      <c r="D5" s="47"/>
      <c r="E5" s="64"/>
      <c r="F5" s="49"/>
      <c r="G5" s="82"/>
    </row>
    <row r="6" spans="2:7" ht="15.75" x14ac:dyDescent="0.3">
      <c r="B6" s="383"/>
      <c r="C6" s="51" t="s">
        <v>167</v>
      </c>
      <c r="D6" s="52"/>
      <c r="E6" s="52"/>
      <c r="F6" s="53"/>
      <c r="G6" s="79"/>
    </row>
    <row r="7" spans="2:7" ht="15.75" x14ac:dyDescent="0.3">
      <c r="B7" s="383"/>
      <c r="C7" s="54" t="s">
        <v>174</v>
      </c>
      <c r="F7" s="55"/>
      <c r="G7" s="79"/>
    </row>
    <row r="8" spans="2:7" ht="15.75" x14ac:dyDescent="0.3">
      <c r="B8" s="383"/>
      <c r="C8" s="54" t="s">
        <v>168</v>
      </c>
      <c r="F8" s="53"/>
      <c r="G8" s="83"/>
    </row>
    <row r="9" spans="2:7" ht="15.75" x14ac:dyDescent="0.3">
      <c r="B9" s="383"/>
      <c r="C9" s="54" t="s">
        <v>169</v>
      </c>
      <c r="D9" s="76"/>
      <c r="E9" s="76"/>
      <c r="F9" s="88"/>
      <c r="G9" s="79"/>
    </row>
    <row r="10" spans="2:7" x14ac:dyDescent="0.25">
      <c r="B10" s="383"/>
      <c r="C10" s="66"/>
      <c r="F10" s="53"/>
      <c r="G10" s="79"/>
    </row>
    <row r="11" spans="2:7" x14ac:dyDescent="0.25">
      <c r="B11" s="383"/>
      <c r="C11" s="51" t="s">
        <v>170</v>
      </c>
      <c r="D11" s="76"/>
      <c r="E11" s="76"/>
      <c r="F11" s="88"/>
      <c r="G11" s="85" t="s">
        <v>132</v>
      </c>
    </row>
    <row r="12" spans="2:7" ht="15.75" x14ac:dyDescent="0.3">
      <c r="B12" s="383"/>
      <c r="C12" s="54" t="s">
        <v>280</v>
      </c>
      <c r="F12" s="53"/>
      <c r="G12" s="79"/>
    </row>
    <row r="13" spans="2:7" ht="15.75" x14ac:dyDescent="0.3">
      <c r="B13" s="383"/>
      <c r="C13" s="59"/>
      <c r="D13" s="60"/>
      <c r="E13" s="60"/>
      <c r="F13" s="61"/>
      <c r="G13" s="80"/>
    </row>
    <row r="14" spans="2:7" x14ac:dyDescent="0.25">
      <c r="B14" s="383"/>
      <c r="C14" s="386" t="s">
        <v>85</v>
      </c>
      <c r="D14" s="387"/>
      <c r="E14" s="387"/>
      <c r="F14" s="387"/>
      <c r="G14" s="133"/>
    </row>
    <row r="15" spans="2:7" ht="15.75" customHeight="1" x14ac:dyDescent="0.3">
      <c r="B15" s="384"/>
      <c r="C15" s="58" t="s">
        <v>154</v>
      </c>
      <c r="D15" s="48"/>
      <c r="E15" s="48"/>
      <c r="F15" s="48"/>
      <c r="G15" s="49"/>
    </row>
    <row r="16" spans="2:7" ht="15" customHeight="1" x14ac:dyDescent="0.3">
      <c r="B16" s="385"/>
      <c r="C16" s="54" t="s">
        <v>155</v>
      </c>
      <c r="G16" s="53"/>
    </row>
    <row r="17" spans="2:7" ht="15" customHeight="1" x14ac:dyDescent="0.3">
      <c r="B17" s="385"/>
      <c r="C17" s="59" t="s">
        <v>156</v>
      </c>
      <c r="D17" s="60"/>
      <c r="E17" s="60"/>
      <c r="F17" s="60"/>
      <c r="G17" s="61"/>
    </row>
    <row r="18" spans="2:7" ht="15" customHeight="1" x14ac:dyDescent="0.25">
      <c r="B18" s="134" t="s">
        <v>86</v>
      </c>
      <c r="C18" s="135"/>
      <c r="D18" s="135"/>
      <c r="E18" s="135"/>
      <c r="F18" s="135"/>
      <c r="G18" s="136"/>
    </row>
    <row r="19" spans="2:7" ht="15.75" customHeight="1" x14ac:dyDescent="0.25">
      <c r="B19" s="137"/>
      <c r="C19" s="138"/>
      <c r="D19" s="138"/>
      <c r="E19" s="138"/>
      <c r="F19" s="138"/>
      <c r="G19" s="139"/>
    </row>
    <row r="20" spans="2:7" ht="15" customHeight="1" x14ac:dyDescent="0.25">
      <c r="B20" s="150" t="s">
        <v>134</v>
      </c>
      <c r="C20" s="151"/>
      <c r="D20" s="151"/>
      <c r="E20" s="151"/>
      <c r="F20" s="154">
        <v>4.2</v>
      </c>
      <c r="G20" s="156" t="s">
        <v>82</v>
      </c>
    </row>
    <row r="21" spans="2:7" ht="16.5" customHeight="1" x14ac:dyDescent="0.25">
      <c r="B21" s="152"/>
      <c r="C21" s="153"/>
      <c r="D21" s="153"/>
      <c r="E21" s="153"/>
      <c r="F21" s="155"/>
      <c r="G21" s="157"/>
    </row>
    <row r="22" spans="2:7" ht="15.75" customHeight="1" x14ac:dyDescent="0.3">
      <c r="B22" s="127" t="s">
        <v>173</v>
      </c>
      <c r="C22" s="63"/>
      <c r="D22" s="64"/>
      <c r="E22" s="64"/>
      <c r="F22" s="49"/>
      <c r="G22" s="50"/>
    </row>
    <row r="23" spans="2:7" x14ac:dyDescent="0.25">
      <c r="B23" s="128"/>
      <c r="C23" s="51" t="s">
        <v>128</v>
      </c>
      <c r="F23" s="53"/>
      <c r="G23" s="53"/>
    </row>
    <row r="24" spans="2:7" ht="15.75" x14ac:dyDescent="0.3">
      <c r="B24" s="128"/>
      <c r="C24" s="54" t="s">
        <v>304</v>
      </c>
      <c r="F24" s="55"/>
      <c r="G24" s="53"/>
    </row>
    <row r="25" spans="2:7" ht="15.75" x14ac:dyDescent="0.3">
      <c r="B25" s="128"/>
      <c r="C25" s="54" t="s">
        <v>183</v>
      </c>
      <c r="D25" s="52" t="s">
        <v>184</v>
      </c>
      <c r="E25" s="89"/>
      <c r="F25" s="53"/>
      <c r="G25" s="53"/>
    </row>
    <row r="26" spans="2:7" ht="15.75" x14ac:dyDescent="0.3">
      <c r="B26" s="128"/>
      <c r="C26" s="54" t="s">
        <v>185</v>
      </c>
      <c r="D26" s="90"/>
      <c r="E26" s="89"/>
      <c r="F26" s="53"/>
      <c r="G26" s="53"/>
    </row>
    <row r="27" spans="2:7" ht="15.75" customHeight="1" x14ac:dyDescent="0.25">
      <c r="B27" s="128"/>
      <c r="C27" s="66"/>
      <c r="F27" s="53"/>
      <c r="G27" s="53"/>
    </row>
    <row r="28" spans="2:7" ht="15.75" x14ac:dyDescent="0.3">
      <c r="B28" s="128"/>
      <c r="C28" s="54"/>
      <c r="D28" s="52"/>
      <c r="E28" s="52"/>
      <c r="F28" s="53"/>
      <c r="G28" s="85"/>
    </row>
    <row r="29" spans="2:7" ht="15.75" x14ac:dyDescent="0.3">
      <c r="B29" s="128"/>
      <c r="C29" s="54"/>
      <c r="F29" s="53"/>
      <c r="G29" s="53"/>
    </row>
    <row r="30" spans="2:7" ht="15.75" customHeight="1" x14ac:dyDescent="0.3">
      <c r="B30" s="128"/>
      <c r="C30" s="59"/>
      <c r="D30" s="60"/>
      <c r="E30" s="60"/>
      <c r="F30" s="61"/>
      <c r="G30" s="61"/>
    </row>
    <row r="31" spans="2:7" ht="15.75" customHeight="1" x14ac:dyDescent="0.25">
      <c r="B31" s="128"/>
      <c r="C31" s="173" t="s">
        <v>85</v>
      </c>
      <c r="D31" s="174"/>
      <c r="E31" s="174"/>
      <c r="F31" s="174"/>
      <c r="G31" s="133"/>
    </row>
    <row r="32" spans="2:7" ht="15.75" customHeight="1" x14ac:dyDescent="0.3">
      <c r="B32" s="167"/>
      <c r="C32" s="58" t="s">
        <v>139</v>
      </c>
      <c r="D32" s="48"/>
      <c r="E32" s="48"/>
      <c r="F32" s="49"/>
      <c r="G32" s="49"/>
    </row>
    <row r="33" spans="2:7" ht="15.75" customHeight="1" x14ac:dyDescent="0.3">
      <c r="B33" s="167"/>
      <c r="C33" s="54" t="s">
        <v>182</v>
      </c>
      <c r="F33" s="53"/>
      <c r="G33" s="55"/>
    </row>
    <row r="34" spans="2:7" ht="15.75" x14ac:dyDescent="0.3">
      <c r="B34" s="168"/>
      <c r="C34" s="54"/>
      <c r="F34" s="53"/>
      <c r="G34" s="53"/>
    </row>
    <row r="35" spans="2:7" ht="15.75" customHeight="1" x14ac:dyDescent="0.3">
      <c r="B35" s="169"/>
      <c r="C35" s="59"/>
      <c r="D35" s="60"/>
      <c r="E35" s="60"/>
      <c r="F35" s="61"/>
      <c r="G35" s="61"/>
    </row>
    <row r="36" spans="2:7" ht="15.75" customHeight="1" x14ac:dyDescent="0.25">
      <c r="B36" s="161" t="s">
        <v>87</v>
      </c>
      <c r="C36" s="162"/>
      <c r="D36" s="162"/>
      <c r="E36" s="161" t="s">
        <v>88</v>
      </c>
      <c r="F36" s="162"/>
      <c r="G36" s="165"/>
    </row>
    <row r="37" spans="2:7" ht="15.75" customHeight="1" x14ac:dyDescent="0.25">
      <c r="B37" s="163"/>
      <c r="C37" s="164"/>
      <c r="D37" s="164"/>
      <c r="E37" s="163"/>
      <c r="F37" s="164"/>
      <c r="G37" s="166"/>
    </row>
    <row r="38" spans="2:7" ht="15.75" customHeight="1" x14ac:dyDescent="0.25">
      <c r="B38" s="46"/>
      <c r="C38" s="64"/>
      <c r="D38" s="65"/>
      <c r="E38" s="46"/>
      <c r="F38" s="64"/>
      <c r="G38" s="65"/>
    </row>
    <row r="39" spans="2:7" ht="15.75" customHeight="1" x14ac:dyDescent="0.25">
      <c r="B39" s="66"/>
      <c r="D39" s="53"/>
      <c r="E39" s="66"/>
      <c r="G39" s="53"/>
    </row>
    <row r="40" spans="2:7" ht="15.75" customHeight="1" x14ac:dyDescent="0.25">
      <c r="B40" s="66"/>
      <c r="D40" s="53"/>
      <c r="E40" s="66"/>
      <c r="G40" s="53"/>
    </row>
    <row r="41" spans="2:7" ht="15.75" customHeight="1" x14ac:dyDescent="0.25">
      <c r="B41" s="66"/>
      <c r="D41" s="53"/>
      <c r="E41" s="66"/>
      <c r="G41" s="53"/>
    </row>
    <row r="42" spans="2:7" ht="15.75" customHeight="1" x14ac:dyDescent="0.25">
      <c r="B42" s="66"/>
      <c r="D42" s="53"/>
      <c r="E42" s="66"/>
      <c r="G42" s="53"/>
    </row>
    <row r="43" spans="2:7" ht="15.75" customHeight="1" x14ac:dyDescent="0.25">
      <c r="B43" s="66"/>
      <c r="D43" s="53"/>
      <c r="E43" s="66"/>
      <c r="G43" s="53"/>
    </row>
    <row r="44" spans="2:7" ht="15.75" customHeight="1" x14ac:dyDescent="0.25">
      <c r="B44" s="66"/>
      <c r="D44" s="53"/>
      <c r="E44" s="66"/>
      <c r="G44" s="53"/>
    </row>
    <row r="45" spans="2:7" ht="15.75" customHeight="1" x14ac:dyDescent="0.25">
      <c r="B45" s="66"/>
      <c r="D45" s="53"/>
      <c r="E45" s="66"/>
      <c r="G45" s="53"/>
    </row>
    <row r="46" spans="2:7" ht="15.75" customHeight="1" x14ac:dyDescent="0.25">
      <c r="B46" s="66"/>
      <c r="D46" s="53"/>
      <c r="E46" s="66"/>
      <c r="G46" s="53"/>
    </row>
    <row r="47" spans="2:7" x14ac:dyDescent="0.25">
      <c r="B47" s="66"/>
      <c r="D47" s="53"/>
      <c r="E47" s="66"/>
      <c r="G47" s="53"/>
    </row>
    <row r="48" spans="2:7" x14ac:dyDescent="0.25">
      <c r="B48" s="67"/>
      <c r="C48" s="60"/>
      <c r="D48" s="61"/>
      <c r="E48" s="67"/>
      <c r="F48" s="60"/>
      <c r="G48" s="61"/>
    </row>
  </sheetData>
  <mergeCells count="16">
    <mergeCell ref="B22:B35"/>
    <mergeCell ref="C31:G31"/>
    <mergeCell ref="B36:D37"/>
    <mergeCell ref="E36:G37"/>
    <mergeCell ref="B5:B17"/>
    <mergeCell ref="C14:G14"/>
    <mergeCell ref="B18:G19"/>
    <mergeCell ref="B20:E21"/>
    <mergeCell ref="F20:F21"/>
    <mergeCell ref="G20:G21"/>
    <mergeCell ref="B1:D2"/>
    <mergeCell ref="E1:F2"/>
    <mergeCell ref="G1:G2"/>
    <mergeCell ref="B3:E4"/>
    <mergeCell ref="F3:F4"/>
    <mergeCell ref="G3:G4"/>
  </mergeCells>
  <pageMargins left="0.25" right="0.25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5E8E0-8DE3-4CFA-BC48-32D5A7E00738}">
  <dimension ref="B1:G48"/>
  <sheetViews>
    <sheetView topLeftCell="A9" zoomScale="150" zoomScaleNormal="150" workbookViewId="0">
      <selection activeCell="C24" sqref="C24:F25"/>
    </sheetView>
  </sheetViews>
  <sheetFormatPr baseColWidth="10" defaultColWidth="11.42578125" defaultRowHeight="15" x14ac:dyDescent="0.25"/>
  <cols>
    <col min="1" max="1" width="2.85546875" customWidth="1"/>
    <col min="2" max="2" width="10" customWidth="1"/>
    <col min="3" max="7" width="16.28515625" customWidth="1"/>
  </cols>
  <sheetData>
    <row r="1" spans="2:7" x14ac:dyDescent="0.25">
      <c r="B1" s="140" t="s">
        <v>81</v>
      </c>
      <c r="C1" s="141"/>
      <c r="D1" s="141"/>
      <c r="E1" s="144">
        <f>Kompetenzraster!Q23</f>
        <v>46504</v>
      </c>
      <c r="F1" s="145"/>
      <c r="G1" s="148">
        <v>10</v>
      </c>
    </row>
    <row r="2" spans="2:7" x14ac:dyDescent="0.25">
      <c r="B2" s="142"/>
      <c r="C2" s="143"/>
      <c r="D2" s="143"/>
      <c r="E2" s="146"/>
      <c r="F2" s="147"/>
      <c r="G2" s="149"/>
    </row>
    <row r="3" spans="2:7" ht="15.75" customHeight="1" x14ac:dyDescent="0.25">
      <c r="B3" s="389" t="s">
        <v>186</v>
      </c>
      <c r="C3" s="390"/>
      <c r="D3" s="390"/>
      <c r="E3" s="390"/>
      <c r="F3" s="393">
        <v>4.8</v>
      </c>
      <c r="G3" s="395" t="s">
        <v>82</v>
      </c>
    </row>
    <row r="4" spans="2:7" ht="14.25" customHeight="1" x14ac:dyDescent="0.25">
      <c r="B4" s="391"/>
      <c r="C4" s="392"/>
      <c r="D4" s="392"/>
      <c r="E4" s="392"/>
      <c r="F4" s="394"/>
      <c r="G4" s="396"/>
    </row>
    <row r="5" spans="2:7" ht="15.75" customHeight="1" x14ac:dyDescent="0.3">
      <c r="B5" s="397" t="s">
        <v>172</v>
      </c>
      <c r="C5" s="86" t="s">
        <v>175</v>
      </c>
      <c r="D5" s="87"/>
      <c r="E5" s="87"/>
      <c r="F5" s="126" t="s">
        <v>143</v>
      </c>
      <c r="G5" s="82"/>
    </row>
    <row r="6" spans="2:7" ht="15.75" x14ac:dyDescent="0.3">
      <c r="B6" s="398"/>
      <c r="C6" s="66"/>
      <c r="D6" s="52"/>
      <c r="E6" s="52"/>
      <c r="F6" s="53"/>
      <c r="G6" s="79"/>
    </row>
    <row r="7" spans="2:7" ht="15.75" x14ac:dyDescent="0.3">
      <c r="B7" s="398"/>
      <c r="C7" s="51" t="s">
        <v>176</v>
      </c>
      <c r="F7" s="55"/>
      <c r="G7" s="79"/>
    </row>
    <row r="8" spans="2:7" ht="15.75" x14ac:dyDescent="0.3">
      <c r="B8" s="398"/>
      <c r="C8" s="54" t="s">
        <v>177</v>
      </c>
      <c r="F8" s="53"/>
      <c r="G8" s="83"/>
    </row>
    <row r="9" spans="2:7" ht="15.75" x14ac:dyDescent="0.3">
      <c r="B9" s="398"/>
      <c r="C9" s="54" t="s">
        <v>178</v>
      </c>
      <c r="D9" s="76"/>
      <c r="E9" s="76"/>
      <c r="F9" s="88"/>
      <c r="G9" s="79"/>
    </row>
    <row r="10" spans="2:7" ht="15.75" x14ac:dyDescent="0.3">
      <c r="B10" s="398"/>
      <c r="C10" s="54"/>
      <c r="F10" s="53"/>
      <c r="G10" s="79"/>
    </row>
    <row r="11" spans="2:7" x14ac:dyDescent="0.25">
      <c r="B11" s="398"/>
      <c r="C11" s="51"/>
      <c r="D11" s="76"/>
      <c r="E11" s="76"/>
      <c r="F11" s="88"/>
      <c r="G11" s="85"/>
    </row>
    <row r="12" spans="2:7" ht="15.75" x14ac:dyDescent="0.3">
      <c r="B12" s="398"/>
      <c r="C12" s="54"/>
      <c r="F12" s="53"/>
      <c r="G12" s="79"/>
    </row>
    <row r="13" spans="2:7" ht="15.75" x14ac:dyDescent="0.3">
      <c r="B13" s="398"/>
      <c r="C13" s="59"/>
      <c r="D13" s="60"/>
      <c r="E13" s="60"/>
      <c r="F13" s="61"/>
      <c r="G13" s="80"/>
    </row>
    <row r="14" spans="2:7" x14ac:dyDescent="0.25">
      <c r="B14" s="398"/>
      <c r="C14" s="386" t="s">
        <v>85</v>
      </c>
      <c r="D14" s="387"/>
      <c r="E14" s="387"/>
      <c r="F14" s="387"/>
      <c r="G14" s="133"/>
    </row>
    <row r="15" spans="2:7" ht="15.75" customHeight="1" x14ac:dyDescent="0.3">
      <c r="B15" s="399"/>
      <c r="C15" s="58" t="s">
        <v>179</v>
      </c>
      <c r="D15" s="48"/>
      <c r="E15" s="48"/>
      <c r="F15" s="48"/>
      <c r="G15" s="49"/>
    </row>
    <row r="16" spans="2:7" ht="15" customHeight="1" x14ac:dyDescent="0.3">
      <c r="B16" s="400"/>
      <c r="C16" s="54" t="s">
        <v>180</v>
      </c>
      <c r="G16" s="53"/>
    </row>
    <row r="17" spans="2:7" ht="15" customHeight="1" x14ac:dyDescent="0.3">
      <c r="B17" s="400"/>
      <c r="C17" s="59"/>
      <c r="D17" s="60"/>
      <c r="E17" s="60"/>
      <c r="F17" s="60"/>
      <c r="G17" s="61"/>
    </row>
    <row r="18" spans="2:7" ht="15" customHeight="1" x14ac:dyDescent="0.25">
      <c r="B18" s="134" t="s">
        <v>86</v>
      </c>
      <c r="C18" s="135"/>
      <c r="D18" s="135"/>
      <c r="E18" s="135"/>
      <c r="F18" s="135"/>
      <c r="G18" s="136"/>
    </row>
    <row r="19" spans="2:7" ht="15.75" customHeight="1" x14ac:dyDescent="0.25">
      <c r="B19" s="137"/>
      <c r="C19" s="138"/>
      <c r="D19" s="138"/>
      <c r="E19" s="138"/>
      <c r="F19" s="138"/>
      <c r="G19" s="139"/>
    </row>
    <row r="20" spans="2:7" ht="15" customHeight="1" x14ac:dyDescent="0.25">
      <c r="B20" s="150" t="s">
        <v>134</v>
      </c>
      <c r="C20" s="151"/>
      <c r="D20" s="151"/>
      <c r="E20" s="151"/>
      <c r="F20" s="154">
        <v>4.2</v>
      </c>
      <c r="G20" s="156" t="s">
        <v>82</v>
      </c>
    </row>
    <row r="21" spans="2:7" ht="16.5" customHeight="1" x14ac:dyDescent="0.25">
      <c r="B21" s="152"/>
      <c r="C21" s="153"/>
      <c r="D21" s="153"/>
      <c r="E21" s="153"/>
      <c r="F21" s="155"/>
      <c r="G21" s="157"/>
    </row>
    <row r="22" spans="2:7" ht="15.75" customHeight="1" x14ac:dyDescent="0.3">
      <c r="B22" s="127" t="s">
        <v>173</v>
      </c>
      <c r="C22" s="63"/>
      <c r="D22" s="64"/>
      <c r="E22" s="64"/>
      <c r="F22" s="49"/>
      <c r="G22" s="50"/>
    </row>
    <row r="23" spans="2:7" x14ac:dyDescent="0.25">
      <c r="B23" s="128"/>
      <c r="C23" s="51" t="s">
        <v>114</v>
      </c>
      <c r="F23" s="53"/>
      <c r="G23" s="53"/>
    </row>
    <row r="24" spans="2:7" ht="15.75" x14ac:dyDescent="0.3">
      <c r="B24" s="128"/>
      <c r="C24" s="54" t="s">
        <v>183</v>
      </c>
      <c r="D24" s="52" t="s">
        <v>184</v>
      </c>
      <c r="E24" s="89"/>
      <c r="F24" s="55"/>
      <c r="G24" s="53"/>
    </row>
    <row r="25" spans="2:7" ht="15.75" x14ac:dyDescent="0.3">
      <c r="B25" s="128"/>
      <c r="C25" s="54" t="s">
        <v>185</v>
      </c>
      <c r="D25" s="90"/>
      <c r="E25" s="89"/>
      <c r="F25" s="53"/>
      <c r="G25" s="53"/>
    </row>
    <row r="26" spans="2:7" ht="15.75" x14ac:dyDescent="0.3">
      <c r="B26" s="128"/>
      <c r="C26" s="66"/>
      <c r="D26" s="52"/>
      <c r="E26" s="89"/>
      <c r="F26" s="53"/>
      <c r="G26" s="53"/>
    </row>
    <row r="27" spans="2:7" ht="15.75" customHeight="1" x14ac:dyDescent="0.3">
      <c r="B27" s="128"/>
      <c r="C27" s="54"/>
      <c r="F27" s="53"/>
      <c r="G27" s="53"/>
    </row>
    <row r="28" spans="2:7" ht="15.75" x14ac:dyDescent="0.3">
      <c r="B28" s="128"/>
      <c r="C28" s="54"/>
      <c r="D28" s="52"/>
      <c r="E28" s="52"/>
      <c r="F28" s="53"/>
      <c r="G28" s="85" t="s">
        <v>132</v>
      </c>
    </row>
    <row r="29" spans="2:7" ht="15.75" x14ac:dyDescent="0.3">
      <c r="B29" s="128"/>
      <c r="C29" s="54"/>
      <c r="F29" s="53"/>
      <c r="G29" s="53"/>
    </row>
    <row r="30" spans="2:7" ht="15.75" customHeight="1" x14ac:dyDescent="0.3">
      <c r="B30" s="128"/>
      <c r="C30" s="59"/>
      <c r="D30" s="60"/>
      <c r="E30" s="60"/>
      <c r="F30" s="61"/>
      <c r="G30" s="61"/>
    </row>
    <row r="31" spans="2:7" ht="15.75" customHeight="1" x14ac:dyDescent="0.25">
      <c r="B31" s="128"/>
      <c r="C31" s="173" t="s">
        <v>85</v>
      </c>
      <c r="D31" s="174"/>
      <c r="E31" s="174"/>
      <c r="F31" s="174"/>
      <c r="G31" s="133"/>
    </row>
    <row r="32" spans="2:7" ht="15.75" customHeight="1" x14ac:dyDescent="0.3">
      <c r="B32" s="167"/>
      <c r="C32" s="58" t="s">
        <v>139</v>
      </c>
      <c r="D32" s="48"/>
      <c r="E32" s="48"/>
      <c r="F32" s="49"/>
      <c r="G32" s="49"/>
    </row>
    <row r="33" spans="2:7" ht="15.75" customHeight="1" x14ac:dyDescent="0.3">
      <c r="B33" s="167"/>
      <c r="C33" s="54" t="s">
        <v>181</v>
      </c>
      <c r="F33" s="53"/>
      <c r="G33" s="55"/>
    </row>
    <row r="34" spans="2:7" ht="15.75" x14ac:dyDescent="0.3">
      <c r="B34" s="168"/>
      <c r="C34" s="54"/>
      <c r="F34" s="53"/>
      <c r="G34" s="53"/>
    </row>
    <row r="35" spans="2:7" ht="15.75" customHeight="1" x14ac:dyDescent="0.3">
      <c r="B35" s="169"/>
      <c r="C35" s="59"/>
      <c r="D35" s="60"/>
      <c r="E35" s="60"/>
      <c r="F35" s="61"/>
      <c r="G35" s="61"/>
    </row>
    <row r="36" spans="2:7" ht="15.75" customHeight="1" x14ac:dyDescent="0.25">
      <c r="B36" s="161" t="s">
        <v>87</v>
      </c>
      <c r="C36" s="162"/>
      <c r="D36" s="162"/>
      <c r="E36" s="161" t="s">
        <v>88</v>
      </c>
      <c r="F36" s="162"/>
      <c r="G36" s="165"/>
    </row>
    <row r="37" spans="2:7" ht="15.75" customHeight="1" x14ac:dyDescent="0.25">
      <c r="B37" s="163"/>
      <c r="C37" s="164"/>
      <c r="D37" s="164"/>
      <c r="E37" s="163"/>
      <c r="F37" s="164"/>
      <c r="G37" s="166"/>
    </row>
    <row r="38" spans="2:7" ht="15.75" customHeight="1" x14ac:dyDescent="0.25">
      <c r="B38" s="46"/>
      <c r="C38" s="64"/>
      <c r="D38" s="65"/>
      <c r="E38" s="46"/>
      <c r="F38" s="64"/>
      <c r="G38" s="65"/>
    </row>
    <row r="39" spans="2:7" ht="15.75" customHeight="1" x14ac:dyDescent="0.25">
      <c r="B39" s="66"/>
      <c r="D39" s="53"/>
      <c r="E39" s="66"/>
      <c r="G39" s="53"/>
    </row>
    <row r="40" spans="2:7" ht="15.75" customHeight="1" x14ac:dyDescent="0.25">
      <c r="B40" s="66"/>
      <c r="D40" s="53"/>
      <c r="E40" s="66"/>
      <c r="G40" s="53"/>
    </row>
    <row r="41" spans="2:7" ht="15.75" customHeight="1" x14ac:dyDescent="0.25">
      <c r="B41" s="66"/>
      <c r="D41" s="53"/>
      <c r="E41" s="66"/>
      <c r="G41" s="53"/>
    </row>
    <row r="42" spans="2:7" ht="15.75" customHeight="1" x14ac:dyDescent="0.25">
      <c r="B42" s="66"/>
      <c r="D42" s="53"/>
      <c r="E42" s="66"/>
      <c r="G42" s="53"/>
    </row>
    <row r="43" spans="2:7" ht="15.75" customHeight="1" x14ac:dyDescent="0.25">
      <c r="B43" s="66"/>
      <c r="D43" s="53"/>
      <c r="E43" s="66"/>
      <c r="G43" s="53"/>
    </row>
    <row r="44" spans="2:7" ht="15.75" customHeight="1" x14ac:dyDescent="0.25">
      <c r="B44" s="66"/>
      <c r="D44" s="53"/>
      <c r="E44" s="66"/>
      <c r="G44" s="53"/>
    </row>
    <row r="45" spans="2:7" ht="15.75" customHeight="1" x14ac:dyDescent="0.25">
      <c r="B45" s="66"/>
      <c r="D45" s="53"/>
      <c r="E45" s="66"/>
      <c r="G45" s="53"/>
    </row>
    <row r="46" spans="2:7" ht="15.75" customHeight="1" x14ac:dyDescent="0.25">
      <c r="B46" s="66"/>
      <c r="D46" s="53"/>
      <c r="E46" s="66"/>
      <c r="G46" s="53"/>
    </row>
    <row r="47" spans="2:7" x14ac:dyDescent="0.25">
      <c r="B47" s="66"/>
      <c r="D47" s="53"/>
      <c r="E47" s="66"/>
      <c r="G47" s="53"/>
    </row>
    <row r="48" spans="2:7" x14ac:dyDescent="0.25">
      <c r="B48" s="67"/>
      <c r="C48" s="60"/>
      <c r="D48" s="61"/>
      <c r="E48" s="67"/>
      <c r="F48" s="60"/>
      <c r="G48" s="61"/>
    </row>
  </sheetData>
  <mergeCells count="16">
    <mergeCell ref="B22:B35"/>
    <mergeCell ref="C31:G31"/>
    <mergeCell ref="B36:D37"/>
    <mergeCell ref="E36:G37"/>
    <mergeCell ref="B5:B17"/>
    <mergeCell ref="C14:G14"/>
    <mergeCell ref="B18:G19"/>
    <mergeCell ref="B20:E21"/>
    <mergeCell ref="F20:F21"/>
    <mergeCell ref="G20:G21"/>
    <mergeCell ref="B1:D2"/>
    <mergeCell ref="E1:F2"/>
    <mergeCell ref="G1:G2"/>
    <mergeCell ref="B3:E4"/>
    <mergeCell ref="F3:F4"/>
    <mergeCell ref="G3:G4"/>
  </mergeCells>
  <pageMargins left="0.25" right="0.25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83283-22D3-43E8-B906-783C18045629}">
  <dimension ref="B1:G48"/>
  <sheetViews>
    <sheetView zoomScaleNormal="100" workbookViewId="0">
      <selection activeCell="C11" sqref="C11:F11"/>
    </sheetView>
  </sheetViews>
  <sheetFormatPr baseColWidth="10" defaultColWidth="11.42578125" defaultRowHeight="15" x14ac:dyDescent="0.25"/>
  <cols>
    <col min="1" max="1" width="2.85546875" customWidth="1"/>
    <col min="2" max="2" width="10" customWidth="1"/>
    <col min="3" max="7" width="16.28515625" customWidth="1"/>
  </cols>
  <sheetData>
    <row r="1" spans="2:7" x14ac:dyDescent="0.25">
      <c r="B1" s="140" t="s">
        <v>81</v>
      </c>
      <c r="C1" s="141"/>
      <c r="D1" s="141"/>
      <c r="E1" s="144">
        <f>Kompetenzraster!Q25</f>
        <v>46511</v>
      </c>
      <c r="F1" s="145"/>
      <c r="G1" s="148">
        <v>11</v>
      </c>
    </row>
    <row r="2" spans="2:7" x14ac:dyDescent="0.25">
      <c r="B2" s="142"/>
      <c r="C2" s="143"/>
      <c r="D2" s="143"/>
      <c r="E2" s="146"/>
      <c r="F2" s="147"/>
      <c r="G2" s="149"/>
    </row>
    <row r="3" spans="2:7" ht="15.75" customHeight="1" x14ac:dyDescent="0.25">
      <c r="B3" s="389" t="s">
        <v>186</v>
      </c>
      <c r="C3" s="390"/>
      <c r="D3" s="390"/>
      <c r="E3" s="390"/>
      <c r="F3" s="393">
        <v>4.8</v>
      </c>
      <c r="G3" s="395" t="s">
        <v>82</v>
      </c>
    </row>
    <row r="4" spans="2:7" ht="14.25" customHeight="1" x14ac:dyDescent="0.25">
      <c r="B4" s="391"/>
      <c r="C4" s="401"/>
      <c r="D4" s="401"/>
      <c r="E4" s="401"/>
      <c r="F4" s="394"/>
      <c r="G4" s="396"/>
    </row>
    <row r="5" spans="2:7" ht="15.75" customHeight="1" x14ac:dyDescent="0.3">
      <c r="B5" s="397" t="s">
        <v>172</v>
      </c>
      <c r="C5" s="58"/>
      <c r="D5" s="92"/>
      <c r="E5" s="92"/>
      <c r="F5" s="93"/>
      <c r="G5" s="50"/>
    </row>
    <row r="6" spans="2:7" ht="15.75" x14ac:dyDescent="0.3">
      <c r="B6" s="398"/>
      <c r="C6" s="51" t="s">
        <v>176</v>
      </c>
      <c r="D6" s="52"/>
      <c r="E6" s="52"/>
      <c r="F6" s="53"/>
      <c r="G6" s="53"/>
    </row>
    <row r="7" spans="2:7" ht="15.75" x14ac:dyDescent="0.3">
      <c r="B7" s="398"/>
      <c r="C7" s="54" t="s">
        <v>189</v>
      </c>
      <c r="F7" s="55"/>
      <c r="G7" s="53"/>
    </row>
    <row r="8" spans="2:7" ht="15.75" x14ac:dyDescent="0.3">
      <c r="B8" s="398"/>
      <c r="C8" s="54" t="s">
        <v>190</v>
      </c>
      <c r="F8" s="53"/>
      <c r="G8" s="55"/>
    </row>
    <row r="9" spans="2:7" x14ac:dyDescent="0.25">
      <c r="B9" s="398"/>
      <c r="C9" s="66"/>
      <c r="D9" s="76"/>
      <c r="E9" s="76"/>
      <c r="F9" s="88"/>
      <c r="G9" s="53"/>
    </row>
    <row r="10" spans="2:7" x14ac:dyDescent="0.25">
      <c r="B10" s="398"/>
      <c r="C10" s="51" t="s">
        <v>84</v>
      </c>
      <c r="F10" s="53"/>
      <c r="G10" s="53"/>
    </row>
    <row r="11" spans="2:7" ht="15.75" x14ac:dyDescent="0.3">
      <c r="B11" s="398"/>
      <c r="C11" s="54" t="s">
        <v>191</v>
      </c>
      <c r="D11" s="76"/>
      <c r="E11" s="76"/>
      <c r="F11" s="88"/>
      <c r="G11" s="68"/>
    </row>
    <row r="12" spans="2:7" ht="15.75" x14ac:dyDescent="0.3">
      <c r="B12" s="398"/>
      <c r="C12" s="54"/>
      <c r="F12" s="53"/>
      <c r="G12" s="53"/>
    </row>
    <row r="13" spans="2:7" ht="15.75" x14ac:dyDescent="0.3">
      <c r="B13" s="398"/>
      <c r="C13" s="59"/>
      <c r="D13" s="60"/>
      <c r="E13" s="60"/>
      <c r="F13" s="61"/>
      <c r="G13" s="61"/>
    </row>
    <row r="14" spans="2:7" x14ac:dyDescent="0.25">
      <c r="B14" s="398"/>
      <c r="C14" s="386" t="s">
        <v>85</v>
      </c>
      <c r="D14" s="387"/>
      <c r="E14" s="387"/>
      <c r="F14" s="387"/>
      <c r="G14" s="133"/>
    </row>
    <row r="15" spans="2:7" ht="15.75" customHeight="1" x14ac:dyDescent="0.3">
      <c r="B15" s="399"/>
      <c r="C15" s="58" t="s">
        <v>179</v>
      </c>
      <c r="D15" s="48"/>
      <c r="E15" s="48"/>
      <c r="F15" s="48"/>
      <c r="G15" s="49"/>
    </row>
    <row r="16" spans="2:7" ht="15" customHeight="1" x14ac:dyDescent="0.3">
      <c r="B16" s="400"/>
      <c r="C16" s="54" t="s">
        <v>180</v>
      </c>
      <c r="G16" s="53"/>
    </row>
    <row r="17" spans="2:7" ht="15" customHeight="1" x14ac:dyDescent="0.3">
      <c r="B17" s="400"/>
      <c r="C17" s="59"/>
      <c r="D17" s="60"/>
      <c r="E17" s="60"/>
      <c r="F17" s="60"/>
      <c r="G17" s="61"/>
    </row>
    <row r="18" spans="2:7" ht="15" customHeight="1" x14ac:dyDescent="0.25">
      <c r="B18" s="134" t="s">
        <v>86</v>
      </c>
      <c r="C18" s="135"/>
      <c r="D18" s="135"/>
      <c r="E18" s="135"/>
      <c r="F18" s="135"/>
      <c r="G18" s="136"/>
    </row>
    <row r="19" spans="2:7" ht="15.75" customHeight="1" x14ac:dyDescent="0.25">
      <c r="B19" s="137"/>
      <c r="C19" s="138"/>
      <c r="D19" s="138"/>
      <c r="E19" s="138"/>
      <c r="F19" s="138"/>
      <c r="G19" s="139"/>
    </row>
    <row r="20" spans="2:7" ht="15" customHeight="1" x14ac:dyDescent="0.25">
      <c r="B20" s="150" t="s">
        <v>134</v>
      </c>
      <c r="C20" s="151"/>
      <c r="D20" s="151"/>
      <c r="E20" s="151"/>
      <c r="F20" s="154">
        <v>4.2</v>
      </c>
      <c r="G20" s="156" t="s">
        <v>82</v>
      </c>
    </row>
    <row r="21" spans="2:7" ht="16.5" customHeight="1" x14ac:dyDescent="0.25">
      <c r="B21" s="152"/>
      <c r="C21" s="153"/>
      <c r="D21" s="153"/>
      <c r="E21" s="153"/>
      <c r="F21" s="155"/>
      <c r="G21" s="157"/>
    </row>
    <row r="22" spans="2:7" ht="15.75" customHeight="1" x14ac:dyDescent="0.3">
      <c r="B22" s="127" t="s">
        <v>173</v>
      </c>
      <c r="C22" s="63"/>
      <c r="D22" s="64"/>
      <c r="E22" s="64"/>
      <c r="F22" s="49"/>
      <c r="G22" s="50"/>
    </row>
    <row r="23" spans="2:7" ht="15.75" x14ac:dyDescent="0.3">
      <c r="B23" s="128"/>
      <c r="C23" s="54" t="s">
        <v>192</v>
      </c>
      <c r="F23" s="53"/>
      <c r="G23" s="53"/>
    </row>
    <row r="24" spans="2:7" ht="15.75" x14ac:dyDescent="0.3">
      <c r="B24" s="128"/>
      <c r="C24" s="54"/>
      <c r="D24" s="52"/>
      <c r="E24" s="89"/>
      <c r="F24" s="55"/>
      <c r="G24" s="53"/>
    </row>
    <row r="25" spans="2:7" ht="15.75" x14ac:dyDescent="0.3">
      <c r="B25" s="128"/>
      <c r="C25" s="86" t="s">
        <v>187</v>
      </c>
      <c r="D25" s="87"/>
      <c r="E25" s="87"/>
      <c r="F25" s="126" t="s">
        <v>188</v>
      </c>
      <c r="G25" s="53"/>
    </row>
    <row r="26" spans="2:7" ht="15.75" x14ac:dyDescent="0.3">
      <c r="B26" s="128"/>
      <c r="C26" s="66"/>
      <c r="D26" s="52"/>
      <c r="E26" s="89"/>
      <c r="F26" s="53"/>
      <c r="G26" s="53"/>
    </row>
    <row r="27" spans="2:7" ht="15.75" customHeight="1" x14ac:dyDescent="0.25">
      <c r="B27" s="128"/>
      <c r="C27" s="66"/>
      <c r="F27" s="53"/>
      <c r="G27" s="53"/>
    </row>
    <row r="28" spans="2:7" ht="15.75" x14ac:dyDescent="0.3">
      <c r="B28" s="128"/>
      <c r="C28" s="54"/>
      <c r="D28" s="52"/>
      <c r="E28" s="52"/>
      <c r="F28" s="53"/>
      <c r="G28" s="68"/>
    </row>
    <row r="29" spans="2:7" ht="15.75" x14ac:dyDescent="0.3">
      <c r="B29" s="128"/>
      <c r="C29" s="54"/>
      <c r="F29" s="53"/>
      <c r="G29" s="53"/>
    </row>
    <row r="30" spans="2:7" ht="15.75" customHeight="1" x14ac:dyDescent="0.3">
      <c r="B30" s="128"/>
      <c r="C30" s="59"/>
      <c r="D30" s="60"/>
      <c r="E30" s="60"/>
      <c r="F30" s="61"/>
      <c r="G30" s="61"/>
    </row>
    <row r="31" spans="2:7" ht="15.75" customHeight="1" x14ac:dyDescent="0.25">
      <c r="B31" s="128"/>
      <c r="C31" s="173" t="s">
        <v>85</v>
      </c>
      <c r="D31" s="174"/>
      <c r="E31" s="174"/>
      <c r="F31" s="174"/>
      <c r="G31" s="133"/>
    </row>
    <row r="32" spans="2:7" ht="15.75" customHeight="1" x14ac:dyDescent="0.3">
      <c r="B32" s="167"/>
      <c r="C32" s="58" t="s">
        <v>139</v>
      </c>
      <c r="D32" s="48"/>
      <c r="E32" s="48"/>
      <c r="F32" s="49"/>
      <c r="G32" s="49"/>
    </row>
    <row r="33" spans="2:7" ht="15.75" customHeight="1" x14ac:dyDescent="0.3">
      <c r="B33" s="167"/>
      <c r="C33" s="54" t="s">
        <v>181</v>
      </c>
      <c r="F33" s="53"/>
      <c r="G33" s="55"/>
    </row>
    <row r="34" spans="2:7" ht="15.75" x14ac:dyDescent="0.3">
      <c r="B34" s="168"/>
      <c r="C34" s="54"/>
      <c r="F34" s="53"/>
      <c r="G34" s="53"/>
    </row>
    <row r="35" spans="2:7" ht="15.75" customHeight="1" x14ac:dyDescent="0.3">
      <c r="B35" s="169"/>
      <c r="C35" s="59"/>
      <c r="D35" s="60"/>
      <c r="E35" s="60"/>
      <c r="F35" s="61"/>
      <c r="G35" s="61"/>
    </row>
    <row r="36" spans="2:7" ht="15.75" customHeight="1" x14ac:dyDescent="0.25">
      <c r="B36" s="161" t="s">
        <v>87</v>
      </c>
      <c r="C36" s="162"/>
      <c r="D36" s="162"/>
      <c r="E36" s="161" t="s">
        <v>88</v>
      </c>
      <c r="F36" s="162"/>
      <c r="G36" s="165"/>
    </row>
    <row r="37" spans="2:7" ht="15.75" customHeight="1" x14ac:dyDescent="0.25">
      <c r="B37" s="163"/>
      <c r="C37" s="164"/>
      <c r="D37" s="164"/>
      <c r="E37" s="163"/>
      <c r="F37" s="164"/>
      <c r="G37" s="166"/>
    </row>
    <row r="38" spans="2:7" ht="15.75" customHeight="1" x14ac:dyDescent="0.25">
      <c r="B38" s="46"/>
      <c r="C38" s="64"/>
      <c r="D38" s="65"/>
      <c r="E38" s="46"/>
      <c r="F38" s="64"/>
      <c r="G38" s="65"/>
    </row>
    <row r="39" spans="2:7" ht="15.75" customHeight="1" x14ac:dyDescent="0.25">
      <c r="B39" s="66"/>
      <c r="D39" s="53"/>
      <c r="E39" s="66"/>
      <c r="G39" s="53"/>
    </row>
    <row r="40" spans="2:7" ht="15.75" customHeight="1" x14ac:dyDescent="0.25">
      <c r="B40" s="66"/>
      <c r="D40" s="53"/>
      <c r="E40" s="66"/>
      <c r="G40" s="53"/>
    </row>
    <row r="41" spans="2:7" ht="15.75" customHeight="1" x14ac:dyDescent="0.25">
      <c r="B41" s="66"/>
      <c r="D41" s="53"/>
      <c r="E41" s="66"/>
      <c r="G41" s="53"/>
    </row>
    <row r="42" spans="2:7" ht="15.75" customHeight="1" x14ac:dyDescent="0.25">
      <c r="B42" s="66"/>
      <c r="D42" s="53"/>
      <c r="E42" s="66"/>
      <c r="G42" s="53"/>
    </row>
    <row r="43" spans="2:7" ht="15.75" customHeight="1" x14ac:dyDescent="0.25">
      <c r="B43" s="66"/>
      <c r="D43" s="53"/>
      <c r="E43" s="66"/>
      <c r="G43" s="53"/>
    </row>
    <row r="44" spans="2:7" ht="15.75" customHeight="1" x14ac:dyDescent="0.25">
      <c r="B44" s="66"/>
      <c r="D44" s="53"/>
      <c r="E44" s="66"/>
      <c r="G44" s="53"/>
    </row>
    <row r="45" spans="2:7" ht="15.75" customHeight="1" x14ac:dyDescent="0.25">
      <c r="B45" s="66"/>
      <c r="D45" s="53"/>
      <c r="E45" s="66"/>
      <c r="G45" s="53"/>
    </row>
    <row r="46" spans="2:7" ht="15.75" customHeight="1" x14ac:dyDescent="0.25">
      <c r="B46" s="66"/>
      <c r="D46" s="53"/>
      <c r="E46" s="66"/>
      <c r="G46" s="53"/>
    </row>
    <row r="47" spans="2:7" x14ac:dyDescent="0.25">
      <c r="B47" s="66"/>
      <c r="D47" s="53"/>
      <c r="E47" s="66"/>
      <c r="G47" s="53"/>
    </row>
    <row r="48" spans="2:7" x14ac:dyDescent="0.25">
      <c r="B48" s="67"/>
      <c r="C48" s="60"/>
      <c r="D48" s="61"/>
      <c r="E48" s="67"/>
      <c r="F48" s="60"/>
      <c r="G48" s="61"/>
    </row>
  </sheetData>
  <mergeCells count="16">
    <mergeCell ref="B1:D2"/>
    <mergeCell ref="E1:F2"/>
    <mergeCell ref="G1:G2"/>
    <mergeCell ref="B3:E4"/>
    <mergeCell ref="F3:F4"/>
    <mergeCell ref="G3:G4"/>
    <mergeCell ref="B22:B35"/>
    <mergeCell ref="C31:G31"/>
    <mergeCell ref="B36:D37"/>
    <mergeCell ref="E36:G37"/>
    <mergeCell ref="B5:B17"/>
    <mergeCell ref="C14:G14"/>
    <mergeCell ref="B18:G19"/>
    <mergeCell ref="B20:E21"/>
    <mergeCell ref="F20:F21"/>
    <mergeCell ref="G20:G21"/>
  </mergeCells>
  <pageMargins left="0.25" right="0.25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6AE48-6705-42AC-8B9D-DFBC101B9EC2}">
  <dimension ref="B1:G48"/>
  <sheetViews>
    <sheetView zoomScaleNormal="100" workbookViewId="0">
      <selection activeCell="F26" sqref="C23:F26"/>
    </sheetView>
  </sheetViews>
  <sheetFormatPr baseColWidth="10" defaultColWidth="11.42578125" defaultRowHeight="15" x14ac:dyDescent="0.25"/>
  <cols>
    <col min="1" max="1" width="2.85546875" customWidth="1"/>
    <col min="2" max="2" width="10" customWidth="1"/>
    <col min="3" max="7" width="16.28515625" customWidth="1"/>
  </cols>
  <sheetData>
    <row r="1" spans="2:7" x14ac:dyDescent="0.25">
      <c r="B1" s="140" t="s">
        <v>81</v>
      </c>
      <c r="C1" s="141"/>
      <c r="D1" s="141"/>
      <c r="E1" s="144">
        <f>Kompetenzraster!Q27</f>
        <v>46518</v>
      </c>
      <c r="F1" s="145"/>
      <c r="G1" s="148">
        <v>12</v>
      </c>
    </row>
    <row r="2" spans="2:7" x14ac:dyDescent="0.25">
      <c r="B2" s="142"/>
      <c r="C2" s="143"/>
      <c r="D2" s="143"/>
      <c r="E2" s="146"/>
      <c r="F2" s="147"/>
      <c r="G2" s="149"/>
    </row>
    <row r="3" spans="2:7" ht="15.75" customHeight="1" x14ac:dyDescent="0.25">
      <c r="B3" s="389" t="s">
        <v>186</v>
      </c>
      <c r="C3" s="390"/>
      <c r="D3" s="390"/>
      <c r="E3" s="390"/>
      <c r="F3" s="393">
        <v>4.8</v>
      </c>
      <c r="G3" s="395" t="s">
        <v>82</v>
      </c>
    </row>
    <row r="4" spans="2:7" ht="14.25" customHeight="1" x14ac:dyDescent="0.25">
      <c r="B4" s="391"/>
      <c r="C4" s="401"/>
      <c r="D4" s="401"/>
      <c r="E4" s="401"/>
      <c r="F4" s="394"/>
      <c r="G4" s="396"/>
    </row>
    <row r="5" spans="2:7" ht="15.75" customHeight="1" x14ac:dyDescent="0.3">
      <c r="B5" s="397" t="s">
        <v>172</v>
      </c>
      <c r="C5" s="58"/>
      <c r="D5" s="92"/>
      <c r="E5" s="92"/>
      <c r="F5" s="93"/>
      <c r="G5" s="50"/>
    </row>
    <row r="6" spans="2:7" ht="15.75" x14ac:dyDescent="0.3">
      <c r="B6" s="398"/>
      <c r="C6" s="51" t="s">
        <v>84</v>
      </c>
      <c r="D6" s="52"/>
      <c r="E6" s="52"/>
      <c r="F6" s="53"/>
      <c r="G6" s="53"/>
    </row>
    <row r="7" spans="2:7" ht="15.75" x14ac:dyDescent="0.3">
      <c r="B7" s="398"/>
      <c r="C7" s="54" t="s">
        <v>314</v>
      </c>
      <c r="F7" s="55"/>
      <c r="G7" s="53"/>
    </row>
    <row r="8" spans="2:7" ht="15.75" x14ac:dyDescent="0.3">
      <c r="B8" s="398"/>
      <c r="C8" s="54" t="s">
        <v>203</v>
      </c>
      <c r="F8" s="53"/>
      <c r="G8" s="55"/>
    </row>
    <row r="9" spans="2:7" ht="15.75" x14ac:dyDescent="0.3">
      <c r="B9" s="398"/>
      <c r="C9" s="54"/>
      <c r="D9" s="76"/>
      <c r="E9" s="76"/>
      <c r="F9" s="88"/>
      <c r="G9" s="53"/>
    </row>
    <row r="10" spans="2:7" ht="15.75" x14ac:dyDescent="0.3">
      <c r="B10" s="398"/>
      <c r="C10" s="54"/>
      <c r="F10" s="53"/>
      <c r="G10" s="53"/>
    </row>
    <row r="11" spans="2:7" ht="15.75" x14ac:dyDescent="0.3">
      <c r="B11" s="398"/>
      <c r="C11" s="54"/>
      <c r="D11" s="76"/>
      <c r="E11" s="76"/>
      <c r="F11" s="88"/>
      <c r="G11" s="85"/>
    </row>
    <row r="12" spans="2:7" ht="15.75" x14ac:dyDescent="0.3">
      <c r="B12" s="398"/>
      <c r="C12" s="54"/>
      <c r="F12" s="53"/>
      <c r="G12" s="79"/>
    </row>
    <row r="13" spans="2:7" ht="15.75" x14ac:dyDescent="0.3">
      <c r="B13" s="398"/>
      <c r="C13" s="59"/>
      <c r="D13" s="60"/>
      <c r="E13" s="60"/>
      <c r="F13" s="61"/>
      <c r="G13" s="80"/>
    </row>
    <row r="14" spans="2:7" x14ac:dyDescent="0.25">
      <c r="B14" s="398"/>
      <c r="C14" s="386" t="s">
        <v>85</v>
      </c>
      <c r="D14" s="387"/>
      <c r="E14" s="387"/>
      <c r="F14" s="387"/>
      <c r="G14" s="133"/>
    </row>
    <row r="15" spans="2:7" ht="15.75" customHeight="1" x14ac:dyDescent="0.3">
      <c r="B15" s="399"/>
      <c r="C15" s="58" t="s">
        <v>179</v>
      </c>
      <c r="D15" s="48"/>
      <c r="E15" s="48"/>
      <c r="F15" s="48"/>
      <c r="G15" s="49"/>
    </row>
    <row r="16" spans="2:7" ht="15" customHeight="1" x14ac:dyDescent="0.3">
      <c r="B16" s="400"/>
      <c r="C16" s="54" t="s">
        <v>180</v>
      </c>
      <c r="G16" s="53"/>
    </row>
    <row r="17" spans="2:7" ht="15" customHeight="1" x14ac:dyDescent="0.3">
      <c r="B17" s="400"/>
      <c r="C17" s="59"/>
      <c r="D17" s="60"/>
      <c r="E17" s="60"/>
      <c r="F17" s="60"/>
      <c r="G17" s="61"/>
    </row>
    <row r="18" spans="2:7" ht="15" customHeight="1" x14ac:dyDescent="0.25">
      <c r="B18" s="134" t="s">
        <v>86</v>
      </c>
      <c r="C18" s="135"/>
      <c r="D18" s="135"/>
      <c r="E18" s="135"/>
      <c r="F18" s="135"/>
      <c r="G18" s="136"/>
    </row>
    <row r="19" spans="2:7" ht="15.75" customHeight="1" x14ac:dyDescent="0.25">
      <c r="B19" s="137"/>
      <c r="C19" s="138"/>
      <c r="D19" s="138"/>
      <c r="E19" s="138"/>
      <c r="F19" s="138"/>
      <c r="G19" s="139"/>
    </row>
    <row r="20" spans="2:7" ht="15" customHeight="1" x14ac:dyDescent="0.25">
      <c r="B20" s="150" t="s">
        <v>193</v>
      </c>
      <c r="C20" s="151"/>
      <c r="D20" s="151"/>
      <c r="E20" s="151"/>
      <c r="F20" s="154">
        <v>4.3</v>
      </c>
      <c r="G20" s="156" t="s">
        <v>82</v>
      </c>
    </row>
    <row r="21" spans="2:7" ht="16.5" customHeight="1" x14ac:dyDescent="0.25">
      <c r="B21" s="152"/>
      <c r="C21" s="153"/>
      <c r="D21" s="153"/>
      <c r="E21" s="153"/>
      <c r="F21" s="155"/>
      <c r="G21" s="157"/>
    </row>
    <row r="22" spans="2:7" ht="15.75" customHeight="1" x14ac:dyDescent="0.3">
      <c r="B22" s="127" t="s">
        <v>173</v>
      </c>
      <c r="C22" s="63"/>
      <c r="D22" s="64"/>
      <c r="E22" s="64"/>
      <c r="F22" s="49"/>
      <c r="G22" s="50"/>
    </row>
    <row r="23" spans="2:7" ht="15.75" x14ac:dyDescent="0.3">
      <c r="B23" s="128"/>
      <c r="C23" s="51" t="s">
        <v>84</v>
      </c>
      <c r="D23" s="52"/>
      <c r="E23" s="89"/>
      <c r="F23" s="53"/>
      <c r="G23" s="53"/>
    </row>
    <row r="24" spans="2:7" ht="15.75" x14ac:dyDescent="0.3">
      <c r="B24" s="128"/>
      <c r="C24" s="54" t="s">
        <v>204</v>
      </c>
      <c r="F24" s="55"/>
      <c r="G24" s="53"/>
    </row>
    <row r="25" spans="2:7" ht="15.75" x14ac:dyDescent="0.3">
      <c r="B25" s="128"/>
      <c r="C25" s="54" t="s">
        <v>197</v>
      </c>
      <c r="D25" s="52"/>
      <c r="E25" s="52"/>
      <c r="F25" s="88"/>
      <c r="G25" s="53"/>
    </row>
    <row r="26" spans="2:7" ht="15.75" x14ac:dyDescent="0.3">
      <c r="B26" s="128"/>
      <c r="C26" s="54" t="s">
        <v>198</v>
      </c>
      <c r="F26" s="53"/>
      <c r="G26" s="53"/>
    </row>
    <row r="27" spans="2:7" ht="15.75" customHeight="1" x14ac:dyDescent="0.25">
      <c r="B27" s="128"/>
      <c r="C27" s="66"/>
      <c r="F27" s="53"/>
      <c r="G27" s="53"/>
    </row>
    <row r="28" spans="2:7" x14ac:dyDescent="0.25">
      <c r="B28" s="128"/>
      <c r="C28" s="66"/>
      <c r="F28" s="53"/>
      <c r="G28" s="68"/>
    </row>
    <row r="29" spans="2:7" ht="15.75" x14ac:dyDescent="0.3">
      <c r="B29" s="128"/>
      <c r="C29" s="54"/>
      <c r="F29" s="53"/>
      <c r="G29" s="53"/>
    </row>
    <row r="30" spans="2:7" ht="15.75" customHeight="1" x14ac:dyDescent="0.3">
      <c r="B30" s="128"/>
      <c r="C30" s="59"/>
      <c r="D30" s="60"/>
      <c r="E30" s="60"/>
      <c r="F30" s="61"/>
      <c r="G30" s="61"/>
    </row>
    <row r="31" spans="2:7" ht="15.75" customHeight="1" x14ac:dyDescent="0.25">
      <c r="B31" s="128"/>
      <c r="C31" s="173" t="s">
        <v>85</v>
      </c>
      <c r="D31" s="174"/>
      <c r="E31" s="174"/>
      <c r="F31" s="174"/>
      <c r="G31" s="133"/>
    </row>
    <row r="32" spans="2:7" ht="15.75" customHeight="1" x14ac:dyDescent="0.3">
      <c r="B32" s="167"/>
      <c r="C32" s="58" t="s">
        <v>194</v>
      </c>
      <c r="D32" s="48"/>
      <c r="E32" s="48"/>
      <c r="F32" s="49"/>
      <c r="G32" s="49"/>
    </row>
    <row r="33" spans="2:7" ht="15.75" customHeight="1" x14ac:dyDescent="0.3">
      <c r="B33" s="167"/>
      <c r="C33" s="54" t="s">
        <v>195</v>
      </c>
      <c r="F33" s="53"/>
      <c r="G33" s="55"/>
    </row>
    <row r="34" spans="2:7" ht="15.75" x14ac:dyDescent="0.3">
      <c r="B34" s="168"/>
      <c r="C34" s="54" t="s">
        <v>196</v>
      </c>
      <c r="F34" s="53"/>
      <c r="G34" s="53"/>
    </row>
    <row r="35" spans="2:7" ht="15.75" customHeight="1" x14ac:dyDescent="0.3">
      <c r="B35" s="169"/>
      <c r="C35" s="59"/>
      <c r="D35" s="60"/>
      <c r="E35" s="60"/>
      <c r="F35" s="61"/>
      <c r="G35" s="61"/>
    </row>
    <row r="36" spans="2:7" ht="15.75" customHeight="1" x14ac:dyDescent="0.25">
      <c r="B36" s="161" t="s">
        <v>87</v>
      </c>
      <c r="C36" s="162"/>
      <c r="D36" s="162"/>
      <c r="E36" s="161" t="s">
        <v>88</v>
      </c>
      <c r="F36" s="162"/>
      <c r="G36" s="165"/>
    </row>
    <row r="37" spans="2:7" ht="15.75" customHeight="1" x14ac:dyDescent="0.25">
      <c r="B37" s="163"/>
      <c r="C37" s="164"/>
      <c r="D37" s="164"/>
      <c r="E37" s="163"/>
      <c r="F37" s="164"/>
      <c r="G37" s="166"/>
    </row>
    <row r="38" spans="2:7" ht="15.75" customHeight="1" x14ac:dyDescent="0.25">
      <c r="B38" s="46"/>
      <c r="C38" s="64"/>
      <c r="D38" s="65"/>
      <c r="E38" s="46"/>
      <c r="F38" s="64"/>
      <c r="G38" s="65"/>
    </row>
    <row r="39" spans="2:7" ht="15.75" customHeight="1" x14ac:dyDescent="0.25">
      <c r="B39" s="66"/>
      <c r="D39" s="53"/>
      <c r="E39" s="66"/>
      <c r="G39" s="53"/>
    </row>
    <row r="40" spans="2:7" ht="15.75" customHeight="1" x14ac:dyDescent="0.25">
      <c r="B40" s="66"/>
      <c r="D40" s="53"/>
      <c r="E40" s="66"/>
      <c r="G40" s="53"/>
    </row>
    <row r="41" spans="2:7" ht="15.75" customHeight="1" x14ac:dyDescent="0.25">
      <c r="B41" s="66"/>
      <c r="D41" s="53"/>
      <c r="E41" s="66"/>
      <c r="G41" s="53"/>
    </row>
    <row r="42" spans="2:7" ht="15.75" customHeight="1" x14ac:dyDescent="0.25">
      <c r="B42" s="66"/>
      <c r="D42" s="53"/>
      <c r="E42" s="66"/>
      <c r="G42" s="53"/>
    </row>
    <row r="43" spans="2:7" ht="15.75" customHeight="1" x14ac:dyDescent="0.25">
      <c r="B43" s="66"/>
      <c r="D43" s="53"/>
      <c r="E43" s="66"/>
      <c r="G43" s="53"/>
    </row>
    <row r="44" spans="2:7" ht="15.75" customHeight="1" x14ac:dyDescent="0.25">
      <c r="B44" s="66"/>
      <c r="D44" s="53"/>
      <c r="E44" s="66"/>
      <c r="G44" s="53"/>
    </row>
    <row r="45" spans="2:7" ht="15.75" customHeight="1" x14ac:dyDescent="0.25">
      <c r="B45" s="66"/>
      <c r="D45" s="53"/>
      <c r="E45" s="66"/>
      <c r="G45" s="53"/>
    </row>
    <row r="46" spans="2:7" ht="15.75" customHeight="1" x14ac:dyDescent="0.25">
      <c r="B46" s="66"/>
      <c r="D46" s="53"/>
      <c r="E46" s="66"/>
      <c r="G46" s="53"/>
    </row>
    <row r="47" spans="2:7" x14ac:dyDescent="0.25">
      <c r="B47" s="66"/>
      <c r="D47" s="53"/>
      <c r="E47" s="66"/>
      <c r="G47" s="53"/>
    </row>
    <row r="48" spans="2:7" x14ac:dyDescent="0.25">
      <c r="B48" s="67"/>
      <c r="C48" s="60"/>
      <c r="D48" s="61"/>
      <c r="E48" s="67"/>
      <c r="F48" s="60"/>
      <c r="G48" s="61"/>
    </row>
  </sheetData>
  <mergeCells count="16">
    <mergeCell ref="B22:B35"/>
    <mergeCell ref="C31:G31"/>
    <mergeCell ref="B36:D37"/>
    <mergeCell ref="E36:G37"/>
    <mergeCell ref="B5:B17"/>
    <mergeCell ref="C14:G14"/>
    <mergeCell ref="B18:G19"/>
    <mergeCell ref="B20:E21"/>
    <mergeCell ref="F20:F21"/>
    <mergeCell ref="G20:G21"/>
    <mergeCell ref="B1:D2"/>
    <mergeCell ref="E1:F2"/>
    <mergeCell ref="G1:G2"/>
    <mergeCell ref="B3:E4"/>
    <mergeCell ref="F3:F4"/>
    <mergeCell ref="G3:G4"/>
  </mergeCells>
  <pageMargins left="0.25" right="0.25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6DEF4-B0C5-4454-B26F-147D7C6B4077}">
  <dimension ref="B1:G48"/>
  <sheetViews>
    <sheetView zoomScaleNormal="100" workbookViewId="0">
      <selection activeCell="F25" sqref="F25"/>
    </sheetView>
  </sheetViews>
  <sheetFormatPr baseColWidth="10" defaultColWidth="11.42578125" defaultRowHeight="15" x14ac:dyDescent="0.25"/>
  <cols>
    <col min="1" max="1" width="2.85546875" customWidth="1"/>
    <col min="2" max="2" width="10" customWidth="1"/>
    <col min="3" max="7" width="16.28515625" customWidth="1"/>
  </cols>
  <sheetData>
    <row r="1" spans="2:7" x14ac:dyDescent="0.25">
      <c r="B1" s="140" t="s">
        <v>81</v>
      </c>
      <c r="C1" s="141"/>
      <c r="D1" s="141"/>
      <c r="E1" s="144">
        <f>Kompetenzraster!Q29</f>
        <v>46525</v>
      </c>
      <c r="F1" s="145"/>
      <c r="G1" s="148">
        <v>13</v>
      </c>
    </row>
    <row r="2" spans="2:7" x14ac:dyDescent="0.25">
      <c r="B2" s="142"/>
      <c r="C2" s="143"/>
      <c r="D2" s="143"/>
      <c r="E2" s="146"/>
      <c r="F2" s="147"/>
      <c r="G2" s="149"/>
    </row>
    <row r="3" spans="2:7" ht="15.75" customHeight="1" x14ac:dyDescent="0.25">
      <c r="B3" s="389" t="s">
        <v>186</v>
      </c>
      <c r="C3" s="390"/>
      <c r="D3" s="390"/>
      <c r="E3" s="390"/>
      <c r="F3" s="393">
        <v>4.8</v>
      </c>
      <c r="G3" s="395" t="s">
        <v>82</v>
      </c>
    </row>
    <row r="4" spans="2:7" ht="14.25" customHeight="1" x14ac:dyDescent="0.25">
      <c r="B4" s="391"/>
      <c r="C4" s="401"/>
      <c r="D4" s="401"/>
      <c r="E4" s="401"/>
      <c r="F4" s="394"/>
      <c r="G4" s="396"/>
    </row>
    <row r="5" spans="2:7" ht="15.75" customHeight="1" x14ac:dyDescent="0.3">
      <c r="B5" s="397" t="s">
        <v>172</v>
      </c>
      <c r="C5" s="58"/>
      <c r="D5" s="92"/>
      <c r="E5" s="92"/>
      <c r="F5" s="93"/>
      <c r="G5" s="50"/>
    </row>
    <row r="6" spans="2:7" ht="15.75" x14ac:dyDescent="0.3">
      <c r="B6" s="398"/>
      <c r="C6" s="51" t="s">
        <v>84</v>
      </c>
      <c r="D6" s="52"/>
      <c r="E6" s="52"/>
      <c r="F6" s="53"/>
      <c r="G6" s="53"/>
    </row>
    <row r="7" spans="2:7" ht="15.75" x14ac:dyDescent="0.3">
      <c r="B7" s="398"/>
      <c r="C7" s="54" t="s">
        <v>199</v>
      </c>
      <c r="F7" s="55"/>
      <c r="G7" s="53"/>
    </row>
    <row r="8" spans="2:7" ht="15.75" x14ac:dyDescent="0.3">
      <c r="B8" s="398"/>
      <c r="C8" s="54" t="s">
        <v>200</v>
      </c>
      <c r="F8" s="53"/>
      <c r="G8" s="55"/>
    </row>
    <row r="9" spans="2:7" ht="15.75" x14ac:dyDescent="0.3">
      <c r="B9" s="398"/>
      <c r="C9" s="54" t="s">
        <v>202</v>
      </c>
      <c r="D9" s="76"/>
      <c r="E9" s="76"/>
      <c r="F9" s="88"/>
      <c r="G9" s="53"/>
    </row>
    <row r="10" spans="2:7" ht="15.75" x14ac:dyDescent="0.3">
      <c r="B10" s="398"/>
      <c r="C10" s="54" t="s">
        <v>201</v>
      </c>
      <c r="F10" s="53"/>
      <c r="G10" s="53"/>
    </row>
    <row r="11" spans="2:7" ht="15.75" x14ac:dyDescent="0.3">
      <c r="B11" s="398"/>
      <c r="C11" s="54"/>
      <c r="D11" s="76"/>
      <c r="E11" s="76"/>
      <c r="F11" s="88"/>
      <c r="G11" s="85" t="s">
        <v>132</v>
      </c>
    </row>
    <row r="12" spans="2:7" ht="15.75" x14ac:dyDescent="0.3">
      <c r="B12" s="398"/>
      <c r="C12" s="54"/>
      <c r="F12" s="53"/>
      <c r="G12" s="79"/>
    </row>
    <row r="13" spans="2:7" ht="15.75" x14ac:dyDescent="0.3">
      <c r="B13" s="398"/>
      <c r="C13" s="59"/>
      <c r="D13" s="60"/>
      <c r="E13" s="60"/>
      <c r="F13" s="61"/>
      <c r="G13" s="80"/>
    </row>
    <row r="14" spans="2:7" x14ac:dyDescent="0.25">
      <c r="B14" s="398"/>
      <c r="C14" s="386" t="s">
        <v>85</v>
      </c>
      <c r="D14" s="387"/>
      <c r="E14" s="387"/>
      <c r="F14" s="387"/>
      <c r="G14" s="133"/>
    </row>
    <row r="15" spans="2:7" ht="15.75" customHeight="1" x14ac:dyDescent="0.3">
      <c r="B15" s="399"/>
      <c r="C15" s="58" t="s">
        <v>179</v>
      </c>
      <c r="D15" s="48"/>
      <c r="E15" s="48"/>
      <c r="F15" s="48"/>
      <c r="G15" s="49"/>
    </row>
    <row r="16" spans="2:7" ht="15" customHeight="1" x14ac:dyDescent="0.3">
      <c r="B16" s="400"/>
      <c r="C16" s="54" t="s">
        <v>180</v>
      </c>
      <c r="G16" s="53"/>
    </row>
    <row r="17" spans="2:7" ht="15" customHeight="1" x14ac:dyDescent="0.3">
      <c r="B17" s="400"/>
      <c r="C17" s="59"/>
      <c r="D17" s="60"/>
      <c r="E17" s="60"/>
      <c r="F17" s="60"/>
      <c r="G17" s="61"/>
    </row>
    <row r="18" spans="2:7" ht="15" customHeight="1" x14ac:dyDescent="0.25">
      <c r="B18" s="134" t="s">
        <v>86</v>
      </c>
      <c r="C18" s="135"/>
      <c r="D18" s="135"/>
      <c r="E18" s="135"/>
      <c r="F18" s="135"/>
      <c r="G18" s="136"/>
    </row>
    <row r="19" spans="2:7" ht="15.75" customHeight="1" x14ac:dyDescent="0.25">
      <c r="B19" s="137"/>
      <c r="C19" s="138"/>
      <c r="D19" s="138"/>
      <c r="E19" s="138"/>
      <c r="F19" s="138"/>
      <c r="G19" s="139"/>
    </row>
    <row r="20" spans="2:7" ht="15" customHeight="1" x14ac:dyDescent="0.25">
      <c r="B20" s="150" t="s">
        <v>193</v>
      </c>
      <c r="C20" s="151"/>
      <c r="D20" s="151"/>
      <c r="E20" s="151"/>
      <c r="F20" s="154">
        <v>4.3</v>
      </c>
      <c r="G20" s="156" t="s">
        <v>82</v>
      </c>
    </row>
    <row r="21" spans="2:7" ht="16.5" customHeight="1" x14ac:dyDescent="0.25">
      <c r="B21" s="152"/>
      <c r="C21" s="153"/>
      <c r="D21" s="153"/>
      <c r="E21" s="153"/>
      <c r="F21" s="155"/>
      <c r="G21" s="157"/>
    </row>
    <row r="22" spans="2:7" ht="15.75" customHeight="1" x14ac:dyDescent="0.3">
      <c r="B22" s="127" t="s">
        <v>173</v>
      </c>
      <c r="C22" s="63"/>
      <c r="D22" s="64"/>
      <c r="E22" s="64"/>
      <c r="F22" s="49"/>
      <c r="G22" s="50"/>
    </row>
    <row r="23" spans="2:7" ht="15.75" x14ac:dyDescent="0.3">
      <c r="B23" s="128"/>
      <c r="C23" s="51" t="s">
        <v>84</v>
      </c>
      <c r="D23" s="52"/>
      <c r="E23" s="89"/>
      <c r="F23" s="53"/>
      <c r="G23" s="53"/>
    </row>
    <row r="24" spans="2:7" ht="15.75" x14ac:dyDescent="0.3">
      <c r="B24" s="128"/>
      <c r="C24" s="54" t="s">
        <v>205</v>
      </c>
      <c r="F24" s="55"/>
      <c r="G24" s="53"/>
    </row>
    <row r="25" spans="2:7" ht="15.75" x14ac:dyDescent="0.3">
      <c r="B25" s="128"/>
      <c r="C25" s="54" t="s">
        <v>198</v>
      </c>
      <c r="D25" s="52"/>
      <c r="E25" s="52"/>
      <c r="F25" s="88"/>
      <c r="G25" s="53"/>
    </row>
    <row r="26" spans="2:7" x14ac:dyDescent="0.25">
      <c r="B26" s="128"/>
      <c r="C26" s="66"/>
      <c r="F26" s="53"/>
      <c r="G26" s="53"/>
    </row>
    <row r="27" spans="2:7" ht="15.75" customHeight="1" x14ac:dyDescent="0.25">
      <c r="B27" s="128"/>
      <c r="C27" s="66"/>
      <c r="F27" s="53"/>
      <c r="G27" s="53"/>
    </row>
    <row r="28" spans="2:7" x14ac:dyDescent="0.25">
      <c r="B28" s="128"/>
      <c r="C28" s="66"/>
      <c r="F28" s="53"/>
      <c r="G28" s="68"/>
    </row>
    <row r="29" spans="2:7" ht="15.75" x14ac:dyDescent="0.3">
      <c r="B29" s="128"/>
      <c r="C29" s="54"/>
      <c r="F29" s="53"/>
      <c r="G29" s="53"/>
    </row>
    <row r="30" spans="2:7" ht="15.75" customHeight="1" x14ac:dyDescent="0.3">
      <c r="B30" s="128"/>
      <c r="C30" s="59"/>
      <c r="D30" s="60"/>
      <c r="E30" s="60"/>
      <c r="F30" s="61"/>
      <c r="G30" s="61"/>
    </row>
    <row r="31" spans="2:7" ht="15.75" customHeight="1" x14ac:dyDescent="0.25">
      <c r="B31" s="128"/>
      <c r="C31" s="173" t="s">
        <v>85</v>
      </c>
      <c r="D31" s="174"/>
      <c r="E31" s="174"/>
      <c r="F31" s="174"/>
      <c r="G31" s="133"/>
    </row>
    <row r="32" spans="2:7" ht="15.75" customHeight="1" x14ac:dyDescent="0.3">
      <c r="B32" s="167"/>
      <c r="C32" s="58" t="s">
        <v>194</v>
      </c>
      <c r="D32" s="48"/>
      <c r="E32" s="48"/>
      <c r="F32" s="49"/>
      <c r="G32" s="49"/>
    </row>
    <row r="33" spans="2:7" ht="15.75" customHeight="1" x14ac:dyDescent="0.3">
      <c r="B33" s="167"/>
      <c r="C33" s="54" t="s">
        <v>195</v>
      </c>
      <c r="F33" s="53"/>
      <c r="G33" s="55"/>
    </row>
    <row r="34" spans="2:7" ht="15.75" x14ac:dyDescent="0.3">
      <c r="B34" s="168"/>
      <c r="C34" s="54" t="s">
        <v>196</v>
      </c>
      <c r="F34" s="53"/>
      <c r="G34" s="53"/>
    </row>
    <row r="35" spans="2:7" ht="15.75" customHeight="1" x14ac:dyDescent="0.3">
      <c r="B35" s="169"/>
      <c r="C35" s="59"/>
      <c r="D35" s="60"/>
      <c r="E35" s="60"/>
      <c r="F35" s="61"/>
      <c r="G35" s="61"/>
    </row>
    <row r="36" spans="2:7" ht="15.75" customHeight="1" x14ac:dyDescent="0.25">
      <c r="B36" s="161" t="s">
        <v>87</v>
      </c>
      <c r="C36" s="162"/>
      <c r="D36" s="162"/>
      <c r="E36" s="161" t="s">
        <v>88</v>
      </c>
      <c r="F36" s="162"/>
      <c r="G36" s="165"/>
    </row>
    <row r="37" spans="2:7" ht="15.75" customHeight="1" x14ac:dyDescent="0.25">
      <c r="B37" s="163"/>
      <c r="C37" s="164"/>
      <c r="D37" s="164"/>
      <c r="E37" s="163"/>
      <c r="F37" s="164"/>
      <c r="G37" s="166"/>
    </row>
    <row r="38" spans="2:7" ht="15.75" customHeight="1" x14ac:dyDescent="0.25">
      <c r="B38" s="46"/>
      <c r="C38" s="64"/>
      <c r="D38" s="65"/>
      <c r="E38" s="46"/>
      <c r="F38" s="64"/>
      <c r="G38" s="65"/>
    </row>
    <row r="39" spans="2:7" ht="15.75" customHeight="1" x14ac:dyDescent="0.25">
      <c r="B39" s="66"/>
      <c r="D39" s="53"/>
      <c r="E39" s="66"/>
      <c r="G39" s="53"/>
    </row>
    <row r="40" spans="2:7" ht="15.75" customHeight="1" x14ac:dyDescent="0.25">
      <c r="B40" s="66"/>
      <c r="D40" s="53"/>
      <c r="E40" s="66"/>
      <c r="G40" s="53"/>
    </row>
    <row r="41" spans="2:7" ht="15.75" customHeight="1" x14ac:dyDescent="0.25">
      <c r="B41" s="66"/>
      <c r="D41" s="53"/>
      <c r="E41" s="66"/>
      <c r="G41" s="53"/>
    </row>
    <row r="42" spans="2:7" ht="15.75" customHeight="1" x14ac:dyDescent="0.25">
      <c r="B42" s="66"/>
      <c r="D42" s="53"/>
      <c r="E42" s="66"/>
      <c r="G42" s="53"/>
    </row>
    <row r="43" spans="2:7" ht="15.75" customHeight="1" x14ac:dyDescent="0.25">
      <c r="B43" s="66"/>
      <c r="D43" s="53"/>
      <c r="E43" s="66"/>
      <c r="G43" s="53"/>
    </row>
    <row r="44" spans="2:7" ht="15.75" customHeight="1" x14ac:dyDescent="0.25">
      <c r="B44" s="66"/>
      <c r="D44" s="53"/>
      <c r="E44" s="66"/>
      <c r="G44" s="53"/>
    </row>
    <row r="45" spans="2:7" ht="15.75" customHeight="1" x14ac:dyDescent="0.25">
      <c r="B45" s="66"/>
      <c r="D45" s="53"/>
      <c r="E45" s="66"/>
      <c r="G45" s="53"/>
    </row>
    <row r="46" spans="2:7" ht="15.75" customHeight="1" x14ac:dyDescent="0.25">
      <c r="B46" s="66"/>
      <c r="D46" s="53"/>
      <c r="E46" s="66"/>
      <c r="G46" s="53"/>
    </row>
    <row r="47" spans="2:7" x14ac:dyDescent="0.25">
      <c r="B47" s="66"/>
      <c r="D47" s="53"/>
      <c r="E47" s="66"/>
      <c r="G47" s="53"/>
    </row>
    <row r="48" spans="2:7" x14ac:dyDescent="0.25">
      <c r="B48" s="67"/>
      <c r="C48" s="60"/>
      <c r="D48" s="61"/>
      <c r="E48" s="67"/>
      <c r="F48" s="60"/>
      <c r="G48" s="61"/>
    </row>
  </sheetData>
  <mergeCells count="16">
    <mergeCell ref="B22:B35"/>
    <mergeCell ref="C31:G31"/>
    <mergeCell ref="B36:D37"/>
    <mergeCell ref="E36:G37"/>
    <mergeCell ref="B5:B17"/>
    <mergeCell ref="C14:G14"/>
    <mergeCell ref="B18:G19"/>
    <mergeCell ref="B20:E21"/>
    <mergeCell ref="F20:F21"/>
    <mergeCell ref="G20:G21"/>
    <mergeCell ref="B1:D2"/>
    <mergeCell ref="E1:F2"/>
    <mergeCell ref="G1:G2"/>
    <mergeCell ref="B3:E4"/>
    <mergeCell ref="F3:F4"/>
    <mergeCell ref="G3:G4"/>
  </mergeCells>
  <pageMargins left="0.25" right="0.25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78F71-5936-4CFD-84B6-9DA3781BF21C}">
  <dimension ref="B1:J48"/>
  <sheetViews>
    <sheetView zoomScaleNormal="100" workbookViewId="0">
      <selection activeCell="E10" sqref="E10"/>
    </sheetView>
  </sheetViews>
  <sheetFormatPr baseColWidth="10" defaultColWidth="11.42578125" defaultRowHeight="15" x14ac:dyDescent="0.25"/>
  <cols>
    <col min="1" max="1" width="2.85546875" customWidth="1"/>
    <col min="2" max="2" width="10" customWidth="1"/>
    <col min="3" max="7" width="16.28515625" customWidth="1"/>
  </cols>
  <sheetData>
    <row r="1" spans="2:10" x14ac:dyDescent="0.25">
      <c r="B1" s="140" t="s">
        <v>81</v>
      </c>
      <c r="C1" s="141"/>
      <c r="D1" s="141"/>
      <c r="E1" s="144">
        <f>Kompetenzraster!Q31</f>
        <v>46532</v>
      </c>
      <c r="F1" s="145"/>
      <c r="G1" s="148">
        <v>14</v>
      </c>
    </row>
    <row r="2" spans="2:10" x14ac:dyDescent="0.25">
      <c r="B2" s="142"/>
      <c r="C2" s="143"/>
      <c r="D2" s="143"/>
      <c r="E2" s="146"/>
      <c r="F2" s="147"/>
      <c r="G2" s="149"/>
    </row>
    <row r="3" spans="2:10" ht="15.75" customHeight="1" x14ac:dyDescent="0.25">
      <c r="B3" s="389" t="s">
        <v>206</v>
      </c>
      <c r="C3" s="390"/>
      <c r="D3" s="390"/>
      <c r="E3" s="390"/>
      <c r="F3" s="393">
        <v>4.9000000000000004</v>
      </c>
      <c r="G3" s="395" t="s">
        <v>82</v>
      </c>
    </row>
    <row r="4" spans="2:10" ht="14.25" customHeight="1" x14ac:dyDescent="0.25">
      <c r="B4" s="391"/>
      <c r="C4" s="401"/>
      <c r="D4" s="401"/>
      <c r="E4" s="401"/>
      <c r="F4" s="394"/>
      <c r="G4" s="396"/>
    </row>
    <row r="5" spans="2:10" ht="15.75" customHeight="1" x14ac:dyDescent="0.3">
      <c r="B5" s="397" t="s">
        <v>172</v>
      </c>
      <c r="C5" s="86" t="s">
        <v>224</v>
      </c>
      <c r="D5" s="87"/>
      <c r="E5" s="87"/>
      <c r="F5" s="126" t="s">
        <v>143</v>
      </c>
      <c r="G5" s="50"/>
    </row>
    <row r="6" spans="2:10" x14ac:dyDescent="0.25">
      <c r="B6" s="398"/>
      <c r="C6" s="66"/>
      <c r="F6" s="53"/>
      <c r="G6" s="53"/>
    </row>
    <row r="7" spans="2:10" ht="15.75" x14ac:dyDescent="0.3">
      <c r="B7" s="398"/>
      <c r="C7" s="51" t="s">
        <v>207</v>
      </c>
      <c r="D7" s="52"/>
      <c r="E7" s="52"/>
      <c r="F7" s="53"/>
      <c r="G7" s="53"/>
    </row>
    <row r="8" spans="2:10" ht="15.75" x14ac:dyDescent="0.3">
      <c r="B8" s="398"/>
      <c r="C8" s="54" t="s">
        <v>211</v>
      </c>
      <c r="F8" s="55"/>
      <c r="G8" s="55"/>
    </row>
    <row r="9" spans="2:10" ht="15.75" x14ac:dyDescent="0.3">
      <c r="B9" s="398"/>
      <c r="C9" s="54" t="s">
        <v>212</v>
      </c>
      <c r="F9" s="53"/>
      <c r="G9" s="53"/>
    </row>
    <row r="10" spans="2:10" ht="15.75" x14ac:dyDescent="0.3">
      <c r="B10" s="398"/>
      <c r="C10" s="54" t="s">
        <v>213</v>
      </c>
      <c r="D10" s="76"/>
      <c r="E10" s="76"/>
      <c r="F10" s="88"/>
      <c r="G10" s="53"/>
    </row>
    <row r="11" spans="2:10" ht="15.75" x14ac:dyDescent="0.3">
      <c r="B11" s="398"/>
      <c r="C11" s="54"/>
      <c r="D11" s="76"/>
      <c r="E11" s="76"/>
      <c r="F11" s="88"/>
      <c r="G11" s="68"/>
    </row>
    <row r="12" spans="2:10" ht="15.75" x14ac:dyDescent="0.3">
      <c r="B12" s="398"/>
      <c r="C12" s="54"/>
      <c r="F12" s="53"/>
      <c r="G12" s="53"/>
    </row>
    <row r="13" spans="2:10" ht="15.75" x14ac:dyDescent="0.3">
      <c r="B13" s="398"/>
      <c r="C13" s="59"/>
      <c r="D13" s="60"/>
      <c r="E13" s="60"/>
      <c r="F13" s="61"/>
      <c r="G13" s="61"/>
    </row>
    <row r="14" spans="2:10" x14ac:dyDescent="0.25">
      <c r="B14" s="398"/>
      <c r="C14" s="405" t="s">
        <v>85</v>
      </c>
      <c r="D14" s="406"/>
      <c r="E14" s="406"/>
      <c r="F14" s="406"/>
      <c r="G14" s="407"/>
    </row>
    <row r="15" spans="2:10" ht="15.75" customHeight="1" x14ac:dyDescent="0.3">
      <c r="B15" s="399"/>
      <c r="C15" s="175" t="s">
        <v>209</v>
      </c>
      <c r="D15" s="176"/>
      <c r="E15" s="176"/>
      <c r="F15" s="176"/>
      <c r="G15" s="177"/>
    </row>
    <row r="16" spans="2:10" ht="15" customHeight="1" x14ac:dyDescent="0.3">
      <c r="B16" s="400"/>
      <c r="C16" s="402" t="s">
        <v>210</v>
      </c>
      <c r="D16" s="403"/>
      <c r="E16" s="403"/>
      <c r="F16" s="403"/>
      <c r="G16" s="404"/>
      <c r="J16" s="94"/>
    </row>
    <row r="17" spans="2:7" ht="15" customHeight="1" x14ac:dyDescent="0.3">
      <c r="B17" s="400"/>
      <c r="C17" s="59"/>
      <c r="D17" s="60"/>
      <c r="E17" s="60"/>
      <c r="F17" s="60"/>
      <c r="G17" s="61"/>
    </row>
    <row r="18" spans="2:7" ht="15" customHeight="1" x14ac:dyDescent="0.25">
      <c r="B18" s="134" t="s">
        <v>86</v>
      </c>
      <c r="C18" s="135"/>
      <c r="D18" s="135"/>
      <c r="E18" s="135"/>
      <c r="F18" s="135"/>
      <c r="G18" s="136"/>
    </row>
    <row r="19" spans="2:7" ht="15.75" customHeight="1" x14ac:dyDescent="0.25">
      <c r="B19" s="137"/>
      <c r="C19" s="138"/>
      <c r="D19" s="138"/>
      <c r="E19" s="138"/>
      <c r="F19" s="138"/>
      <c r="G19" s="139"/>
    </row>
    <row r="20" spans="2:7" ht="15" customHeight="1" x14ac:dyDescent="0.25">
      <c r="B20" s="150" t="s">
        <v>193</v>
      </c>
      <c r="C20" s="151"/>
      <c r="D20" s="151"/>
      <c r="E20" s="151"/>
      <c r="F20" s="154">
        <v>4.3</v>
      </c>
      <c r="G20" s="156" t="s">
        <v>82</v>
      </c>
    </row>
    <row r="21" spans="2:7" ht="16.5" customHeight="1" x14ac:dyDescent="0.25">
      <c r="B21" s="152"/>
      <c r="C21" s="153"/>
      <c r="D21" s="153"/>
      <c r="E21" s="153"/>
      <c r="F21" s="155"/>
      <c r="G21" s="157"/>
    </row>
    <row r="22" spans="2:7" ht="15.75" customHeight="1" x14ac:dyDescent="0.3">
      <c r="B22" s="127" t="s">
        <v>173</v>
      </c>
      <c r="C22" s="63"/>
      <c r="D22" s="64"/>
      <c r="E22" s="64"/>
      <c r="F22" s="49"/>
      <c r="G22" s="50"/>
    </row>
    <row r="23" spans="2:7" ht="15.75" x14ac:dyDescent="0.3">
      <c r="B23" s="128"/>
      <c r="C23" s="51" t="s">
        <v>84</v>
      </c>
      <c r="D23" s="52"/>
      <c r="E23" s="89"/>
      <c r="F23" s="53"/>
      <c r="G23" s="53"/>
    </row>
    <row r="24" spans="2:7" ht="15.75" x14ac:dyDescent="0.3">
      <c r="B24" s="128"/>
      <c r="C24" s="54" t="s">
        <v>205</v>
      </c>
      <c r="F24" s="55"/>
      <c r="G24" s="53"/>
    </row>
    <row r="25" spans="2:7" ht="15.75" x14ac:dyDescent="0.3">
      <c r="B25" s="128"/>
      <c r="C25" s="54" t="s">
        <v>208</v>
      </c>
      <c r="D25" s="52"/>
      <c r="E25" s="52"/>
      <c r="F25" s="88"/>
      <c r="G25" s="53"/>
    </row>
    <row r="26" spans="2:7" x14ac:dyDescent="0.25">
      <c r="B26" s="128"/>
      <c r="C26" s="66"/>
      <c r="F26" s="53"/>
      <c r="G26" s="53"/>
    </row>
    <row r="27" spans="2:7" ht="15.75" customHeight="1" x14ac:dyDescent="0.25">
      <c r="B27" s="128"/>
      <c r="C27" s="66"/>
      <c r="F27" s="53"/>
      <c r="G27" s="53"/>
    </row>
    <row r="28" spans="2:7" x14ac:dyDescent="0.25">
      <c r="B28" s="128"/>
      <c r="C28" s="66"/>
      <c r="F28" s="53"/>
      <c r="G28" s="68"/>
    </row>
    <row r="29" spans="2:7" ht="15.75" x14ac:dyDescent="0.3">
      <c r="B29" s="128"/>
      <c r="C29" s="54"/>
      <c r="F29" s="53"/>
      <c r="G29" s="53"/>
    </row>
    <row r="30" spans="2:7" ht="15.75" customHeight="1" x14ac:dyDescent="0.3">
      <c r="B30" s="128"/>
      <c r="C30" s="59"/>
      <c r="D30" s="60"/>
      <c r="E30" s="60"/>
      <c r="F30" s="61"/>
      <c r="G30" s="61"/>
    </row>
    <row r="31" spans="2:7" ht="15.75" customHeight="1" x14ac:dyDescent="0.25">
      <c r="B31" s="128"/>
      <c r="C31" s="173" t="s">
        <v>85</v>
      </c>
      <c r="D31" s="174"/>
      <c r="E31" s="174"/>
      <c r="F31" s="174"/>
      <c r="G31" s="133"/>
    </row>
    <row r="32" spans="2:7" ht="15.75" customHeight="1" x14ac:dyDescent="0.3">
      <c r="B32" s="167"/>
      <c r="C32" s="58" t="s">
        <v>194</v>
      </c>
      <c r="D32" s="48"/>
      <c r="E32" s="48"/>
      <c r="F32" s="49"/>
      <c r="G32" s="49"/>
    </row>
    <row r="33" spans="2:7" ht="15.75" customHeight="1" x14ac:dyDescent="0.3">
      <c r="B33" s="167"/>
      <c r="C33" s="54" t="s">
        <v>195</v>
      </c>
      <c r="F33" s="53"/>
      <c r="G33" s="55"/>
    </row>
    <row r="34" spans="2:7" ht="15.75" x14ac:dyDescent="0.3">
      <c r="B34" s="168"/>
      <c r="C34" s="54" t="s">
        <v>196</v>
      </c>
      <c r="F34" s="53"/>
      <c r="G34" s="53"/>
    </row>
    <row r="35" spans="2:7" ht="15.75" customHeight="1" x14ac:dyDescent="0.3">
      <c r="B35" s="169"/>
      <c r="C35" s="59"/>
      <c r="D35" s="60"/>
      <c r="E35" s="60"/>
      <c r="F35" s="61"/>
      <c r="G35" s="61"/>
    </row>
    <row r="36" spans="2:7" ht="15.75" customHeight="1" x14ac:dyDescent="0.25">
      <c r="B36" s="161" t="s">
        <v>87</v>
      </c>
      <c r="C36" s="162"/>
      <c r="D36" s="162"/>
      <c r="E36" s="161" t="s">
        <v>88</v>
      </c>
      <c r="F36" s="162"/>
      <c r="G36" s="165"/>
    </row>
    <row r="37" spans="2:7" ht="15.75" customHeight="1" x14ac:dyDescent="0.25">
      <c r="B37" s="163"/>
      <c r="C37" s="164"/>
      <c r="D37" s="164"/>
      <c r="E37" s="163"/>
      <c r="F37" s="164"/>
      <c r="G37" s="166"/>
    </row>
    <row r="38" spans="2:7" ht="15.75" customHeight="1" x14ac:dyDescent="0.25">
      <c r="B38" s="46"/>
      <c r="C38" s="64"/>
      <c r="D38" s="65"/>
      <c r="E38" s="46"/>
      <c r="F38" s="64"/>
      <c r="G38" s="65"/>
    </row>
    <row r="39" spans="2:7" ht="15.75" customHeight="1" x14ac:dyDescent="0.25">
      <c r="B39" s="66"/>
      <c r="D39" s="53"/>
      <c r="E39" s="66"/>
      <c r="G39" s="53"/>
    </row>
    <row r="40" spans="2:7" ht="15.75" customHeight="1" x14ac:dyDescent="0.25">
      <c r="B40" s="66"/>
      <c r="D40" s="53"/>
      <c r="E40" s="66"/>
      <c r="G40" s="53"/>
    </row>
    <row r="41" spans="2:7" ht="15.75" customHeight="1" x14ac:dyDescent="0.25">
      <c r="B41" s="66"/>
      <c r="D41" s="53"/>
      <c r="E41" s="66"/>
      <c r="G41" s="53"/>
    </row>
    <row r="42" spans="2:7" ht="15.75" customHeight="1" x14ac:dyDescent="0.25">
      <c r="B42" s="66"/>
      <c r="D42" s="53"/>
      <c r="E42" s="66"/>
      <c r="G42" s="53"/>
    </row>
    <row r="43" spans="2:7" ht="15.75" customHeight="1" x14ac:dyDescent="0.25">
      <c r="B43" s="66"/>
      <c r="D43" s="53"/>
      <c r="E43" s="66"/>
      <c r="G43" s="53"/>
    </row>
    <row r="44" spans="2:7" ht="15.75" customHeight="1" x14ac:dyDescent="0.25">
      <c r="B44" s="66"/>
      <c r="D44" s="53"/>
      <c r="E44" s="66"/>
      <c r="G44" s="53"/>
    </row>
    <row r="45" spans="2:7" ht="15.75" customHeight="1" x14ac:dyDescent="0.25">
      <c r="B45" s="66"/>
      <c r="D45" s="53"/>
      <c r="E45" s="66"/>
      <c r="G45" s="53"/>
    </row>
    <row r="46" spans="2:7" ht="15.75" customHeight="1" x14ac:dyDescent="0.25">
      <c r="B46" s="66"/>
      <c r="D46" s="53"/>
      <c r="E46" s="66"/>
      <c r="G46" s="53"/>
    </row>
    <row r="47" spans="2:7" x14ac:dyDescent="0.25">
      <c r="B47" s="66"/>
      <c r="D47" s="53"/>
      <c r="E47" s="66"/>
      <c r="G47" s="53"/>
    </row>
    <row r="48" spans="2:7" x14ac:dyDescent="0.25">
      <c r="B48" s="67"/>
      <c r="C48" s="60"/>
      <c r="D48" s="61"/>
      <c r="E48" s="67"/>
      <c r="F48" s="60"/>
      <c r="G48" s="61"/>
    </row>
  </sheetData>
  <mergeCells count="18">
    <mergeCell ref="B1:D2"/>
    <mergeCell ref="E1:F2"/>
    <mergeCell ref="G1:G2"/>
    <mergeCell ref="B3:E4"/>
    <mergeCell ref="F3:F4"/>
    <mergeCell ref="G3:G4"/>
    <mergeCell ref="B22:B35"/>
    <mergeCell ref="C31:G31"/>
    <mergeCell ref="B36:D37"/>
    <mergeCell ref="E36:G37"/>
    <mergeCell ref="C15:G15"/>
    <mergeCell ref="C16:G16"/>
    <mergeCell ref="B5:B17"/>
    <mergeCell ref="C14:G14"/>
    <mergeCell ref="B18:G19"/>
    <mergeCell ref="B20:E21"/>
    <mergeCell ref="F20:F21"/>
    <mergeCell ref="G20:G21"/>
  </mergeCells>
  <pageMargins left="0.25" right="0.25" top="0.75" bottom="0.75" header="0.3" footer="0.3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A14BD-2ACE-4056-89EF-F000FB8B1E02}">
  <dimension ref="B1:N48"/>
  <sheetViews>
    <sheetView zoomScaleNormal="100" workbookViewId="0">
      <selection activeCell="K14" sqref="K14"/>
    </sheetView>
  </sheetViews>
  <sheetFormatPr baseColWidth="10" defaultColWidth="11.42578125" defaultRowHeight="15" x14ac:dyDescent="0.25"/>
  <cols>
    <col min="1" max="1" width="2.85546875" customWidth="1"/>
    <col min="2" max="2" width="10" customWidth="1"/>
    <col min="3" max="7" width="16.28515625" customWidth="1"/>
  </cols>
  <sheetData>
    <row r="1" spans="2:11" x14ac:dyDescent="0.25">
      <c r="B1" s="140" t="s">
        <v>81</v>
      </c>
      <c r="C1" s="141"/>
      <c r="D1" s="141"/>
      <c r="E1" s="144">
        <f>Kompetenzraster!Q33</f>
        <v>46539</v>
      </c>
      <c r="F1" s="145"/>
      <c r="G1" s="148">
        <v>15</v>
      </c>
    </row>
    <row r="2" spans="2:11" x14ac:dyDescent="0.25">
      <c r="B2" s="142"/>
      <c r="C2" s="143"/>
      <c r="D2" s="143"/>
      <c r="E2" s="146"/>
      <c r="F2" s="147"/>
      <c r="G2" s="149"/>
    </row>
    <row r="3" spans="2:11" ht="15.75" customHeight="1" x14ac:dyDescent="0.25">
      <c r="B3" s="389" t="s">
        <v>206</v>
      </c>
      <c r="C3" s="390"/>
      <c r="D3" s="390"/>
      <c r="E3" s="390"/>
      <c r="F3" s="393">
        <v>4.9000000000000004</v>
      </c>
      <c r="G3" s="395" t="s">
        <v>82</v>
      </c>
    </row>
    <row r="4" spans="2:11" ht="14.25" customHeight="1" x14ac:dyDescent="0.25">
      <c r="B4" s="391"/>
      <c r="C4" s="401"/>
      <c r="D4" s="401"/>
      <c r="E4" s="401"/>
      <c r="F4" s="394"/>
      <c r="G4" s="396"/>
    </row>
    <row r="5" spans="2:11" ht="15.75" customHeight="1" x14ac:dyDescent="0.3">
      <c r="B5" s="397" t="s">
        <v>172</v>
      </c>
      <c r="C5" s="58"/>
      <c r="D5" s="92"/>
      <c r="E5" s="92"/>
      <c r="F5" s="93"/>
      <c r="G5" s="50"/>
    </row>
    <row r="6" spans="2:11" ht="15.75" x14ac:dyDescent="0.3">
      <c r="B6" s="398"/>
      <c r="C6" s="51" t="s">
        <v>207</v>
      </c>
      <c r="D6" s="52"/>
      <c r="E6" s="52"/>
      <c r="F6" s="53"/>
      <c r="G6" s="53"/>
    </row>
    <row r="7" spans="2:11" ht="15.75" x14ac:dyDescent="0.3">
      <c r="B7" s="398"/>
      <c r="C7" s="54" t="s">
        <v>214</v>
      </c>
      <c r="F7" s="55"/>
      <c r="G7" s="53"/>
    </row>
    <row r="8" spans="2:11" ht="15.75" x14ac:dyDescent="0.3">
      <c r="B8" s="398"/>
      <c r="C8" s="54" t="s">
        <v>215</v>
      </c>
      <c r="F8" s="53"/>
      <c r="G8" s="55"/>
    </row>
    <row r="9" spans="2:11" x14ac:dyDescent="0.25">
      <c r="B9" s="398"/>
      <c r="D9" s="76"/>
      <c r="E9" s="76"/>
      <c r="F9" s="88"/>
      <c r="G9" s="53"/>
    </row>
    <row r="10" spans="2:11" x14ac:dyDescent="0.25">
      <c r="B10" s="398"/>
      <c r="C10" s="51" t="s">
        <v>113</v>
      </c>
      <c r="F10" s="53"/>
      <c r="G10" s="53"/>
      <c r="K10" s="84"/>
    </row>
    <row r="11" spans="2:11" ht="15.75" x14ac:dyDescent="0.3">
      <c r="B11" s="398"/>
      <c r="C11" s="54" t="s">
        <v>315</v>
      </c>
      <c r="D11" s="76"/>
      <c r="E11" s="76"/>
      <c r="F11" s="88"/>
      <c r="G11" s="85"/>
    </row>
    <row r="12" spans="2:11" ht="15.75" x14ac:dyDescent="0.3">
      <c r="B12" s="398"/>
      <c r="C12" s="54"/>
      <c r="F12" s="53"/>
      <c r="G12" s="79"/>
    </row>
    <row r="13" spans="2:11" ht="15.75" x14ac:dyDescent="0.3">
      <c r="B13" s="398"/>
      <c r="C13" s="59"/>
      <c r="D13" s="60"/>
      <c r="E13" s="60"/>
      <c r="F13" s="61"/>
      <c r="G13" s="80"/>
    </row>
    <row r="14" spans="2:11" x14ac:dyDescent="0.25">
      <c r="B14" s="398"/>
      <c r="C14" s="131" t="s">
        <v>85</v>
      </c>
      <c r="D14" s="132"/>
      <c r="E14" s="132"/>
      <c r="F14" s="132"/>
      <c r="G14" s="133"/>
    </row>
    <row r="15" spans="2:11" ht="15.75" customHeight="1" x14ac:dyDescent="0.3">
      <c r="B15" s="399"/>
      <c r="C15" s="402" t="s">
        <v>210</v>
      </c>
      <c r="D15" s="403"/>
      <c r="E15" s="403"/>
      <c r="F15" s="403"/>
      <c r="G15" s="404"/>
    </row>
    <row r="16" spans="2:11" ht="15" customHeight="1" x14ac:dyDescent="0.3">
      <c r="B16" s="400"/>
      <c r="C16" s="402" t="s">
        <v>223</v>
      </c>
      <c r="D16" s="403"/>
      <c r="E16" s="403"/>
      <c r="F16" s="403"/>
      <c r="G16" s="404"/>
      <c r="J16" s="94"/>
    </row>
    <row r="17" spans="2:14" ht="15" customHeight="1" x14ac:dyDescent="0.3">
      <c r="B17" s="400"/>
      <c r="C17" s="59"/>
      <c r="D17" s="60"/>
      <c r="E17" s="60"/>
      <c r="F17" s="60"/>
      <c r="G17" s="61"/>
    </row>
    <row r="18" spans="2:14" ht="15" customHeight="1" x14ac:dyDescent="0.25">
      <c r="B18" s="134" t="s">
        <v>86</v>
      </c>
      <c r="C18" s="135"/>
      <c r="D18" s="135"/>
      <c r="E18" s="135"/>
      <c r="F18" s="135"/>
      <c r="G18" s="136"/>
    </row>
    <row r="19" spans="2:14" ht="15.75" customHeight="1" x14ac:dyDescent="0.25">
      <c r="B19" s="137"/>
      <c r="C19" s="138"/>
      <c r="D19" s="138"/>
      <c r="E19" s="138"/>
      <c r="F19" s="138"/>
      <c r="G19" s="139"/>
    </row>
    <row r="20" spans="2:14" ht="15" customHeight="1" x14ac:dyDescent="0.25">
      <c r="B20" s="150" t="s">
        <v>80</v>
      </c>
      <c r="C20" s="151"/>
      <c r="D20" s="151"/>
      <c r="E20" s="151"/>
      <c r="F20" s="154">
        <v>4.4000000000000004</v>
      </c>
      <c r="G20" s="156" t="s">
        <v>82</v>
      </c>
    </row>
    <row r="21" spans="2:14" ht="16.5" customHeight="1" x14ac:dyDescent="0.25">
      <c r="B21" s="152"/>
      <c r="C21" s="153"/>
      <c r="D21" s="153"/>
      <c r="E21" s="153"/>
      <c r="F21" s="155"/>
      <c r="G21" s="157"/>
    </row>
    <row r="22" spans="2:14" ht="15.75" customHeight="1" x14ac:dyDescent="0.3">
      <c r="B22" s="127" t="s">
        <v>173</v>
      </c>
      <c r="C22" s="63"/>
      <c r="D22" s="64"/>
      <c r="E22" s="64"/>
      <c r="F22" s="49"/>
      <c r="G22" s="50"/>
    </row>
    <row r="23" spans="2:14" ht="15.75" x14ac:dyDescent="0.3">
      <c r="B23" s="128"/>
      <c r="C23" s="51" t="s">
        <v>83</v>
      </c>
      <c r="D23" s="52"/>
      <c r="E23" s="89"/>
      <c r="F23" s="53"/>
      <c r="G23" s="53"/>
      <c r="N23" s="84"/>
    </row>
    <row r="24" spans="2:14" ht="15.75" x14ac:dyDescent="0.3">
      <c r="B24" s="128"/>
      <c r="C24" s="54" t="s">
        <v>216</v>
      </c>
      <c r="F24" s="55"/>
      <c r="G24" s="53"/>
    </row>
    <row r="25" spans="2:14" ht="15.75" x14ac:dyDescent="0.3">
      <c r="B25" s="128"/>
      <c r="C25" s="54" t="s">
        <v>217</v>
      </c>
      <c r="D25" s="52"/>
      <c r="E25" s="52"/>
      <c r="F25" s="88"/>
      <c r="G25" s="53"/>
    </row>
    <row r="26" spans="2:14" ht="15.75" x14ac:dyDescent="0.3">
      <c r="B26" s="128"/>
      <c r="C26" s="54" t="s">
        <v>218</v>
      </c>
      <c r="F26" s="53"/>
      <c r="G26" s="53"/>
    </row>
    <row r="27" spans="2:14" ht="15.75" customHeight="1" x14ac:dyDescent="0.25">
      <c r="B27" s="128"/>
      <c r="C27" s="66"/>
      <c r="F27" s="53"/>
      <c r="G27" s="53"/>
    </row>
    <row r="28" spans="2:14" x14ac:dyDescent="0.25">
      <c r="B28" s="128"/>
      <c r="C28" s="66"/>
      <c r="F28" s="53"/>
      <c r="G28" s="68"/>
    </row>
    <row r="29" spans="2:14" ht="15.75" x14ac:dyDescent="0.3">
      <c r="B29" s="128"/>
      <c r="C29" s="54"/>
      <c r="F29" s="53"/>
      <c r="G29" s="53"/>
    </row>
    <row r="30" spans="2:14" ht="15.75" customHeight="1" x14ac:dyDescent="0.3">
      <c r="B30" s="128"/>
      <c r="C30" s="59"/>
      <c r="D30" s="60"/>
      <c r="E30" s="60"/>
      <c r="F30" s="61"/>
      <c r="G30" s="61"/>
    </row>
    <row r="31" spans="2:14" ht="15.75" customHeight="1" x14ac:dyDescent="0.25">
      <c r="B31" s="128"/>
      <c r="C31" s="173" t="s">
        <v>85</v>
      </c>
      <c r="D31" s="174"/>
      <c r="E31" s="174"/>
      <c r="F31" s="174"/>
      <c r="G31" s="133"/>
    </row>
    <row r="32" spans="2:14" ht="15.75" customHeight="1" x14ac:dyDescent="0.3">
      <c r="B32" s="167"/>
      <c r="C32" s="58" t="s">
        <v>221</v>
      </c>
      <c r="D32" s="48"/>
      <c r="E32" s="48"/>
      <c r="F32" s="49"/>
      <c r="G32" s="49"/>
    </row>
    <row r="33" spans="2:7" ht="15.75" customHeight="1" x14ac:dyDescent="0.3">
      <c r="B33" s="167"/>
      <c r="C33" s="54" t="s">
        <v>222</v>
      </c>
      <c r="F33" s="53"/>
      <c r="G33" s="55"/>
    </row>
    <row r="34" spans="2:7" ht="15.75" x14ac:dyDescent="0.3">
      <c r="B34" s="168"/>
      <c r="C34" s="54" t="s">
        <v>219</v>
      </c>
      <c r="F34" s="53"/>
      <c r="G34" s="53"/>
    </row>
    <row r="35" spans="2:7" ht="15.75" customHeight="1" x14ac:dyDescent="0.3">
      <c r="B35" s="169"/>
      <c r="C35" s="59" t="s">
        <v>220</v>
      </c>
      <c r="D35" s="60"/>
      <c r="E35" s="60"/>
      <c r="F35" s="61"/>
      <c r="G35" s="61"/>
    </row>
    <row r="36" spans="2:7" ht="15.75" customHeight="1" x14ac:dyDescent="0.25">
      <c r="B36" s="161" t="s">
        <v>87</v>
      </c>
      <c r="C36" s="162"/>
      <c r="D36" s="162"/>
      <c r="E36" s="161" t="s">
        <v>88</v>
      </c>
      <c r="F36" s="162"/>
      <c r="G36" s="165"/>
    </row>
    <row r="37" spans="2:7" ht="15.75" customHeight="1" x14ac:dyDescent="0.25">
      <c r="B37" s="163"/>
      <c r="C37" s="164"/>
      <c r="D37" s="164"/>
      <c r="E37" s="163"/>
      <c r="F37" s="164"/>
      <c r="G37" s="166"/>
    </row>
    <row r="38" spans="2:7" ht="15.75" customHeight="1" x14ac:dyDescent="0.25">
      <c r="B38" s="46"/>
      <c r="C38" s="64"/>
      <c r="D38" s="65"/>
      <c r="E38" s="46"/>
      <c r="F38" s="64"/>
      <c r="G38" s="65"/>
    </row>
    <row r="39" spans="2:7" ht="15.75" customHeight="1" x14ac:dyDescent="0.25">
      <c r="B39" s="66"/>
      <c r="D39" s="53"/>
      <c r="E39" s="66"/>
      <c r="G39" s="53"/>
    </row>
    <row r="40" spans="2:7" ht="15.75" customHeight="1" x14ac:dyDescent="0.25">
      <c r="B40" s="66"/>
      <c r="D40" s="53"/>
      <c r="E40" s="66"/>
      <c r="G40" s="53"/>
    </row>
    <row r="41" spans="2:7" ht="15.75" customHeight="1" x14ac:dyDescent="0.25">
      <c r="B41" s="66"/>
      <c r="D41" s="53"/>
      <c r="E41" s="66"/>
      <c r="G41" s="53"/>
    </row>
    <row r="42" spans="2:7" ht="15.75" customHeight="1" x14ac:dyDescent="0.25">
      <c r="B42" s="66"/>
      <c r="D42" s="53"/>
      <c r="E42" s="66"/>
      <c r="G42" s="53"/>
    </row>
    <row r="43" spans="2:7" ht="15.75" customHeight="1" x14ac:dyDescent="0.25">
      <c r="B43" s="66"/>
      <c r="D43" s="53"/>
      <c r="E43" s="66"/>
      <c r="G43" s="53"/>
    </row>
    <row r="44" spans="2:7" ht="15.75" customHeight="1" x14ac:dyDescent="0.25">
      <c r="B44" s="66"/>
      <c r="D44" s="53"/>
      <c r="E44" s="66"/>
      <c r="G44" s="53"/>
    </row>
    <row r="45" spans="2:7" ht="15.75" customHeight="1" x14ac:dyDescent="0.25">
      <c r="B45" s="66"/>
      <c r="D45" s="53"/>
      <c r="E45" s="66"/>
      <c r="G45" s="53"/>
    </row>
    <row r="46" spans="2:7" ht="15.75" customHeight="1" x14ac:dyDescent="0.25">
      <c r="B46" s="66"/>
      <c r="D46" s="53"/>
      <c r="E46" s="66"/>
      <c r="G46" s="53"/>
    </row>
    <row r="47" spans="2:7" x14ac:dyDescent="0.25">
      <c r="B47" s="66"/>
      <c r="D47" s="53"/>
      <c r="E47" s="66"/>
      <c r="G47" s="53"/>
    </row>
    <row r="48" spans="2:7" x14ac:dyDescent="0.25">
      <c r="B48" s="67"/>
      <c r="C48" s="60"/>
      <c r="D48" s="61"/>
      <c r="E48" s="67"/>
      <c r="F48" s="60"/>
      <c r="G48" s="61"/>
    </row>
  </sheetData>
  <mergeCells count="18">
    <mergeCell ref="B1:D2"/>
    <mergeCell ref="E1:F2"/>
    <mergeCell ref="G1:G2"/>
    <mergeCell ref="B3:E4"/>
    <mergeCell ref="F3:F4"/>
    <mergeCell ref="G3:G4"/>
    <mergeCell ref="B22:B35"/>
    <mergeCell ref="C31:G31"/>
    <mergeCell ref="B36:D37"/>
    <mergeCell ref="E36:G37"/>
    <mergeCell ref="C16:G16"/>
    <mergeCell ref="B5:B17"/>
    <mergeCell ref="C14:G14"/>
    <mergeCell ref="C15:G15"/>
    <mergeCell ref="B18:G19"/>
    <mergeCell ref="B20:E21"/>
    <mergeCell ref="F20:F21"/>
    <mergeCell ref="G20:G21"/>
  </mergeCells>
  <pageMargins left="0.25" right="0.25" top="0.75" bottom="0.75" header="0.3" footer="0.3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56F91-5411-486A-ACE5-E6C7886F5FE0}">
  <dimension ref="B1:N48"/>
  <sheetViews>
    <sheetView zoomScaleNormal="100" workbookViewId="0">
      <selection activeCell="E12" sqref="E12"/>
    </sheetView>
  </sheetViews>
  <sheetFormatPr baseColWidth="10" defaultColWidth="11.42578125" defaultRowHeight="15" x14ac:dyDescent="0.25"/>
  <cols>
    <col min="1" max="1" width="2.85546875" customWidth="1"/>
    <col min="2" max="2" width="10" customWidth="1"/>
    <col min="3" max="7" width="16.28515625" customWidth="1"/>
  </cols>
  <sheetData>
    <row r="1" spans="2:11" x14ac:dyDescent="0.25">
      <c r="B1" s="140" t="s">
        <v>81</v>
      </c>
      <c r="C1" s="141"/>
      <c r="D1" s="141"/>
      <c r="E1" s="144">
        <f>Kompetenzraster!Q35</f>
        <v>46546</v>
      </c>
      <c r="F1" s="145"/>
      <c r="G1" s="148">
        <v>16</v>
      </c>
    </row>
    <row r="2" spans="2:11" x14ac:dyDescent="0.25">
      <c r="B2" s="142"/>
      <c r="C2" s="143"/>
      <c r="D2" s="143"/>
      <c r="E2" s="146"/>
      <c r="F2" s="147"/>
      <c r="G2" s="149"/>
    </row>
    <row r="3" spans="2:11" ht="15.75" customHeight="1" x14ac:dyDescent="0.25">
      <c r="B3" s="389" t="s">
        <v>206</v>
      </c>
      <c r="C3" s="390"/>
      <c r="D3" s="390"/>
      <c r="E3" s="390"/>
      <c r="F3" s="393">
        <v>4.9000000000000004</v>
      </c>
      <c r="G3" s="395" t="s">
        <v>82</v>
      </c>
    </row>
    <row r="4" spans="2:11" ht="14.25" customHeight="1" x14ac:dyDescent="0.25">
      <c r="B4" s="391"/>
      <c r="C4" s="401"/>
      <c r="D4" s="401"/>
      <c r="E4" s="401"/>
      <c r="F4" s="394"/>
      <c r="G4" s="396"/>
    </row>
    <row r="5" spans="2:11" ht="15.75" customHeight="1" x14ac:dyDescent="0.3">
      <c r="B5" s="397" t="s">
        <v>172</v>
      </c>
      <c r="C5" s="58"/>
      <c r="D5" s="92"/>
      <c r="E5" s="92"/>
      <c r="F5" s="93"/>
      <c r="G5" s="50"/>
    </row>
    <row r="6" spans="2:11" x14ac:dyDescent="0.25">
      <c r="B6" s="398"/>
      <c r="C6" s="51" t="s">
        <v>113</v>
      </c>
      <c r="D6" s="76"/>
      <c r="E6" s="76"/>
      <c r="F6" s="88"/>
      <c r="G6" s="53"/>
    </row>
    <row r="7" spans="2:11" ht="15.75" x14ac:dyDescent="0.3">
      <c r="B7" s="398"/>
      <c r="C7" s="54" t="s">
        <v>225</v>
      </c>
      <c r="F7" s="53"/>
      <c r="G7" s="53"/>
    </row>
    <row r="8" spans="2:11" ht="15.75" x14ac:dyDescent="0.3">
      <c r="B8" s="398"/>
      <c r="C8" s="51" t="s">
        <v>114</v>
      </c>
      <c r="F8" s="53"/>
      <c r="G8" s="55"/>
    </row>
    <row r="9" spans="2:11" ht="15.75" x14ac:dyDescent="0.3">
      <c r="B9" s="398"/>
      <c r="C9" s="54" t="s">
        <v>226</v>
      </c>
      <c r="F9" s="53"/>
      <c r="G9" s="53"/>
    </row>
    <row r="10" spans="2:11" x14ac:dyDescent="0.25">
      <c r="B10" s="398"/>
      <c r="C10" s="66"/>
      <c r="F10" s="53"/>
      <c r="G10" s="53"/>
      <c r="K10" s="84"/>
    </row>
    <row r="11" spans="2:11" ht="15.75" x14ac:dyDescent="0.3">
      <c r="B11" s="398"/>
      <c r="C11" s="54"/>
      <c r="D11" s="76"/>
      <c r="E11" s="76"/>
      <c r="F11" s="88"/>
      <c r="G11" s="68"/>
    </row>
    <row r="12" spans="2:11" ht="15.75" x14ac:dyDescent="0.3">
      <c r="B12" s="398"/>
      <c r="C12" s="54"/>
      <c r="F12" s="53"/>
      <c r="G12" s="53"/>
    </row>
    <row r="13" spans="2:11" ht="15.75" x14ac:dyDescent="0.3">
      <c r="B13" s="398"/>
      <c r="C13" s="59"/>
      <c r="D13" s="60"/>
      <c r="E13" s="60"/>
      <c r="F13" s="61"/>
      <c r="G13" s="61"/>
    </row>
    <row r="14" spans="2:11" x14ac:dyDescent="0.25">
      <c r="B14" s="398"/>
      <c r="C14" s="131" t="s">
        <v>85</v>
      </c>
      <c r="D14" s="132"/>
      <c r="E14" s="132"/>
      <c r="F14" s="132"/>
      <c r="G14" s="133"/>
    </row>
    <row r="15" spans="2:11" ht="15.75" customHeight="1" x14ac:dyDescent="0.3">
      <c r="B15" s="399"/>
      <c r="C15" s="402" t="s">
        <v>210</v>
      </c>
      <c r="D15" s="403"/>
      <c r="E15" s="403"/>
      <c r="F15" s="403"/>
      <c r="G15" s="404"/>
    </row>
    <row r="16" spans="2:11" ht="15" customHeight="1" x14ac:dyDescent="0.3">
      <c r="B16" s="400"/>
      <c r="C16" s="402" t="s">
        <v>223</v>
      </c>
      <c r="D16" s="403"/>
      <c r="E16" s="403"/>
      <c r="F16" s="403"/>
      <c r="G16" s="404"/>
      <c r="J16" s="94"/>
    </row>
    <row r="17" spans="2:14" ht="15" customHeight="1" x14ac:dyDescent="0.3">
      <c r="B17" s="400"/>
      <c r="C17" s="59"/>
      <c r="D17" s="60"/>
      <c r="E17" s="60"/>
      <c r="F17" s="60"/>
      <c r="G17" s="61"/>
    </row>
    <row r="18" spans="2:14" ht="15" customHeight="1" x14ac:dyDescent="0.25">
      <c r="B18" s="134" t="s">
        <v>86</v>
      </c>
      <c r="C18" s="135"/>
      <c r="D18" s="135"/>
      <c r="E18" s="135"/>
      <c r="F18" s="135"/>
      <c r="G18" s="136"/>
    </row>
    <row r="19" spans="2:14" ht="15.75" customHeight="1" x14ac:dyDescent="0.25">
      <c r="B19" s="137"/>
      <c r="C19" s="138"/>
      <c r="D19" s="138"/>
      <c r="E19" s="138"/>
      <c r="F19" s="138"/>
      <c r="G19" s="139"/>
    </row>
    <row r="20" spans="2:14" ht="15" customHeight="1" x14ac:dyDescent="0.25">
      <c r="B20" s="150" t="s">
        <v>80</v>
      </c>
      <c r="C20" s="151"/>
      <c r="D20" s="151"/>
      <c r="E20" s="151"/>
      <c r="F20" s="154">
        <v>4.4000000000000004</v>
      </c>
      <c r="G20" s="156" t="s">
        <v>82</v>
      </c>
    </row>
    <row r="21" spans="2:14" ht="16.5" customHeight="1" x14ac:dyDescent="0.25">
      <c r="B21" s="152"/>
      <c r="C21" s="153"/>
      <c r="D21" s="153"/>
      <c r="E21" s="153"/>
      <c r="F21" s="155"/>
      <c r="G21" s="157"/>
    </row>
    <row r="22" spans="2:14" ht="15.75" customHeight="1" x14ac:dyDescent="0.3">
      <c r="B22" s="127" t="s">
        <v>173</v>
      </c>
      <c r="C22" s="63"/>
      <c r="D22" s="64"/>
      <c r="E22" s="64"/>
      <c r="F22" s="49"/>
      <c r="G22" s="50"/>
    </row>
    <row r="23" spans="2:14" ht="15.75" x14ac:dyDescent="0.3">
      <c r="B23" s="128"/>
      <c r="C23" s="51" t="s">
        <v>84</v>
      </c>
      <c r="D23" s="52"/>
      <c r="E23" s="89"/>
      <c r="F23" s="53"/>
      <c r="G23" s="53"/>
      <c r="N23" s="84"/>
    </row>
    <row r="24" spans="2:14" ht="15.75" x14ac:dyDescent="0.3">
      <c r="B24" s="128"/>
      <c r="C24" s="54" t="s">
        <v>227</v>
      </c>
      <c r="F24" s="55"/>
      <c r="G24" s="53"/>
    </row>
    <row r="25" spans="2:14" ht="15.75" x14ac:dyDescent="0.3">
      <c r="B25" s="128"/>
      <c r="C25" s="54" t="s">
        <v>217</v>
      </c>
      <c r="D25" s="52"/>
      <c r="E25" s="52"/>
      <c r="F25" s="88"/>
      <c r="G25" s="53"/>
    </row>
    <row r="26" spans="2:14" ht="15.75" x14ac:dyDescent="0.3">
      <c r="B26" s="128"/>
      <c r="C26" s="54" t="s">
        <v>228</v>
      </c>
      <c r="F26" s="53"/>
      <c r="G26" s="53"/>
    </row>
    <row r="27" spans="2:14" ht="15.75" customHeight="1" x14ac:dyDescent="0.25">
      <c r="B27" s="128"/>
      <c r="C27" s="66"/>
      <c r="F27" s="53"/>
      <c r="G27" s="53"/>
    </row>
    <row r="28" spans="2:14" x14ac:dyDescent="0.25">
      <c r="B28" s="128"/>
      <c r="C28" s="66"/>
      <c r="F28" s="53"/>
      <c r="G28" s="68"/>
    </row>
    <row r="29" spans="2:14" ht="15.75" x14ac:dyDescent="0.3">
      <c r="B29" s="128"/>
      <c r="C29" s="54"/>
      <c r="F29" s="53"/>
      <c r="G29" s="53"/>
    </row>
    <row r="30" spans="2:14" ht="15.75" customHeight="1" x14ac:dyDescent="0.3">
      <c r="B30" s="128"/>
      <c r="C30" s="59"/>
      <c r="D30" s="60"/>
      <c r="E30" s="60"/>
      <c r="F30" s="61"/>
      <c r="G30" s="61"/>
    </row>
    <row r="31" spans="2:14" ht="15.75" customHeight="1" x14ac:dyDescent="0.25">
      <c r="B31" s="128"/>
      <c r="C31" s="173" t="s">
        <v>85</v>
      </c>
      <c r="D31" s="174"/>
      <c r="E31" s="174"/>
      <c r="F31" s="174"/>
      <c r="G31" s="133"/>
    </row>
    <row r="32" spans="2:14" ht="15.75" customHeight="1" x14ac:dyDescent="0.3">
      <c r="B32" s="167"/>
      <c r="C32" s="58" t="s">
        <v>221</v>
      </c>
      <c r="D32" s="48"/>
      <c r="E32" s="48"/>
      <c r="F32" s="49"/>
      <c r="G32" s="49"/>
    </row>
    <row r="33" spans="2:7" ht="15.75" customHeight="1" x14ac:dyDescent="0.3">
      <c r="B33" s="167"/>
      <c r="C33" s="54" t="s">
        <v>222</v>
      </c>
      <c r="F33" s="53"/>
      <c r="G33" s="55"/>
    </row>
    <row r="34" spans="2:7" ht="15.75" x14ac:dyDescent="0.3">
      <c r="B34" s="168"/>
      <c r="C34" s="54" t="s">
        <v>219</v>
      </c>
      <c r="F34" s="53"/>
      <c r="G34" s="53"/>
    </row>
    <row r="35" spans="2:7" ht="15.75" customHeight="1" x14ac:dyDescent="0.3">
      <c r="B35" s="169"/>
      <c r="C35" s="59" t="s">
        <v>220</v>
      </c>
      <c r="D35" s="60"/>
      <c r="E35" s="60"/>
      <c r="F35" s="61"/>
      <c r="G35" s="61"/>
    </row>
    <row r="36" spans="2:7" ht="15.75" customHeight="1" x14ac:dyDescent="0.25">
      <c r="B36" s="161" t="s">
        <v>87</v>
      </c>
      <c r="C36" s="162"/>
      <c r="D36" s="162"/>
      <c r="E36" s="161" t="s">
        <v>88</v>
      </c>
      <c r="F36" s="162"/>
      <c r="G36" s="165"/>
    </row>
    <row r="37" spans="2:7" ht="15.75" customHeight="1" x14ac:dyDescent="0.25">
      <c r="B37" s="163"/>
      <c r="C37" s="164"/>
      <c r="D37" s="164"/>
      <c r="E37" s="163"/>
      <c r="F37" s="164"/>
      <c r="G37" s="166"/>
    </row>
    <row r="38" spans="2:7" ht="15.75" customHeight="1" x14ac:dyDescent="0.25">
      <c r="B38" s="46"/>
      <c r="C38" s="64"/>
      <c r="D38" s="65"/>
      <c r="E38" s="46"/>
      <c r="F38" s="64"/>
      <c r="G38" s="65"/>
    </row>
    <row r="39" spans="2:7" ht="15.75" customHeight="1" x14ac:dyDescent="0.25">
      <c r="B39" s="66"/>
      <c r="D39" s="53"/>
      <c r="E39" s="66"/>
      <c r="G39" s="53"/>
    </row>
    <row r="40" spans="2:7" ht="15.75" customHeight="1" x14ac:dyDescent="0.25">
      <c r="B40" s="66"/>
      <c r="D40" s="53"/>
      <c r="E40" s="66"/>
      <c r="G40" s="53"/>
    </row>
    <row r="41" spans="2:7" ht="15.75" customHeight="1" x14ac:dyDescent="0.25">
      <c r="B41" s="66"/>
      <c r="D41" s="53"/>
      <c r="E41" s="66"/>
      <c r="G41" s="53"/>
    </row>
    <row r="42" spans="2:7" ht="15.75" customHeight="1" x14ac:dyDescent="0.25">
      <c r="B42" s="66"/>
      <c r="D42" s="53"/>
      <c r="E42" s="66"/>
      <c r="G42" s="53"/>
    </row>
    <row r="43" spans="2:7" ht="15.75" customHeight="1" x14ac:dyDescent="0.25">
      <c r="B43" s="66"/>
      <c r="D43" s="53"/>
      <c r="E43" s="66"/>
      <c r="G43" s="53"/>
    </row>
    <row r="44" spans="2:7" ht="15.75" customHeight="1" x14ac:dyDescent="0.25">
      <c r="B44" s="66"/>
      <c r="D44" s="53"/>
      <c r="E44" s="66"/>
      <c r="G44" s="53"/>
    </row>
    <row r="45" spans="2:7" ht="15.75" customHeight="1" x14ac:dyDescent="0.25">
      <c r="B45" s="66"/>
      <c r="D45" s="53"/>
      <c r="E45" s="66"/>
      <c r="G45" s="53"/>
    </row>
    <row r="46" spans="2:7" ht="15.75" customHeight="1" x14ac:dyDescent="0.25">
      <c r="B46" s="66"/>
      <c r="D46" s="53"/>
      <c r="E46" s="66"/>
      <c r="G46" s="53"/>
    </row>
    <row r="47" spans="2:7" x14ac:dyDescent="0.25">
      <c r="B47" s="66"/>
      <c r="D47" s="53"/>
      <c r="E47" s="66"/>
      <c r="G47" s="53"/>
    </row>
    <row r="48" spans="2:7" x14ac:dyDescent="0.25">
      <c r="B48" s="67"/>
      <c r="C48" s="60"/>
      <c r="D48" s="61"/>
      <c r="E48" s="67"/>
      <c r="F48" s="60"/>
      <c r="G48" s="61"/>
    </row>
  </sheetData>
  <mergeCells count="18">
    <mergeCell ref="B1:D2"/>
    <mergeCell ref="E1:F2"/>
    <mergeCell ref="G1:G2"/>
    <mergeCell ref="B3:E4"/>
    <mergeCell ref="F3:F4"/>
    <mergeCell ref="G3:G4"/>
    <mergeCell ref="B22:B35"/>
    <mergeCell ref="C31:G31"/>
    <mergeCell ref="B36:D37"/>
    <mergeCell ref="E36:G37"/>
    <mergeCell ref="B5:B17"/>
    <mergeCell ref="C14:G14"/>
    <mergeCell ref="C15:G15"/>
    <mergeCell ref="C16:G16"/>
    <mergeCell ref="B18:G19"/>
    <mergeCell ref="B20:E21"/>
    <mergeCell ref="F20:F21"/>
    <mergeCell ref="G20:G21"/>
  </mergeCells>
  <pageMargins left="0.25" right="0.25" top="0.75" bottom="0.75" header="0.3" footer="0.3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33D2B-B7B2-4326-9993-19B7E9F6EEA3}">
  <dimension ref="B1:K49"/>
  <sheetViews>
    <sheetView view="pageLayout" zoomScaleNormal="100" workbookViewId="0">
      <selection activeCell="E6" sqref="E6"/>
    </sheetView>
  </sheetViews>
  <sheetFormatPr baseColWidth="10" defaultColWidth="11.42578125" defaultRowHeight="15" x14ac:dyDescent="0.25"/>
  <cols>
    <col min="1" max="1" width="2.85546875" customWidth="1"/>
    <col min="2" max="2" width="10" customWidth="1"/>
    <col min="3" max="7" width="16.28515625" customWidth="1"/>
  </cols>
  <sheetData>
    <row r="1" spans="2:11" x14ac:dyDescent="0.25">
      <c r="B1" s="140" t="s">
        <v>81</v>
      </c>
      <c r="C1" s="141"/>
      <c r="D1" s="141"/>
      <c r="E1" s="144">
        <f>Kompetenzraster!Q37</f>
        <v>46553</v>
      </c>
      <c r="F1" s="145"/>
      <c r="G1" s="148">
        <v>17</v>
      </c>
    </row>
    <row r="2" spans="2:11" x14ac:dyDescent="0.25">
      <c r="B2" s="142"/>
      <c r="C2" s="143"/>
      <c r="D2" s="143"/>
      <c r="E2" s="146"/>
      <c r="F2" s="147"/>
      <c r="G2" s="149"/>
    </row>
    <row r="3" spans="2:11" ht="15.75" customHeight="1" x14ac:dyDescent="0.25">
      <c r="B3" s="389" t="s">
        <v>74</v>
      </c>
      <c r="C3" s="390"/>
      <c r="D3" s="390"/>
      <c r="E3" s="390"/>
      <c r="F3" s="408">
        <v>4.0999999999999996</v>
      </c>
      <c r="G3" s="395" t="s">
        <v>82</v>
      </c>
    </row>
    <row r="4" spans="2:11" ht="14.25" customHeight="1" x14ac:dyDescent="0.25">
      <c r="B4" s="391"/>
      <c r="C4" s="401"/>
      <c r="D4" s="401"/>
      <c r="E4" s="401"/>
      <c r="F4" s="409"/>
      <c r="G4" s="396"/>
    </row>
    <row r="5" spans="2:11" ht="15.75" customHeight="1" x14ac:dyDescent="0.3">
      <c r="B5" s="397" t="s">
        <v>229</v>
      </c>
      <c r="C5" s="58"/>
      <c r="D5" s="92"/>
      <c r="E5" s="92"/>
      <c r="F5" s="93"/>
      <c r="G5" s="50"/>
    </row>
    <row r="6" spans="2:11" ht="15.75" x14ac:dyDescent="0.3">
      <c r="B6" s="398"/>
      <c r="C6" s="51" t="s">
        <v>230</v>
      </c>
      <c r="D6" s="52"/>
      <c r="E6" s="95"/>
      <c r="F6" s="88"/>
      <c r="G6" s="53"/>
    </row>
    <row r="7" spans="2:11" ht="15.75" x14ac:dyDescent="0.3">
      <c r="B7" s="398"/>
      <c r="C7" s="54"/>
      <c r="D7" s="52"/>
      <c r="E7" s="52"/>
      <c r="F7" s="53"/>
      <c r="G7" s="53"/>
    </row>
    <row r="8" spans="2:11" ht="15.75" x14ac:dyDescent="0.3">
      <c r="B8" s="398"/>
      <c r="C8" s="51" t="s">
        <v>236</v>
      </c>
      <c r="D8" s="52" t="s">
        <v>237</v>
      </c>
      <c r="E8" s="52"/>
      <c r="F8" s="53"/>
      <c r="G8" s="55"/>
    </row>
    <row r="9" spans="2:11" ht="15.75" x14ac:dyDescent="0.3">
      <c r="B9" s="398"/>
      <c r="C9" s="54"/>
      <c r="D9" s="52" t="s">
        <v>238</v>
      </c>
      <c r="E9" s="52"/>
      <c r="F9" s="53"/>
      <c r="G9" s="53"/>
    </row>
    <row r="10" spans="2:11" ht="15.75" x14ac:dyDescent="0.3">
      <c r="B10" s="398"/>
      <c r="C10" s="54"/>
      <c r="D10" s="52" t="s">
        <v>239</v>
      </c>
      <c r="E10" s="52"/>
      <c r="F10" s="53"/>
      <c r="G10" s="53"/>
      <c r="K10" s="84"/>
    </row>
    <row r="11" spans="2:11" x14ac:dyDescent="0.25">
      <c r="B11" s="398"/>
      <c r="C11" s="66"/>
      <c r="F11" s="53"/>
      <c r="G11" s="53"/>
      <c r="K11" s="84"/>
    </row>
    <row r="12" spans="2:11" x14ac:dyDescent="0.25">
      <c r="B12" s="398"/>
      <c r="C12" s="66"/>
      <c r="F12" s="53"/>
      <c r="G12" s="53"/>
      <c r="K12" s="84"/>
    </row>
    <row r="13" spans="2:11" x14ac:dyDescent="0.25">
      <c r="B13" s="398"/>
      <c r="C13" s="66"/>
      <c r="F13" s="53"/>
      <c r="G13" s="53"/>
      <c r="K13" s="84"/>
    </row>
    <row r="14" spans="2:11" x14ac:dyDescent="0.25">
      <c r="B14" s="398"/>
      <c r="C14" s="66"/>
      <c r="F14" s="53"/>
      <c r="G14" s="53"/>
      <c r="K14" s="84"/>
    </row>
    <row r="15" spans="2:11" x14ac:dyDescent="0.25">
      <c r="B15" s="398"/>
      <c r="C15" s="66"/>
      <c r="F15" s="53"/>
      <c r="G15" s="53"/>
      <c r="K15" s="84"/>
    </row>
    <row r="16" spans="2:11" x14ac:dyDescent="0.25">
      <c r="B16" s="398"/>
      <c r="C16" s="66"/>
      <c r="F16" s="53"/>
      <c r="G16" s="53"/>
      <c r="K16" s="84"/>
    </row>
    <row r="17" spans="2:11" x14ac:dyDescent="0.25">
      <c r="B17" s="398"/>
      <c r="C17" s="66"/>
      <c r="F17" s="53"/>
      <c r="G17" s="53"/>
      <c r="K17" s="84"/>
    </row>
    <row r="18" spans="2:11" x14ac:dyDescent="0.25">
      <c r="B18" s="398"/>
      <c r="C18" s="66"/>
      <c r="F18" s="53"/>
      <c r="G18" s="53"/>
      <c r="K18" s="84"/>
    </row>
    <row r="19" spans="2:11" x14ac:dyDescent="0.25">
      <c r="B19" s="398"/>
      <c r="C19" s="66"/>
      <c r="F19" s="53"/>
      <c r="G19" s="53"/>
      <c r="K19" s="84"/>
    </row>
    <row r="20" spans="2:11" x14ac:dyDescent="0.25">
      <c r="B20" s="398"/>
      <c r="C20" s="66"/>
      <c r="F20" s="53"/>
      <c r="G20" s="53"/>
      <c r="K20" s="84"/>
    </row>
    <row r="21" spans="2:11" x14ac:dyDescent="0.25">
      <c r="B21" s="398"/>
      <c r="C21" s="66"/>
      <c r="F21" s="53"/>
      <c r="G21" s="53"/>
      <c r="K21" s="84"/>
    </row>
    <row r="22" spans="2:11" x14ac:dyDescent="0.25">
      <c r="B22" s="398"/>
      <c r="C22" s="66"/>
      <c r="F22" s="53"/>
      <c r="G22" s="53"/>
      <c r="K22" s="84"/>
    </row>
    <row r="23" spans="2:11" x14ac:dyDescent="0.25">
      <c r="B23" s="398"/>
      <c r="C23" s="66"/>
      <c r="F23" s="53"/>
      <c r="G23" s="53"/>
      <c r="K23" s="84"/>
    </row>
    <row r="24" spans="2:11" x14ac:dyDescent="0.25">
      <c r="B24" s="398"/>
      <c r="C24" s="66"/>
      <c r="F24" s="53"/>
      <c r="G24" s="53"/>
      <c r="K24" s="84"/>
    </row>
    <row r="25" spans="2:11" x14ac:dyDescent="0.25">
      <c r="B25" s="398"/>
      <c r="C25" s="66"/>
      <c r="F25" s="53"/>
      <c r="G25" s="53"/>
      <c r="K25" s="84"/>
    </row>
    <row r="26" spans="2:11" x14ac:dyDescent="0.25">
      <c r="B26" s="398"/>
      <c r="C26" s="66"/>
      <c r="F26" s="53"/>
      <c r="G26" s="53"/>
      <c r="K26" s="84"/>
    </row>
    <row r="27" spans="2:11" x14ac:dyDescent="0.25">
      <c r="B27" s="398"/>
      <c r="C27" s="66"/>
      <c r="F27" s="53"/>
      <c r="G27" s="53"/>
      <c r="K27" s="84"/>
    </row>
    <row r="28" spans="2:11" x14ac:dyDescent="0.25">
      <c r="B28" s="398"/>
      <c r="C28" s="66"/>
      <c r="F28" s="53"/>
      <c r="G28" s="53"/>
      <c r="K28" s="84"/>
    </row>
    <row r="29" spans="2:11" x14ac:dyDescent="0.25">
      <c r="B29" s="398"/>
      <c r="C29" s="66"/>
      <c r="F29" s="53"/>
      <c r="G29" s="53"/>
      <c r="K29" s="84"/>
    </row>
    <row r="30" spans="2:11" x14ac:dyDescent="0.25">
      <c r="B30" s="398"/>
      <c r="C30" s="51" t="s">
        <v>231</v>
      </c>
      <c r="F30" s="53"/>
      <c r="G30" s="53"/>
      <c r="K30" s="84"/>
    </row>
    <row r="31" spans="2:11" x14ac:dyDescent="0.25">
      <c r="B31" s="398"/>
      <c r="C31" s="66"/>
      <c r="F31" s="53"/>
      <c r="G31" s="53"/>
      <c r="K31" s="84"/>
    </row>
    <row r="32" spans="2:11" x14ac:dyDescent="0.25">
      <c r="B32" s="398"/>
      <c r="C32" s="66"/>
      <c r="F32" s="53"/>
      <c r="G32" s="53"/>
      <c r="K32" s="84"/>
    </row>
    <row r="33" spans="2:11" x14ac:dyDescent="0.25">
      <c r="B33" s="398"/>
      <c r="C33" s="66"/>
      <c r="F33" s="53"/>
      <c r="G33" s="53"/>
      <c r="K33" s="84"/>
    </row>
    <row r="34" spans="2:11" x14ac:dyDescent="0.25">
      <c r="B34" s="398"/>
      <c r="C34" s="66"/>
      <c r="F34" s="53"/>
      <c r="G34" s="53"/>
      <c r="K34" s="84"/>
    </row>
    <row r="35" spans="2:11" x14ac:dyDescent="0.25">
      <c r="B35" s="398"/>
      <c r="C35" s="66"/>
      <c r="F35" s="53"/>
      <c r="G35" s="53"/>
      <c r="K35" s="84"/>
    </row>
    <row r="36" spans="2:11" x14ac:dyDescent="0.25">
      <c r="B36" s="398"/>
      <c r="C36" s="66"/>
      <c r="F36" s="53"/>
      <c r="G36" s="53"/>
      <c r="K36" s="84"/>
    </row>
    <row r="37" spans="2:11" x14ac:dyDescent="0.25">
      <c r="B37" s="398"/>
      <c r="C37" s="66"/>
      <c r="F37" s="53"/>
      <c r="G37" s="53"/>
      <c r="K37" s="84"/>
    </row>
    <row r="38" spans="2:11" x14ac:dyDescent="0.25">
      <c r="B38" s="398"/>
      <c r="C38" s="66"/>
      <c r="F38" s="53"/>
      <c r="G38" s="53"/>
      <c r="K38" s="84"/>
    </row>
    <row r="39" spans="2:11" x14ac:dyDescent="0.25">
      <c r="B39" s="398"/>
      <c r="C39" s="66"/>
      <c r="F39" s="53"/>
      <c r="G39" s="53"/>
      <c r="K39" s="84"/>
    </row>
    <row r="40" spans="2:11" x14ac:dyDescent="0.25">
      <c r="B40" s="398"/>
      <c r="C40" s="66"/>
      <c r="F40" s="53"/>
      <c r="G40" s="53"/>
      <c r="K40" s="84"/>
    </row>
    <row r="41" spans="2:11" ht="15.75" x14ac:dyDescent="0.3">
      <c r="B41" s="398"/>
      <c r="C41" s="54"/>
      <c r="D41" s="76"/>
      <c r="E41" s="76"/>
      <c r="F41" s="88"/>
      <c r="G41" s="68"/>
    </row>
    <row r="42" spans="2:11" ht="15.75" x14ac:dyDescent="0.3">
      <c r="B42" s="398"/>
      <c r="C42" s="54"/>
      <c r="D42" s="76"/>
      <c r="E42" s="76"/>
      <c r="F42" s="88"/>
      <c r="G42" s="68"/>
    </row>
    <row r="43" spans="2:11" ht="15.75" x14ac:dyDescent="0.3">
      <c r="B43" s="398"/>
      <c r="C43" s="59"/>
      <c r="D43" s="60"/>
      <c r="E43" s="60"/>
      <c r="F43" s="61"/>
      <c r="G43" s="61"/>
    </row>
    <row r="44" spans="2:11" x14ac:dyDescent="0.25">
      <c r="B44" s="398"/>
      <c r="C44" s="131" t="s">
        <v>85</v>
      </c>
      <c r="D44" s="132"/>
      <c r="E44" s="132"/>
      <c r="F44" s="132"/>
      <c r="G44" s="133"/>
    </row>
    <row r="45" spans="2:11" ht="15.75" customHeight="1" x14ac:dyDescent="0.3">
      <c r="B45" s="399"/>
      <c r="C45" s="402" t="s">
        <v>232</v>
      </c>
      <c r="D45" s="403"/>
      <c r="E45" s="403"/>
      <c r="F45" s="403"/>
      <c r="G45" s="404"/>
    </row>
    <row r="46" spans="2:11" ht="15.75" customHeight="1" x14ac:dyDescent="0.3">
      <c r="B46" s="399"/>
      <c r="C46" s="402" t="s">
        <v>233</v>
      </c>
      <c r="D46" s="403"/>
      <c r="E46" s="403"/>
      <c r="F46" s="403"/>
      <c r="G46" s="404"/>
    </row>
    <row r="47" spans="2:11" ht="15" customHeight="1" x14ac:dyDescent="0.3">
      <c r="B47" s="400"/>
      <c r="C47" s="402" t="s">
        <v>234</v>
      </c>
      <c r="D47" s="403"/>
      <c r="E47" s="403"/>
      <c r="F47" s="403"/>
      <c r="G47" s="404"/>
      <c r="J47" s="94"/>
    </row>
    <row r="48" spans="2:11" ht="15" customHeight="1" x14ac:dyDescent="0.3">
      <c r="B48" s="400"/>
      <c r="C48" s="402" t="s">
        <v>235</v>
      </c>
      <c r="D48" s="403"/>
      <c r="E48" s="403"/>
      <c r="F48" s="403"/>
      <c r="G48" s="404"/>
      <c r="J48" s="94"/>
    </row>
    <row r="49" spans="2:7" ht="15" customHeight="1" x14ac:dyDescent="0.3">
      <c r="B49" s="410"/>
      <c r="C49" s="59"/>
      <c r="D49" s="60"/>
      <c r="E49" s="60"/>
      <c r="F49" s="60"/>
      <c r="G49" s="61"/>
    </row>
  </sheetData>
  <mergeCells count="12">
    <mergeCell ref="C46:G46"/>
    <mergeCell ref="C48:G48"/>
    <mergeCell ref="B5:B49"/>
    <mergeCell ref="C44:G44"/>
    <mergeCell ref="C45:G45"/>
    <mergeCell ref="C47:G47"/>
    <mergeCell ref="B1:D2"/>
    <mergeCell ref="E1:F2"/>
    <mergeCell ref="G1:G2"/>
    <mergeCell ref="B3:E4"/>
    <mergeCell ref="F3:F4"/>
    <mergeCell ref="G3:G4"/>
  </mergeCells>
  <pageMargins left="0.25" right="0.25" top="0.75" bottom="0.75" header="0.3" footer="0.3"/>
  <pageSetup paperSize="9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5BB94-9BA8-49C5-91DA-5A7870FEF08C}">
  <dimension ref="B1:L48"/>
  <sheetViews>
    <sheetView zoomScaleNormal="100" workbookViewId="0">
      <selection activeCell="F30" sqref="C27:F30"/>
    </sheetView>
  </sheetViews>
  <sheetFormatPr baseColWidth="10" defaultColWidth="11.42578125" defaultRowHeight="15" x14ac:dyDescent="0.25"/>
  <cols>
    <col min="1" max="1" width="2.85546875" customWidth="1"/>
    <col min="2" max="2" width="10" customWidth="1"/>
    <col min="3" max="7" width="16.28515625" customWidth="1"/>
  </cols>
  <sheetData>
    <row r="1" spans="2:7" x14ac:dyDescent="0.25">
      <c r="B1" s="140" t="s">
        <v>81</v>
      </c>
      <c r="C1" s="141"/>
      <c r="D1" s="141"/>
      <c r="E1" s="144">
        <f>ST_17_KW_24!E1+7</f>
        <v>46560</v>
      </c>
      <c r="F1" s="145"/>
      <c r="G1" s="148">
        <v>18</v>
      </c>
    </row>
    <row r="2" spans="2:7" x14ac:dyDescent="0.25">
      <c r="B2" s="142"/>
      <c r="C2" s="143"/>
      <c r="D2" s="143"/>
      <c r="E2" s="146"/>
      <c r="F2" s="147"/>
      <c r="G2" s="149"/>
    </row>
    <row r="3" spans="2:7" ht="15.75" customHeight="1" x14ac:dyDescent="0.25">
      <c r="B3" s="150" t="s">
        <v>240</v>
      </c>
      <c r="C3" s="151"/>
      <c r="D3" s="151"/>
      <c r="E3" s="151"/>
      <c r="F3" s="154">
        <v>4.5</v>
      </c>
      <c r="G3" s="156" t="s">
        <v>82</v>
      </c>
    </row>
    <row r="4" spans="2:7" ht="14.25" customHeight="1" x14ac:dyDescent="0.25">
      <c r="B4" s="152"/>
      <c r="C4" s="153"/>
      <c r="D4" s="153"/>
      <c r="E4" s="153"/>
      <c r="F4" s="155"/>
      <c r="G4" s="157"/>
    </row>
    <row r="5" spans="2:7" ht="15.75" customHeight="1" x14ac:dyDescent="0.3">
      <c r="B5" s="127" t="s">
        <v>173</v>
      </c>
      <c r="C5" s="58"/>
      <c r="D5" s="92"/>
      <c r="E5" s="92"/>
      <c r="F5" s="93"/>
      <c r="G5" s="50"/>
    </row>
    <row r="6" spans="2:7" x14ac:dyDescent="0.25">
      <c r="B6" s="128"/>
      <c r="C6" s="51" t="s">
        <v>83</v>
      </c>
      <c r="D6" s="76"/>
      <c r="E6" s="76"/>
      <c r="F6" s="88"/>
      <c r="G6" s="53"/>
    </row>
    <row r="7" spans="2:7" ht="15.75" x14ac:dyDescent="0.3">
      <c r="B7" s="128"/>
      <c r="C7" s="54" t="s">
        <v>245</v>
      </c>
      <c r="F7" s="53"/>
      <c r="G7" s="53"/>
    </row>
    <row r="8" spans="2:7" ht="15.75" x14ac:dyDescent="0.3">
      <c r="B8" s="128"/>
      <c r="C8" s="51" t="s">
        <v>84</v>
      </c>
      <c r="F8" s="53"/>
      <c r="G8" s="55"/>
    </row>
    <row r="9" spans="2:7" ht="15.75" x14ac:dyDescent="0.3">
      <c r="B9" s="128"/>
      <c r="C9" s="54" t="s">
        <v>246</v>
      </c>
      <c r="F9" s="53"/>
      <c r="G9" s="53"/>
    </row>
    <row r="10" spans="2:7" x14ac:dyDescent="0.25">
      <c r="B10" s="128"/>
      <c r="C10" s="51" t="s">
        <v>113</v>
      </c>
      <c r="F10" s="53"/>
      <c r="G10" s="53"/>
    </row>
    <row r="11" spans="2:7" ht="15.75" x14ac:dyDescent="0.3">
      <c r="B11" s="128"/>
      <c r="C11" s="54" t="s">
        <v>247</v>
      </c>
      <c r="D11" s="76"/>
      <c r="E11" s="76"/>
      <c r="F11" s="88"/>
      <c r="G11" s="68"/>
    </row>
    <row r="12" spans="2:7" ht="15.75" x14ac:dyDescent="0.3">
      <c r="B12" s="128"/>
      <c r="C12" s="54"/>
      <c r="F12" s="53"/>
      <c r="G12" s="53"/>
    </row>
    <row r="13" spans="2:7" x14ac:dyDescent="0.25">
      <c r="B13" s="128"/>
      <c r="C13" s="131" t="s">
        <v>85</v>
      </c>
      <c r="D13" s="132"/>
      <c r="E13" s="132"/>
      <c r="F13" s="132"/>
      <c r="G13" s="133"/>
    </row>
    <row r="14" spans="2:7" ht="15.75" x14ac:dyDescent="0.3">
      <c r="B14" s="128"/>
      <c r="C14" s="175" t="s">
        <v>241</v>
      </c>
      <c r="D14" s="413"/>
      <c r="E14" s="413"/>
      <c r="F14" s="413"/>
      <c r="G14" s="414"/>
    </row>
    <row r="15" spans="2:7" ht="15.75" customHeight="1" x14ac:dyDescent="0.3">
      <c r="B15" s="129"/>
      <c r="C15" s="402" t="s">
        <v>242</v>
      </c>
      <c r="D15" s="411"/>
      <c r="E15" s="411"/>
      <c r="F15" s="411"/>
      <c r="G15" s="412"/>
    </row>
    <row r="16" spans="2:7" ht="15" customHeight="1" x14ac:dyDescent="0.3">
      <c r="B16" s="130"/>
      <c r="C16" s="402" t="s">
        <v>243</v>
      </c>
      <c r="D16" s="411"/>
      <c r="E16" s="411"/>
      <c r="F16" s="411"/>
      <c r="G16" s="412"/>
    </row>
    <row r="17" spans="2:12" ht="15" customHeight="1" x14ac:dyDescent="0.3">
      <c r="B17" s="130"/>
      <c r="C17" s="59" t="s">
        <v>244</v>
      </c>
      <c r="D17" s="60"/>
      <c r="E17" s="60"/>
      <c r="F17" s="60"/>
      <c r="G17" s="61"/>
    </row>
    <row r="18" spans="2:12" ht="15" customHeight="1" x14ac:dyDescent="0.25">
      <c r="B18" s="134" t="s">
        <v>86</v>
      </c>
      <c r="C18" s="135"/>
      <c r="D18" s="135"/>
      <c r="E18" s="135"/>
      <c r="F18" s="135"/>
      <c r="G18" s="136"/>
    </row>
    <row r="19" spans="2:12" ht="15.75" customHeight="1" x14ac:dyDescent="0.25">
      <c r="B19" s="137"/>
      <c r="C19" s="138"/>
      <c r="D19" s="138"/>
      <c r="E19" s="138"/>
      <c r="F19" s="138"/>
      <c r="G19" s="139"/>
    </row>
    <row r="20" spans="2:12" ht="15" customHeight="1" x14ac:dyDescent="0.25">
      <c r="B20" s="150" t="s">
        <v>80</v>
      </c>
      <c r="C20" s="151"/>
      <c r="D20" s="151"/>
      <c r="E20" s="151"/>
      <c r="F20" s="154">
        <v>4.4000000000000004</v>
      </c>
      <c r="G20" s="156" t="s">
        <v>82</v>
      </c>
    </row>
    <row r="21" spans="2:12" ht="16.5" customHeight="1" x14ac:dyDescent="0.25">
      <c r="B21" s="152"/>
      <c r="C21" s="153"/>
      <c r="D21" s="153"/>
      <c r="E21" s="153"/>
      <c r="F21" s="155"/>
      <c r="G21" s="157"/>
    </row>
    <row r="22" spans="2:12" ht="15.75" customHeight="1" x14ac:dyDescent="0.3">
      <c r="B22" s="127" t="s">
        <v>173</v>
      </c>
      <c r="C22" s="63" t="s">
        <v>294</v>
      </c>
      <c r="D22" s="64"/>
      <c r="E22" s="64"/>
      <c r="F22" s="49"/>
      <c r="G22" s="50"/>
    </row>
    <row r="23" spans="2:12" ht="15.75" x14ac:dyDescent="0.3">
      <c r="B23" s="128"/>
      <c r="C23" s="54" t="s">
        <v>228</v>
      </c>
      <c r="F23" s="53"/>
      <c r="G23" s="53"/>
      <c r="L23" s="84"/>
    </row>
    <row r="24" spans="2:12" ht="15.75" x14ac:dyDescent="0.3">
      <c r="B24" s="128"/>
      <c r="C24" s="66"/>
      <c r="F24" s="55"/>
      <c r="G24" s="53"/>
    </row>
    <row r="25" spans="2:12" ht="15.75" x14ac:dyDescent="0.3">
      <c r="B25" s="128"/>
      <c r="C25" s="51"/>
      <c r="D25" s="52"/>
      <c r="E25" s="52"/>
      <c r="F25" s="88"/>
      <c r="G25" s="53"/>
    </row>
    <row r="26" spans="2:12" ht="15.75" x14ac:dyDescent="0.3">
      <c r="B26" s="128"/>
      <c r="C26" s="59"/>
      <c r="D26" s="60"/>
      <c r="E26" s="60"/>
      <c r="F26" s="61"/>
      <c r="G26" s="53"/>
    </row>
    <row r="27" spans="2:12" ht="15.75" customHeight="1" x14ac:dyDescent="0.25">
      <c r="B27" s="128"/>
      <c r="C27" s="415" t="s">
        <v>293</v>
      </c>
      <c r="D27" s="416"/>
      <c r="E27" s="416"/>
      <c r="F27" s="417"/>
      <c r="G27" s="53"/>
    </row>
    <row r="28" spans="2:12" x14ac:dyDescent="0.25">
      <c r="B28" s="128"/>
      <c r="C28" s="63" t="s">
        <v>259</v>
      </c>
      <c r="D28" s="64"/>
      <c r="E28" s="64"/>
      <c r="F28" s="65"/>
      <c r="G28" s="68"/>
    </row>
    <row r="29" spans="2:12" ht="15.75" x14ac:dyDescent="0.3">
      <c r="B29" s="128"/>
      <c r="C29" s="54" t="s">
        <v>295</v>
      </c>
      <c r="F29" s="53"/>
      <c r="G29" s="53"/>
    </row>
    <row r="30" spans="2:12" ht="15.75" customHeight="1" x14ac:dyDescent="0.3">
      <c r="B30" s="128"/>
      <c r="C30" s="59" t="s">
        <v>260</v>
      </c>
      <c r="D30" s="105"/>
      <c r="E30" s="105"/>
      <c r="F30" s="106"/>
      <c r="G30" s="61"/>
    </row>
    <row r="31" spans="2:12" ht="15.75" customHeight="1" x14ac:dyDescent="0.25">
      <c r="B31" s="128"/>
      <c r="C31" s="405" t="s">
        <v>85</v>
      </c>
      <c r="D31" s="406"/>
      <c r="E31" s="406"/>
      <c r="F31" s="406"/>
      <c r="G31" s="133"/>
    </row>
    <row r="32" spans="2:12" ht="15.75" customHeight="1" x14ac:dyDescent="0.3">
      <c r="B32" s="167"/>
      <c r="C32" s="58" t="s">
        <v>249</v>
      </c>
      <c r="D32" s="48"/>
      <c r="E32" s="48"/>
      <c r="F32" s="49"/>
      <c r="G32" s="49"/>
    </row>
    <row r="33" spans="2:7" ht="15.75" customHeight="1" x14ac:dyDescent="0.3">
      <c r="B33" s="167"/>
      <c r="C33" s="54"/>
      <c r="F33" s="53"/>
      <c r="G33" s="55"/>
    </row>
    <row r="34" spans="2:7" ht="15.75" x14ac:dyDescent="0.3">
      <c r="B34" s="168"/>
      <c r="C34" s="54"/>
      <c r="F34" s="53"/>
      <c r="G34" s="53"/>
    </row>
    <row r="35" spans="2:7" ht="15.75" customHeight="1" x14ac:dyDescent="0.3">
      <c r="B35" s="169"/>
      <c r="C35" s="59"/>
      <c r="D35" s="60"/>
      <c r="E35" s="60"/>
      <c r="F35" s="61"/>
      <c r="G35" s="61"/>
    </row>
    <row r="36" spans="2:7" ht="15.75" customHeight="1" x14ac:dyDescent="0.25">
      <c r="B36" s="161" t="s">
        <v>87</v>
      </c>
      <c r="C36" s="162"/>
      <c r="D36" s="162"/>
      <c r="E36" s="161" t="s">
        <v>88</v>
      </c>
      <c r="F36" s="162"/>
      <c r="G36" s="165"/>
    </row>
    <row r="37" spans="2:7" ht="15.75" customHeight="1" x14ac:dyDescent="0.25">
      <c r="B37" s="163"/>
      <c r="C37" s="164"/>
      <c r="D37" s="164"/>
      <c r="E37" s="163"/>
      <c r="F37" s="164"/>
      <c r="G37" s="166"/>
    </row>
    <row r="38" spans="2:7" ht="15.75" customHeight="1" x14ac:dyDescent="0.25">
      <c r="B38" s="46"/>
      <c r="C38" s="64"/>
      <c r="D38" s="65"/>
      <c r="E38" s="46"/>
      <c r="F38" s="64"/>
      <c r="G38" s="65"/>
    </row>
    <row r="39" spans="2:7" ht="15.75" customHeight="1" x14ac:dyDescent="0.25">
      <c r="B39" s="66"/>
      <c r="D39" s="53"/>
      <c r="E39" s="66"/>
      <c r="G39" s="53"/>
    </row>
    <row r="40" spans="2:7" ht="15.75" customHeight="1" x14ac:dyDescent="0.25">
      <c r="B40" s="66"/>
      <c r="D40" s="53"/>
      <c r="E40" s="66"/>
      <c r="G40" s="53"/>
    </row>
    <row r="41" spans="2:7" ht="15.75" customHeight="1" x14ac:dyDescent="0.25">
      <c r="B41" s="66"/>
      <c r="D41" s="53"/>
      <c r="E41" s="66"/>
      <c r="G41" s="53"/>
    </row>
    <row r="42" spans="2:7" ht="15.75" customHeight="1" x14ac:dyDescent="0.25">
      <c r="B42" s="66"/>
      <c r="D42" s="53"/>
      <c r="E42" s="66"/>
      <c r="G42" s="53"/>
    </row>
    <row r="43" spans="2:7" ht="15.75" customHeight="1" x14ac:dyDescent="0.25">
      <c r="B43" s="66"/>
      <c r="D43" s="53"/>
      <c r="E43" s="66"/>
      <c r="G43" s="53"/>
    </row>
    <row r="44" spans="2:7" ht="15.75" customHeight="1" x14ac:dyDescent="0.25">
      <c r="B44" s="66"/>
      <c r="D44" s="53"/>
      <c r="E44" s="66"/>
      <c r="G44" s="53"/>
    </row>
    <row r="45" spans="2:7" ht="15.75" customHeight="1" x14ac:dyDescent="0.25">
      <c r="B45" s="66"/>
      <c r="D45" s="53"/>
      <c r="E45" s="66"/>
      <c r="G45" s="53"/>
    </row>
    <row r="46" spans="2:7" ht="15.75" customHeight="1" x14ac:dyDescent="0.25">
      <c r="B46" s="66"/>
      <c r="D46" s="53"/>
      <c r="E46" s="66"/>
      <c r="G46" s="53"/>
    </row>
    <row r="47" spans="2:7" x14ac:dyDescent="0.25">
      <c r="B47" s="66"/>
      <c r="D47" s="53"/>
      <c r="E47" s="66"/>
      <c r="G47" s="53"/>
    </row>
    <row r="48" spans="2:7" x14ac:dyDescent="0.25">
      <c r="B48" s="67"/>
      <c r="C48" s="60"/>
      <c r="D48" s="61"/>
      <c r="E48" s="67"/>
      <c r="F48" s="60"/>
      <c r="G48" s="61"/>
    </row>
  </sheetData>
  <mergeCells count="20">
    <mergeCell ref="B1:D2"/>
    <mergeCell ref="E1:F2"/>
    <mergeCell ref="G1:G2"/>
    <mergeCell ref="B3:E4"/>
    <mergeCell ref="F3:F4"/>
    <mergeCell ref="G3:G4"/>
    <mergeCell ref="B22:B35"/>
    <mergeCell ref="C31:G31"/>
    <mergeCell ref="B36:D37"/>
    <mergeCell ref="E36:G37"/>
    <mergeCell ref="C16:G16"/>
    <mergeCell ref="B5:B17"/>
    <mergeCell ref="C13:G13"/>
    <mergeCell ref="C14:G14"/>
    <mergeCell ref="C15:G15"/>
    <mergeCell ref="B18:G19"/>
    <mergeCell ref="B20:E21"/>
    <mergeCell ref="F20:F21"/>
    <mergeCell ref="G20:G21"/>
    <mergeCell ref="C27:F27"/>
  </mergeCells>
  <pageMargins left="0.25" right="0.25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6EA50-86CF-4FE8-BBAB-78E65A1E47C0}">
  <dimension ref="B1:L48"/>
  <sheetViews>
    <sheetView zoomScaleNormal="100" workbookViewId="0">
      <selection activeCell="R24" sqref="R24"/>
    </sheetView>
  </sheetViews>
  <sheetFormatPr baseColWidth="10" defaultColWidth="11.42578125" defaultRowHeight="15" x14ac:dyDescent="0.25"/>
  <cols>
    <col min="1" max="1" width="2.85546875" customWidth="1"/>
    <col min="2" max="2" width="10" customWidth="1"/>
    <col min="3" max="7" width="16.28515625" customWidth="1"/>
  </cols>
  <sheetData>
    <row r="1" spans="2:7" x14ac:dyDescent="0.25">
      <c r="B1" s="140" t="s">
        <v>81</v>
      </c>
      <c r="C1" s="141"/>
      <c r="D1" s="141"/>
      <c r="E1" s="144">
        <f>Kompetenzraster!Q41</f>
        <v>46567</v>
      </c>
      <c r="F1" s="145"/>
      <c r="G1" s="148">
        <v>19</v>
      </c>
    </row>
    <row r="2" spans="2:7" x14ac:dyDescent="0.25">
      <c r="B2" s="142"/>
      <c r="C2" s="143"/>
      <c r="D2" s="143"/>
      <c r="E2" s="146"/>
      <c r="F2" s="147"/>
      <c r="G2" s="149"/>
    </row>
    <row r="3" spans="2:7" ht="15.75" customHeight="1" x14ac:dyDescent="0.25">
      <c r="B3" s="150" t="s">
        <v>248</v>
      </c>
      <c r="C3" s="151"/>
      <c r="D3" s="151"/>
      <c r="E3" s="151"/>
      <c r="F3" s="154">
        <v>4.1100000000000003</v>
      </c>
      <c r="G3" s="156" t="s">
        <v>82</v>
      </c>
    </row>
    <row r="4" spans="2:7" ht="14.25" customHeight="1" x14ac:dyDescent="0.25">
      <c r="B4" s="152"/>
      <c r="C4" s="153"/>
      <c r="D4" s="153"/>
      <c r="E4" s="153"/>
      <c r="F4" s="155"/>
      <c r="G4" s="157"/>
    </row>
    <row r="5" spans="2:7" ht="15.75" customHeight="1" x14ac:dyDescent="0.25">
      <c r="B5" s="127" t="s">
        <v>172</v>
      </c>
      <c r="C5" s="63" t="s">
        <v>267</v>
      </c>
      <c r="D5" s="92"/>
      <c r="E5" s="92"/>
      <c r="F5" s="93"/>
      <c r="G5" s="50"/>
    </row>
    <row r="6" spans="2:7" ht="15.75" x14ac:dyDescent="0.3">
      <c r="B6" s="128"/>
      <c r="C6" s="158" t="s">
        <v>292</v>
      </c>
      <c r="D6" s="159"/>
      <c r="E6" s="159"/>
      <c r="F6" s="160"/>
      <c r="G6" s="53"/>
    </row>
    <row r="7" spans="2:7" x14ac:dyDescent="0.25">
      <c r="B7" s="128"/>
      <c r="C7" s="66"/>
      <c r="F7" s="53"/>
      <c r="G7" s="53"/>
    </row>
    <row r="8" spans="2:7" ht="15.75" x14ac:dyDescent="0.3">
      <c r="B8" s="128"/>
      <c r="C8" s="51" t="s">
        <v>261</v>
      </c>
      <c r="F8" s="53"/>
      <c r="G8" s="55"/>
    </row>
    <row r="9" spans="2:7" ht="15.75" x14ac:dyDescent="0.3">
      <c r="B9" s="128"/>
      <c r="C9" s="54" t="s">
        <v>262</v>
      </c>
      <c r="F9" s="53"/>
      <c r="G9" s="53"/>
    </row>
    <row r="10" spans="2:7" x14ac:dyDescent="0.25">
      <c r="B10" s="128"/>
      <c r="C10" s="66"/>
      <c r="F10" s="53"/>
      <c r="G10" s="53"/>
    </row>
    <row r="11" spans="2:7" x14ac:dyDescent="0.25">
      <c r="B11" s="128"/>
      <c r="C11" s="51" t="s">
        <v>263</v>
      </c>
      <c r="D11" s="76"/>
      <c r="E11" s="76"/>
      <c r="F11" s="88"/>
      <c r="G11" s="68"/>
    </row>
    <row r="12" spans="2:7" ht="15.75" x14ac:dyDescent="0.3">
      <c r="B12" s="128"/>
      <c r="C12" s="59" t="s">
        <v>264</v>
      </c>
      <c r="D12" s="60"/>
      <c r="E12" s="60"/>
      <c r="F12" s="61"/>
      <c r="G12" s="53"/>
    </row>
    <row r="13" spans="2:7" x14ac:dyDescent="0.25">
      <c r="B13" s="128"/>
      <c r="C13" s="131" t="s">
        <v>85</v>
      </c>
      <c r="D13" s="132"/>
      <c r="E13" s="132"/>
      <c r="F13" s="132"/>
      <c r="G13" s="133"/>
    </row>
    <row r="14" spans="2:7" ht="15.75" x14ac:dyDescent="0.3">
      <c r="B14" s="128"/>
      <c r="C14" s="58" t="s">
        <v>249</v>
      </c>
      <c r="D14" s="96"/>
      <c r="E14" s="96"/>
      <c r="F14" s="96"/>
      <c r="G14" s="97"/>
    </row>
    <row r="15" spans="2:7" ht="15.75" customHeight="1" x14ac:dyDescent="0.25">
      <c r="B15" s="129"/>
      <c r="C15" s="66"/>
      <c r="G15" s="53"/>
    </row>
    <row r="16" spans="2:7" ht="15" customHeight="1" x14ac:dyDescent="0.25">
      <c r="B16" s="130"/>
      <c r="C16" s="66"/>
      <c r="G16" s="53"/>
    </row>
    <row r="17" spans="2:12" ht="15" customHeight="1" x14ac:dyDescent="0.25">
      <c r="B17" s="130"/>
      <c r="C17" s="67"/>
      <c r="D17" s="60"/>
      <c r="E17" s="60"/>
      <c r="F17" s="60"/>
      <c r="G17" s="61"/>
    </row>
    <row r="18" spans="2:12" ht="15" customHeight="1" x14ac:dyDescent="0.25">
      <c r="B18" s="134" t="s">
        <v>86</v>
      </c>
      <c r="C18" s="135"/>
      <c r="D18" s="135"/>
      <c r="E18" s="135"/>
      <c r="F18" s="135"/>
      <c r="G18" s="136"/>
    </row>
    <row r="19" spans="2:12" ht="15.75" customHeight="1" x14ac:dyDescent="0.25">
      <c r="B19" s="137"/>
      <c r="C19" s="138"/>
      <c r="D19" s="138"/>
      <c r="E19" s="138"/>
      <c r="F19" s="138"/>
      <c r="G19" s="139"/>
    </row>
    <row r="20" spans="2:12" ht="15" customHeight="1" x14ac:dyDescent="0.25">
      <c r="B20" s="150" t="s">
        <v>248</v>
      </c>
      <c r="C20" s="151"/>
      <c r="D20" s="151"/>
      <c r="E20" s="151"/>
      <c r="F20" s="154">
        <v>4.1100000000000003</v>
      </c>
      <c r="G20" s="156" t="s">
        <v>82</v>
      </c>
    </row>
    <row r="21" spans="2:12" ht="16.5" customHeight="1" x14ac:dyDescent="0.25">
      <c r="B21" s="152"/>
      <c r="C21" s="153"/>
      <c r="D21" s="153"/>
      <c r="E21" s="153"/>
      <c r="F21" s="155"/>
      <c r="G21" s="157"/>
    </row>
    <row r="22" spans="2:12" ht="15.75" customHeight="1" x14ac:dyDescent="0.3">
      <c r="B22" s="127" t="s">
        <v>173</v>
      </c>
      <c r="C22" s="63" t="s">
        <v>261</v>
      </c>
      <c r="D22" s="64"/>
      <c r="E22" s="64"/>
      <c r="F22" s="49"/>
      <c r="G22" s="50"/>
    </row>
    <row r="23" spans="2:12" ht="15.75" x14ac:dyDescent="0.3">
      <c r="B23" s="128"/>
      <c r="C23" s="54" t="s">
        <v>262</v>
      </c>
      <c r="F23" s="53"/>
      <c r="G23" s="53"/>
      <c r="L23" s="84"/>
    </row>
    <row r="24" spans="2:12" ht="15.75" x14ac:dyDescent="0.3">
      <c r="B24" s="128"/>
      <c r="C24" s="54"/>
      <c r="F24" s="55"/>
      <c r="G24" s="53"/>
    </row>
    <row r="25" spans="2:12" x14ac:dyDescent="0.25">
      <c r="B25" s="128"/>
      <c r="C25" s="51" t="s">
        <v>263</v>
      </c>
      <c r="D25" s="76"/>
      <c r="E25" s="76"/>
      <c r="F25" s="88"/>
      <c r="G25" s="53"/>
    </row>
    <row r="26" spans="2:12" ht="15.75" x14ac:dyDescent="0.3">
      <c r="B26" s="128"/>
      <c r="C26" s="54" t="s">
        <v>264</v>
      </c>
      <c r="F26" s="53"/>
      <c r="G26" s="53"/>
    </row>
    <row r="27" spans="2:12" ht="15.75" customHeight="1" x14ac:dyDescent="0.3">
      <c r="B27" s="128"/>
      <c r="C27" s="54"/>
      <c r="D27" s="52"/>
      <c r="F27" s="53"/>
      <c r="G27" s="53"/>
    </row>
    <row r="28" spans="2:12" ht="15.75" x14ac:dyDescent="0.3">
      <c r="B28" s="128"/>
      <c r="C28" s="59"/>
      <c r="D28" s="107"/>
      <c r="E28" s="60"/>
      <c r="F28" s="61"/>
      <c r="G28" s="68"/>
    </row>
    <row r="29" spans="2:12" ht="15.75" x14ac:dyDescent="0.3">
      <c r="B29" s="128"/>
      <c r="C29" s="170" t="s">
        <v>265</v>
      </c>
      <c r="D29" s="171"/>
      <c r="E29" s="171"/>
      <c r="F29" s="172"/>
      <c r="G29" s="53"/>
    </row>
    <row r="30" spans="2:12" ht="15.75" customHeight="1" x14ac:dyDescent="0.25">
      <c r="B30" s="128"/>
      <c r="C30" s="67"/>
      <c r="D30" s="60"/>
      <c r="E30" s="60"/>
      <c r="F30" s="61"/>
      <c r="G30" s="61"/>
    </row>
    <row r="31" spans="2:12" ht="15.75" customHeight="1" x14ac:dyDescent="0.25">
      <c r="B31" s="128"/>
      <c r="C31" s="173" t="s">
        <v>85</v>
      </c>
      <c r="D31" s="174"/>
      <c r="E31" s="174"/>
      <c r="F31" s="174"/>
      <c r="G31" s="133"/>
    </row>
    <row r="32" spans="2:12" ht="15.75" customHeight="1" x14ac:dyDescent="0.3">
      <c r="B32" s="167"/>
      <c r="C32" s="175" t="s">
        <v>266</v>
      </c>
      <c r="D32" s="176"/>
      <c r="E32" s="176"/>
      <c r="F32" s="177"/>
      <c r="G32" s="53"/>
    </row>
    <row r="33" spans="2:7" ht="15.75" customHeight="1" x14ac:dyDescent="0.3">
      <c r="B33" s="167"/>
      <c r="C33" s="54"/>
      <c r="F33" s="53"/>
      <c r="G33" s="55"/>
    </row>
    <row r="34" spans="2:7" ht="15.75" x14ac:dyDescent="0.3">
      <c r="B34" s="168"/>
      <c r="C34" s="54"/>
      <c r="F34" s="53"/>
      <c r="G34" s="53"/>
    </row>
    <row r="35" spans="2:7" ht="15.75" customHeight="1" x14ac:dyDescent="0.3">
      <c r="B35" s="169"/>
      <c r="C35" s="59"/>
      <c r="D35" s="60"/>
      <c r="E35" s="60"/>
      <c r="F35" s="61"/>
      <c r="G35" s="61"/>
    </row>
    <row r="36" spans="2:7" ht="15.75" customHeight="1" x14ac:dyDescent="0.25">
      <c r="B36" s="161" t="s">
        <v>87</v>
      </c>
      <c r="C36" s="162"/>
      <c r="D36" s="162"/>
      <c r="E36" s="161" t="s">
        <v>88</v>
      </c>
      <c r="F36" s="162"/>
      <c r="G36" s="165"/>
    </row>
    <row r="37" spans="2:7" ht="15.75" customHeight="1" x14ac:dyDescent="0.25">
      <c r="B37" s="163"/>
      <c r="C37" s="164"/>
      <c r="D37" s="164"/>
      <c r="E37" s="163"/>
      <c r="F37" s="164"/>
      <c r="G37" s="166"/>
    </row>
    <row r="38" spans="2:7" ht="15.75" customHeight="1" x14ac:dyDescent="0.25">
      <c r="B38" s="46"/>
      <c r="C38" s="64"/>
      <c r="D38" s="65"/>
      <c r="E38" s="46"/>
      <c r="F38" s="64"/>
      <c r="G38" s="65"/>
    </row>
    <row r="39" spans="2:7" ht="15.75" customHeight="1" x14ac:dyDescent="0.25">
      <c r="B39" s="66"/>
      <c r="D39" s="53"/>
      <c r="E39" s="66"/>
      <c r="G39" s="53"/>
    </row>
    <row r="40" spans="2:7" ht="15.75" customHeight="1" x14ac:dyDescent="0.25">
      <c r="B40" s="66"/>
      <c r="D40" s="53"/>
      <c r="E40" s="66"/>
      <c r="G40" s="53"/>
    </row>
    <row r="41" spans="2:7" ht="15.75" customHeight="1" x14ac:dyDescent="0.25">
      <c r="B41" s="66"/>
      <c r="D41" s="53"/>
      <c r="E41" s="66"/>
      <c r="G41" s="53"/>
    </row>
    <row r="42" spans="2:7" ht="15.75" customHeight="1" x14ac:dyDescent="0.25">
      <c r="B42" s="66"/>
      <c r="D42" s="53"/>
      <c r="E42" s="66"/>
      <c r="G42" s="53"/>
    </row>
    <row r="43" spans="2:7" ht="15.75" customHeight="1" x14ac:dyDescent="0.25">
      <c r="B43" s="66"/>
      <c r="D43" s="53"/>
      <c r="E43" s="66"/>
      <c r="G43" s="53"/>
    </row>
    <row r="44" spans="2:7" ht="15.75" customHeight="1" x14ac:dyDescent="0.25">
      <c r="B44" s="66"/>
      <c r="D44" s="53"/>
      <c r="E44" s="66"/>
      <c r="G44" s="53"/>
    </row>
    <row r="45" spans="2:7" ht="15.75" customHeight="1" x14ac:dyDescent="0.25">
      <c r="B45" s="66"/>
      <c r="D45" s="53"/>
      <c r="E45" s="66"/>
      <c r="G45" s="53"/>
    </row>
    <row r="46" spans="2:7" ht="15.75" customHeight="1" x14ac:dyDescent="0.25">
      <c r="B46" s="66"/>
      <c r="D46" s="53"/>
      <c r="E46" s="66"/>
      <c r="G46" s="53"/>
    </row>
    <row r="47" spans="2:7" x14ac:dyDescent="0.25">
      <c r="B47" s="66"/>
      <c r="D47" s="53"/>
      <c r="E47" s="66"/>
      <c r="G47" s="53"/>
    </row>
    <row r="48" spans="2:7" x14ac:dyDescent="0.25">
      <c r="B48" s="67"/>
      <c r="C48" s="60"/>
      <c r="D48" s="61"/>
      <c r="E48" s="67"/>
      <c r="F48" s="60"/>
      <c r="G48" s="61"/>
    </row>
  </sheetData>
  <mergeCells count="19">
    <mergeCell ref="B36:D37"/>
    <mergeCell ref="E36:G37"/>
    <mergeCell ref="B20:E21"/>
    <mergeCell ref="F20:F21"/>
    <mergeCell ref="G20:G21"/>
    <mergeCell ref="B22:B35"/>
    <mergeCell ref="C29:F29"/>
    <mergeCell ref="C31:G31"/>
    <mergeCell ref="C32:F32"/>
    <mergeCell ref="B5:B17"/>
    <mergeCell ref="C13:G13"/>
    <mergeCell ref="B18:G19"/>
    <mergeCell ref="B1:D2"/>
    <mergeCell ref="E1:F2"/>
    <mergeCell ref="G1:G2"/>
    <mergeCell ref="B3:E4"/>
    <mergeCell ref="F3:F4"/>
    <mergeCell ref="G3:G4"/>
    <mergeCell ref="C6:F6"/>
  </mergeCells>
  <pageMargins left="0.25" right="0.25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F76C5-8F0B-4EF8-B654-FC53A0206058}">
  <dimension ref="B1:G43"/>
  <sheetViews>
    <sheetView workbookViewId="0">
      <selection activeCell="B3" sqref="B3:G4"/>
    </sheetView>
  </sheetViews>
  <sheetFormatPr baseColWidth="10" defaultColWidth="11.42578125" defaultRowHeight="15" x14ac:dyDescent="0.25"/>
  <cols>
    <col min="1" max="1" width="2.85546875" customWidth="1"/>
    <col min="2" max="2" width="10" customWidth="1"/>
    <col min="3" max="7" width="16.28515625" customWidth="1"/>
  </cols>
  <sheetData>
    <row r="1" spans="2:7" x14ac:dyDescent="0.25">
      <c r="B1" s="140" t="s">
        <v>81</v>
      </c>
      <c r="C1" s="141"/>
      <c r="D1" s="141"/>
      <c r="E1" s="144">
        <f>Kompetenzraster!Q42</f>
        <v>46574</v>
      </c>
      <c r="F1" s="145"/>
      <c r="G1" s="148">
        <v>20</v>
      </c>
    </row>
    <row r="2" spans="2:7" x14ac:dyDescent="0.25">
      <c r="B2" s="142"/>
      <c r="C2" s="143"/>
      <c r="D2" s="143"/>
      <c r="E2" s="146"/>
      <c r="F2" s="147"/>
      <c r="G2" s="149"/>
    </row>
    <row r="3" spans="2:7" ht="15.75" customHeight="1" x14ac:dyDescent="0.25">
      <c r="B3" s="420" t="s">
        <v>282</v>
      </c>
      <c r="C3" s="375"/>
      <c r="D3" s="375"/>
      <c r="E3" s="375"/>
      <c r="F3" s="421"/>
      <c r="G3" s="380"/>
    </row>
    <row r="4" spans="2:7" ht="14.25" customHeight="1" x14ac:dyDescent="0.25">
      <c r="B4" s="376"/>
      <c r="C4" s="377"/>
      <c r="D4" s="377"/>
      <c r="E4" s="377"/>
      <c r="F4" s="422"/>
      <c r="G4" s="381"/>
    </row>
    <row r="5" spans="2:7" ht="15.75" customHeight="1" x14ac:dyDescent="0.3">
      <c r="B5" s="382" t="s">
        <v>283</v>
      </c>
      <c r="C5" s="46"/>
      <c r="D5" s="47"/>
      <c r="E5" s="48"/>
      <c r="F5" s="49"/>
      <c r="G5" s="50"/>
    </row>
    <row r="6" spans="2:7" ht="15.75" x14ac:dyDescent="0.3">
      <c r="B6" s="383"/>
      <c r="C6" s="51"/>
      <c r="D6" s="52"/>
      <c r="E6" s="52"/>
      <c r="F6" s="53"/>
      <c r="G6" s="53"/>
    </row>
    <row r="7" spans="2:7" ht="15.75" x14ac:dyDescent="0.3">
      <c r="B7" s="383"/>
      <c r="C7" s="54"/>
      <c r="F7" s="53"/>
      <c r="G7" s="53"/>
    </row>
    <row r="8" spans="2:7" ht="15.75" x14ac:dyDescent="0.3">
      <c r="B8" s="383"/>
      <c r="C8" s="54"/>
      <c r="F8" s="100"/>
      <c r="G8" s="55"/>
    </row>
    <row r="9" spans="2:7" x14ac:dyDescent="0.25">
      <c r="B9" s="383"/>
      <c r="C9" s="66"/>
      <c r="F9" s="53"/>
      <c r="G9" s="53"/>
    </row>
    <row r="10" spans="2:7" x14ac:dyDescent="0.25">
      <c r="B10" s="383"/>
      <c r="C10" s="101" t="s">
        <v>284</v>
      </c>
      <c r="D10" s="77"/>
      <c r="F10" s="53"/>
      <c r="G10" s="53"/>
    </row>
    <row r="11" spans="2:7" x14ac:dyDescent="0.25">
      <c r="B11" s="383"/>
      <c r="C11" s="66"/>
      <c r="E11" s="77"/>
      <c r="F11" s="57"/>
      <c r="G11" s="53"/>
    </row>
    <row r="12" spans="2:7" x14ac:dyDescent="0.25">
      <c r="B12" s="383"/>
      <c r="C12" s="51" t="s">
        <v>285</v>
      </c>
      <c r="F12" s="53"/>
      <c r="G12" s="53"/>
    </row>
    <row r="13" spans="2:7" ht="15.75" x14ac:dyDescent="0.3">
      <c r="B13" s="383"/>
      <c r="C13" s="54" t="s">
        <v>286</v>
      </c>
      <c r="D13" s="9"/>
      <c r="E13" s="9"/>
      <c r="F13" s="102"/>
      <c r="G13" s="53"/>
    </row>
    <row r="14" spans="2:7" ht="15.75" customHeight="1" x14ac:dyDescent="0.25">
      <c r="B14" s="384"/>
      <c r="C14" s="51" t="s">
        <v>287</v>
      </c>
      <c r="F14" s="53"/>
      <c r="G14" s="53"/>
    </row>
    <row r="15" spans="2:7" ht="15" customHeight="1" x14ac:dyDescent="0.3">
      <c r="B15" s="385"/>
      <c r="C15" s="54" t="s">
        <v>288</v>
      </c>
      <c r="F15" s="53"/>
      <c r="G15" s="55"/>
    </row>
    <row r="16" spans="2:7" ht="15" customHeight="1" x14ac:dyDescent="0.3">
      <c r="B16" s="385"/>
      <c r="C16" s="51" t="s">
        <v>289</v>
      </c>
      <c r="F16" s="55"/>
      <c r="G16" s="55"/>
    </row>
    <row r="17" spans="2:7" ht="15.75" customHeight="1" x14ac:dyDescent="0.25">
      <c r="B17" s="385"/>
      <c r="C17" s="66"/>
      <c r="F17" s="53"/>
      <c r="G17" s="53"/>
    </row>
    <row r="18" spans="2:7" ht="15.75" x14ac:dyDescent="0.3">
      <c r="B18" s="418"/>
      <c r="C18" s="54"/>
      <c r="D18" s="52"/>
      <c r="E18" s="52"/>
      <c r="F18" s="53"/>
      <c r="G18" s="53"/>
    </row>
    <row r="19" spans="2:7" ht="15.75" x14ac:dyDescent="0.3">
      <c r="B19" s="418"/>
      <c r="C19" s="54"/>
      <c r="F19" s="55"/>
      <c r="G19" s="53"/>
    </row>
    <row r="20" spans="2:7" ht="15.75" x14ac:dyDescent="0.3">
      <c r="B20" s="418"/>
      <c r="C20" s="54"/>
      <c r="F20" s="53"/>
      <c r="G20" s="53"/>
    </row>
    <row r="21" spans="2:7" ht="15.75" customHeight="1" x14ac:dyDescent="0.25">
      <c r="B21" s="418"/>
      <c r="C21" s="66"/>
      <c r="F21" s="53"/>
      <c r="G21" s="53"/>
    </row>
    <row r="22" spans="2:7" x14ac:dyDescent="0.25">
      <c r="B22" s="418"/>
      <c r="C22" s="66"/>
      <c r="F22" s="53"/>
      <c r="G22" s="53"/>
    </row>
    <row r="23" spans="2:7" x14ac:dyDescent="0.25">
      <c r="B23" s="418"/>
      <c r="C23" s="66"/>
      <c r="F23" s="53"/>
      <c r="G23" s="53"/>
    </row>
    <row r="24" spans="2:7" ht="15.75" customHeight="1" x14ac:dyDescent="0.25">
      <c r="B24" s="418"/>
      <c r="C24" s="66"/>
      <c r="F24" s="53"/>
      <c r="G24" s="53"/>
    </row>
    <row r="25" spans="2:7" ht="15.75" customHeight="1" x14ac:dyDescent="0.25">
      <c r="B25" s="418"/>
      <c r="C25" s="103"/>
      <c r="D25" s="81"/>
      <c r="E25" s="81"/>
      <c r="F25" s="104"/>
      <c r="G25" s="61"/>
    </row>
    <row r="26" spans="2:7" ht="15.75" customHeight="1" x14ac:dyDescent="0.25">
      <c r="B26" s="418"/>
      <c r="C26" s="131" t="s">
        <v>85</v>
      </c>
      <c r="D26" s="132"/>
      <c r="E26" s="132"/>
      <c r="F26" s="132"/>
      <c r="G26" s="133"/>
    </row>
    <row r="27" spans="2:7" ht="15.75" customHeight="1" x14ac:dyDescent="0.3">
      <c r="B27" s="418"/>
      <c r="C27" s="58" t="s">
        <v>290</v>
      </c>
      <c r="D27" s="48"/>
      <c r="E27" s="64"/>
      <c r="F27" s="64"/>
      <c r="G27" s="65"/>
    </row>
    <row r="28" spans="2:7" ht="15.75" x14ac:dyDescent="0.3">
      <c r="B28" s="418"/>
      <c r="C28" s="54" t="s">
        <v>291</v>
      </c>
      <c r="E28" s="52"/>
      <c r="F28" s="52"/>
      <c r="G28" s="68"/>
    </row>
    <row r="29" spans="2:7" ht="15.75" customHeight="1" x14ac:dyDescent="0.3">
      <c r="B29" s="419"/>
      <c r="C29" s="59" t="s">
        <v>156</v>
      </c>
      <c r="D29" s="81"/>
      <c r="E29" s="60"/>
      <c r="F29" s="60"/>
      <c r="G29" s="61"/>
    </row>
    <row r="30" spans="2:7" ht="15.75" customHeight="1" x14ac:dyDescent="0.25">
      <c r="B30" s="161" t="s">
        <v>87</v>
      </c>
      <c r="C30" s="162"/>
      <c r="D30" s="162"/>
      <c r="E30" s="161" t="s">
        <v>88</v>
      </c>
      <c r="F30" s="162"/>
      <c r="G30" s="165"/>
    </row>
    <row r="31" spans="2:7" ht="15.75" customHeight="1" x14ac:dyDescent="0.25">
      <c r="B31" s="163"/>
      <c r="C31" s="164"/>
      <c r="D31" s="164"/>
      <c r="E31" s="163"/>
      <c r="F31" s="164"/>
      <c r="G31" s="166"/>
    </row>
    <row r="32" spans="2:7" ht="15.75" customHeight="1" x14ac:dyDescent="0.25">
      <c r="B32" s="46"/>
      <c r="C32" s="64"/>
      <c r="D32" s="65"/>
      <c r="E32" s="46"/>
      <c r="F32" s="64"/>
      <c r="G32" s="65"/>
    </row>
    <row r="33" spans="2:7" ht="15.75" customHeight="1" x14ac:dyDescent="0.25">
      <c r="B33" s="66"/>
      <c r="D33" s="53"/>
      <c r="E33" s="66"/>
      <c r="G33" s="53"/>
    </row>
    <row r="34" spans="2:7" ht="15.75" customHeight="1" x14ac:dyDescent="0.25">
      <c r="B34" s="66"/>
      <c r="D34" s="53"/>
      <c r="E34" s="66"/>
      <c r="G34" s="53"/>
    </row>
    <row r="35" spans="2:7" ht="15.75" customHeight="1" x14ac:dyDescent="0.25">
      <c r="B35" s="66"/>
      <c r="D35" s="53"/>
      <c r="E35" s="66"/>
      <c r="G35" s="53"/>
    </row>
    <row r="36" spans="2:7" ht="15.75" customHeight="1" x14ac:dyDescent="0.25">
      <c r="B36" s="66"/>
      <c r="D36" s="53"/>
      <c r="E36" s="66"/>
      <c r="G36" s="53"/>
    </row>
    <row r="37" spans="2:7" ht="15.75" customHeight="1" x14ac:dyDescent="0.25">
      <c r="B37" s="66"/>
      <c r="D37" s="53"/>
      <c r="E37" s="66"/>
      <c r="G37" s="53"/>
    </row>
    <row r="38" spans="2:7" ht="15.75" customHeight="1" x14ac:dyDescent="0.25">
      <c r="B38" s="66"/>
      <c r="D38" s="53"/>
      <c r="E38" s="66"/>
      <c r="G38" s="53"/>
    </row>
    <row r="39" spans="2:7" ht="15.75" customHeight="1" x14ac:dyDescent="0.25">
      <c r="B39" s="66"/>
      <c r="D39" s="53"/>
      <c r="E39" s="66"/>
      <c r="G39" s="53"/>
    </row>
    <row r="40" spans="2:7" ht="15.75" customHeight="1" x14ac:dyDescent="0.25">
      <c r="B40" s="66"/>
      <c r="D40" s="53"/>
      <c r="E40" s="66"/>
      <c r="G40" s="53"/>
    </row>
    <row r="41" spans="2:7" ht="15.75" customHeight="1" x14ac:dyDescent="0.25">
      <c r="B41" s="66"/>
      <c r="D41" s="53"/>
      <c r="E41" s="66"/>
      <c r="G41" s="53"/>
    </row>
    <row r="42" spans="2:7" x14ac:dyDescent="0.25">
      <c r="B42" s="66"/>
      <c r="D42" s="53"/>
      <c r="E42" s="66"/>
      <c r="G42" s="53"/>
    </row>
    <row r="43" spans="2:7" x14ac:dyDescent="0.25">
      <c r="B43" s="67"/>
      <c r="C43" s="60"/>
      <c r="D43" s="61"/>
      <c r="E43" s="67"/>
      <c r="F43" s="60"/>
      <c r="G43" s="61"/>
    </row>
  </sheetData>
  <mergeCells count="10">
    <mergeCell ref="B5:B29"/>
    <mergeCell ref="C26:G26"/>
    <mergeCell ref="B30:D31"/>
    <mergeCell ref="E30:G31"/>
    <mergeCell ref="B1:D2"/>
    <mergeCell ref="E1:F2"/>
    <mergeCell ref="G1:G2"/>
    <mergeCell ref="B3:E4"/>
    <mergeCell ref="F3:F4"/>
    <mergeCell ref="G3:G4"/>
  </mergeCells>
  <pageMargins left="0.25" right="0.25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7FA05-FD1C-4CC1-A4C8-5767889DD96C}">
  <dimension ref="B1:L148"/>
  <sheetViews>
    <sheetView tabSelected="1" topLeftCell="A101" zoomScaleNormal="100" workbookViewId="0">
      <selection activeCell="C136" sqref="C136:F148"/>
    </sheetView>
  </sheetViews>
  <sheetFormatPr baseColWidth="10" defaultColWidth="11.42578125" defaultRowHeight="15" x14ac:dyDescent="0.25"/>
  <cols>
    <col min="1" max="1" width="2.85546875" customWidth="1"/>
    <col min="2" max="2" width="14.85546875" customWidth="1"/>
    <col min="3" max="5" width="16.28515625" customWidth="1"/>
    <col min="6" max="6" width="27.140625" customWidth="1"/>
    <col min="7" max="7" width="2.85546875" customWidth="1"/>
  </cols>
  <sheetData>
    <row r="1" spans="2:6" x14ac:dyDescent="0.25">
      <c r="B1" s="442" t="s">
        <v>95</v>
      </c>
      <c r="C1" s="443"/>
      <c r="D1" s="443"/>
      <c r="E1" s="444"/>
      <c r="F1" s="445"/>
    </row>
    <row r="2" spans="2:6" x14ac:dyDescent="0.25">
      <c r="B2" s="446"/>
      <c r="C2" s="447"/>
      <c r="D2" s="447"/>
      <c r="E2" s="448"/>
      <c r="F2" s="449"/>
    </row>
    <row r="3" spans="2:6" ht="12.75" customHeight="1" x14ac:dyDescent="0.25">
      <c r="C3" s="69"/>
      <c r="D3" s="69"/>
      <c r="E3" s="69"/>
      <c r="F3" s="69"/>
    </row>
    <row r="4" spans="2:6" x14ac:dyDescent="0.25">
      <c r="B4" s="440" t="s">
        <v>33</v>
      </c>
      <c r="C4" s="425" t="s">
        <v>270</v>
      </c>
      <c r="D4" s="426"/>
      <c r="E4" s="426"/>
      <c r="F4" s="427"/>
    </row>
    <row r="5" spans="2:6" ht="15.75" customHeight="1" x14ac:dyDescent="0.25">
      <c r="B5" s="441"/>
      <c r="C5" s="428"/>
      <c r="D5" s="429"/>
      <c r="E5" s="429"/>
      <c r="F5" s="430"/>
    </row>
    <row r="6" spans="2:6" x14ac:dyDescent="0.25">
      <c r="B6" s="70" t="s">
        <v>96</v>
      </c>
      <c r="C6" s="428"/>
      <c r="D6" s="429"/>
      <c r="E6" s="429"/>
      <c r="F6" s="430"/>
    </row>
    <row r="7" spans="2:6" x14ac:dyDescent="0.25">
      <c r="B7" s="71">
        <v>2</v>
      </c>
      <c r="C7" s="428"/>
      <c r="D7" s="429"/>
      <c r="E7" s="429"/>
      <c r="F7" s="430"/>
    </row>
    <row r="8" spans="2:6" ht="15.75" customHeight="1" x14ac:dyDescent="0.25">
      <c r="B8" s="72" t="s">
        <v>97</v>
      </c>
      <c r="C8" s="428"/>
      <c r="D8" s="429"/>
      <c r="E8" s="429"/>
      <c r="F8" s="430"/>
    </row>
    <row r="9" spans="2:6" ht="15.75" customHeight="1" x14ac:dyDescent="0.3">
      <c r="B9" s="73">
        <f>Kompetenzraster!Q5</f>
        <v>46426</v>
      </c>
      <c r="C9" s="428"/>
      <c r="D9" s="429"/>
      <c r="E9" s="429"/>
      <c r="F9" s="430"/>
    </row>
    <row r="10" spans="2:6" ht="15.75" customHeight="1" x14ac:dyDescent="0.25">
      <c r="B10" s="72" t="s">
        <v>98</v>
      </c>
      <c r="C10" s="428"/>
      <c r="D10" s="429"/>
      <c r="E10" s="429"/>
      <c r="F10" s="430"/>
    </row>
    <row r="11" spans="2:6" ht="15.75" customHeight="1" x14ac:dyDescent="0.3">
      <c r="B11" s="74">
        <f>Kompetenzraster!Q13-1</f>
        <v>46454</v>
      </c>
      <c r="C11" s="428"/>
      <c r="D11" s="429"/>
      <c r="E11" s="429"/>
      <c r="F11" s="430"/>
    </row>
    <row r="12" spans="2:6" x14ac:dyDescent="0.25">
      <c r="B12" s="434"/>
      <c r="C12" s="428"/>
      <c r="D12" s="429"/>
      <c r="E12" s="429"/>
      <c r="F12" s="430"/>
    </row>
    <row r="13" spans="2:6" x14ac:dyDescent="0.25">
      <c r="B13" s="435"/>
      <c r="C13" s="428"/>
      <c r="D13" s="429"/>
      <c r="E13" s="429"/>
      <c r="F13" s="430"/>
    </row>
    <row r="14" spans="2:6" x14ac:dyDescent="0.25">
      <c r="B14" s="435"/>
      <c r="C14" s="428"/>
      <c r="D14" s="429"/>
      <c r="E14" s="429"/>
      <c r="F14" s="430"/>
    </row>
    <row r="15" spans="2:6" ht="15.75" customHeight="1" x14ac:dyDescent="0.25">
      <c r="B15" s="436"/>
      <c r="C15" s="428"/>
      <c r="D15" s="429"/>
      <c r="E15" s="429"/>
      <c r="F15" s="430"/>
    </row>
    <row r="16" spans="2:6" ht="15.75" customHeight="1" x14ac:dyDescent="0.25">
      <c r="B16" s="437"/>
      <c r="C16" s="431"/>
      <c r="D16" s="432"/>
      <c r="E16" s="432"/>
      <c r="F16" s="433"/>
    </row>
    <row r="17" spans="2:6" x14ac:dyDescent="0.25">
      <c r="B17" s="440" t="s">
        <v>34</v>
      </c>
      <c r="C17" s="425" t="s">
        <v>271</v>
      </c>
      <c r="D17" s="426"/>
      <c r="E17" s="426"/>
      <c r="F17" s="427"/>
    </row>
    <row r="18" spans="2:6" x14ac:dyDescent="0.25">
      <c r="B18" s="441"/>
      <c r="C18" s="428"/>
      <c r="D18" s="429"/>
      <c r="E18" s="429"/>
      <c r="F18" s="430"/>
    </row>
    <row r="19" spans="2:6" x14ac:dyDescent="0.25">
      <c r="B19" s="70" t="s">
        <v>96</v>
      </c>
      <c r="C19" s="428"/>
      <c r="D19" s="429"/>
      <c r="E19" s="429"/>
      <c r="F19" s="430"/>
    </row>
    <row r="20" spans="2:6" x14ac:dyDescent="0.25">
      <c r="B20" s="71">
        <v>3</v>
      </c>
      <c r="C20" s="428"/>
      <c r="D20" s="429"/>
      <c r="E20" s="429"/>
      <c r="F20" s="430"/>
    </row>
    <row r="21" spans="2:6" x14ac:dyDescent="0.25">
      <c r="B21" s="72" t="s">
        <v>97</v>
      </c>
      <c r="C21" s="428"/>
      <c r="D21" s="429"/>
      <c r="E21" s="429"/>
      <c r="F21" s="430"/>
    </row>
    <row r="22" spans="2:6" ht="16.5" x14ac:dyDescent="0.3">
      <c r="B22" s="73">
        <f>Kompetenzraster!Q13</f>
        <v>46455</v>
      </c>
      <c r="C22" s="428"/>
      <c r="D22" s="429"/>
      <c r="E22" s="429"/>
      <c r="F22" s="430"/>
    </row>
    <row r="23" spans="2:6" x14ac:dyDescent="0.25">
      <c r="B23" s="72" t="s">
        <v>98</v>
      </c>
      <c r="C23" s="428"/>
      <c r="D23" s="429"/>
      <c r="E23" s="429"/>
      <c r="F23" s="430"/>
    </row>
    <row r="24" spans="2:6" ht="16.5" x14ac:dyDescent="0.3">
      <c r="B24" s="74">
        <f>Kompetenzraster!Q21-1</f>
        <v>46482</v>
      </c>
      <c r="C24" s="428"/>
      <c r="D24" s="429"/>
      <c r="E24" s="429"/>
      <c r="F24" s="430"/>
    </row>
    <row r="25" spans="2:6" x14ac:dyDescent="0.25">
      <c r="B25" s="434"/>
      <c r="C25" s="428"/>
      <c r="D25" s="429"/>
      <c r="E25" s="429"/>
      <c r="F25" s="430"/>
    </row>
    <row r="26" spans="2:6" x14ac:dyDescent="0.25">
      <c r="B26" s="435"/>
      <c r="C26" s="428"/>
      <c r="D26" s="429"/>
      <c r="E26" s="429"/>
      <c r="F26" s="430"/>
    </row>
    <row r="27" spans="2:6" x14ac:dyDescent="0.25">
      <c r="B27" s="435"/>
      <c r="C27" s="428"/>
      <c r="D27" s="429"/>
      <c r="E27" s="429"/>
      <c r="F27" s="430"/>
    </row>
    <row r="28" spans="2:6" x14ac:dyDescent="0.25">
      <c r="B28" s="436"/>
      <c r="C28" s="428"/>
      <c r="D28" s="429"/>
      <c r="E28" s="429"/>
      <c r="F28" s="430"/>
    </row>
    <row r="29" spans="2:6" x14ac:dyDescent="0.25">
      <c r="B29" s="437"/>
      <c r="C29" s="431"/>
      <c r="D29" s="432"/>
      <c r="E29" s="432"/>
      <c r="F29" s="433"/>
    </row>
    <row r="30" spans="2:6" x14ac:dyDescent="0.25">
      <c r="B30" s="440" t="s">
        <v>35</v>
      </c>
      <c r="C30" s="425" t="s">
        <v>272</v>
      </c>
      <c r="D30" s="426"/>
      <c r="E30" s="426"/>
      <c r="F30" s="427"/>
    </row>
    <row r="31" spans="2:6" x14ac:dyDescent="0.25">
      <c r="B31" s="441"/>
      <c r="C31" s="428"/>
      <c r="D31" s="429"/>
      <c r="E31" s="429"/>
      <c r="F31" s="430"/>
    </row>
    <row r="32" spans="2:6" x14ac:dyDescent="0.25">
      <c r="B32" s="70" t="s">
        <v>96</v>
      </c>
      <c r="C32" s="428"/>
      <c r="D32" s="429"/>
      <c r="E32" s="429"/>
      <c r="F32" s="430"/>
    </row>
    <row r="33" spans="2:6" x14ac:dyDescent="0.25">
      <c r="B33" s="71" t="e">
        <f>Kompetenzraster!#REF!</f>
        <v>#REF!</v>
      </c>
      <c r="C33" s="428"/>
      <c r="D33" s="429"/>
      <c r="E33" s="429"/>
      <c r="F33" s="430"/>
    </row>
    <row r="34" spans="2:6" x14ac:dyDescent="0.25">
      <c r="B34" s="72" t="s">
        <v>97</v>
      </c>
      <c r="C34" s="428"/>
      <c r="D34" s="429"/>
      <c r="E34" s="429"/>
      <c r="F34" s="430"/>
    </row>
    <row r="35" spans="2:6" ht="16.5" x14ac:dyDescent="0.3">
      <c r="B35" s="73">
        <f>Kompetenzraster!Q27</f>
        <v>46518</v>
      </c>
      <c r="C35" s="428"/>
      <c r="D35" s="429"/>
      <c r="E35" s="429"/>
      <c r="F35" s="430"/>
    </row>
    <row r="36" spans="2:6" x14ac:dyDescent="0.25">
      <c r="B36" s="72" t="s">
        <v>98</v>
      </c>
      <c r="C36" s="428"/>
      <c r="D36" s="429"/>
      <c r="E36" s="429"/>
      <c r="F36" s="430"/>
    </row>
    <row r="37" spans="2:6" ht="16.5" x14ac:dyDescent="0.3">
      <c r="B37" s="74">
        <f>Kompetenzraster!Q31-1</f>
        <v>46531</v>
      </c>
      <c r="C37" s="428"/>
      <c r="D37" s="429"/>
      <c r="E37" s="429"/>
      <c r="F37" s="430"/>
    </row>
    <row r="38" spans="2:6" ht="16.5" x14ac:dyDescent="0.3">
      <c r="B38" s="73"/>
      <c r="C38" s="428"/>
      <c r="D38" s="429"/>
      <c r="E38" s="429"/>
      <c r="F38" s="430"/>
    </row>
    <row r="39" spans="2:6" ht="16.5" x14ac:dyDescent="0.3">
      <c r="B39" s="73"/>
      <c r="C39" s="428"/>
      <c r="D39" s="429"/>
      <c r="E39" s="429"/>
      <c r="F39" s="430"/>
    </row>
    <row r="40" spans="2:6" x14ac:dyDescent="0.25">
      <c r="B40" s="434"/>
      <c r="C40" s="428"/>
      <c r="D40" s="429"/>
      <c r="E40" s="429"/>
      <c r="F40" s="430"/>
    </row>
    <row r="41" spans="2:6" x14ac:dyDescent="0.25">
      <c r="B41" s="436"/>
      <c r="C41" s="428"/>
      <c r="D41" s="429"/>
      <c r="E41" s="429"/>
      <c r="F41" s="430"/>
    </row>
    <row r="42" spans="2:6" x14ac:dyDescent="0.25">
      <c r="B42" s="437"/>
      <c r="C42" s="431"/>
      <c r="D42" s="432"/>
      <c r="E42" s="432"/>
      <c r="F42" s="433"/>
    </row>
    <row r="43" spans="2:6" x14ac:dyDescent="0.25">
      <c r="B43" s="440" t="s">
        <v>36</v>
      </c>
      <c r="C43" s="425" t="s">
        <v>273</v>
      </c>
      <c r="D43" s="426"/>
      <c r="E43" s="426"/>
      <c r="F43" s="427"/>
    </row>
    <row r="44" spans="2:6" x14ac:dyDescent="0.25">
      <c r="B44" s="441"/>
      <c r="C44" s="428"/>
      <c r="D44" s="429"/>
      <c r="E44" s="429"/>
      <c r="F44" s="430"/>
    </row>
    <row r="45" spans="2:6" x14ac:dyDescent="0.25">
      <c r="B45" s="70" t="s">
        <v>96</v>
      </c>
      <c r="C45" s="428"/>
      <c r="D45" s="429"/>
      <c r="E45" s="429"/>
      <c r="F45" s="430"/>
    </row>
    <row r="46" spans="2:6" x14ac:dyDescent="0.25">
      <c r="B46" s="71" t="e">
        <f>Kompetenzraster!#REF!</f>
        <v>#REF!</v>
      </c>
      <c r="C46" s="428"/>
      <c r="D46" s="429"/>
      <c r="E46" s="429"/>
      <c r="F46" s="430"/>
    </row>
    <row r="47" spans="2:6" x14ac:dyDescent="0.25">
      <c r="B47" s="72" t="s">
        <v>97</v>
      </c>
      <c r="C47" s="428"/>
      <c r="D47" s="429"/>
      <c r="E47" s="429"/>
      <c r="F47" s="430"/>
    </row>
    <row r="48" spans="2:6" ht="16.5" x14ac:dyDescent="0.3">
      <c r="B48" s="73">
        <f>Kompetenzraster!Q31</f>
        <v>46532</v>
      </c>
      <c r="C48" s="428"/>
      <c r="D48" s="429"/>
      <c r="E48" s="429"/>
      <c r="F48" s="430"/>
    </row>
    <row r="49" spans="2:6" x14ac:dyDescent="0.25">
      <c r="B49" s="72" t="s">
        <v>98</v>
      </c>
      <c r="C49" s="428"/>
      <c r="D49" s="429"/>
      <c r="E49" s="429"/>
      <c r="F49" s="430"/>
    </row>
    <row r="50" spans="2:6" ht="16.5" x14ac:dyDescent="0.3">
      <c r="B50" s="74">
        <f>Kompetenzraster!Q37-1</f>
        <v>46552</v>
      </c>
      <c r="C50" s="428"/>
      <c r="D50" s="429"/>
      <c r="E50" s="429"/>
      <c r="F50" s="430"/>
    </row>
    <row r="51" spans="2:6" ht="16.5" x14ac:dyDescent="0.3">
      <c r="B51" s="73"/>
      <c r="C51" s="428"/>
      <c r="D51" s="429"/>
      <c r="E51" s="429"/>
      <c r="F51" s="430"/>
    </row>
    <row r="52" spans="2:6" ht="16.5" x14ac:dyDescent="0.3">
      <c r="B52" s="73"/>
      <c r="C52" s="428"/>
      <c r="D52" s="429"/>
      <c r="E52" s="429"/>
      <c r="F52" s="430"/>
    </row>
    <row r="53" spans="2:6" x14ac:dyDescent="0.25">
      <c r="B53" s="434"/>
      <c r="C53" s="428"/>
      <c r="D53" s="429"/>
      <c r="E53" s="429"/>
      <c r="F53" s="430"/>
    </row>
    <row r="54" spans="2:6" x14ac:dyDescent="0.25">
      <c r="B54" s="436"/>
      <c r="C54" s="428"/>
      <c r="D54" s="429"/>
      <c r="E54" s="429"/>
      <c r="F54" s="430"/>
    </row>
    <row r="55" spans="2:6" x14ac:dyDescent="0.25">
      <c r="B55" s="437"/>
      <c r="C55" s="431"/>
      <c r="D55" s="432"/>
      <c r="E55" s="432"/>
      <c r="F55" s="433"/>
    </row>
    <row r="56" spans="2:6" x14ac:dyDescent="0.25">
      <c r="B56" s="440" t="s">
        <v>37</v>
      </c>
      <c r="C56" s="425" t="s">
        <v>274</v>
      </c>
      <c r="D56" s="426"/>
      <c r="E56" s="426"/>
      <c r="F56" s="427"/>
    </row>
    <row r="57" spans="2:6" x14ac:dyDescent="0.25">
      <c r="B57" s="441"/>
      <c r="C57" s="428"/>
      <c r="D57" s="429"/>
      <c r="E57" s="429"/>
      <c r="F57" s="430"/>
    </row>
    <row r="58" spans="2:6" x14ac:dyDescent="0.25">
      <c r="B58" s="70" t="s">
        <v>96</v>
      </c>
      <c r="C58" s="428"/>
      <c r="D58" s="429"/>
      <c r="E58" s="429"/>
      <c r="F58" s="430"/>
    </row>
    <row r="59" spans="2:6" x14ac:dyDescent="0.25">
      <c r="B59" s="71" t="e">
        <f>Kompetenzraster!#REF!</f>
        <v>#REF!</v>
      </c>
      <c r="C59" s="428"/>
      <c r="D59" s="429"/>
      <c r="E59" s="429"/>
      <c r="F59" s="430"/>
    </row>
    <row r="60" spans="2:6" x14ac:dyDescent="0.25">
      <c r="B60" s="72" t="s">
        <v>97</v>
      </c>
      <c r="C60" s="428"/>
      <c r="D60" s="429"/>
      <c r="E60" s="429"/>
      <c r="F60" s="430"/>
    </row>
    <row r="61" spans="2:6" ht="16.5" x14ac:dyDescent="0.3">
      <c r="B61" s="73">
        <f>Kompetenzraster!Q41</f>
        <v>46567</v>
      </c>
      <c r="C61" s="428"/>
      <c r="D61" s="429"/>
      <c r="E61" s="429"/>
      <c r="F61" s="430"/>
    </row>
    <row r="62" spans="2:6" x14ac:dyDescent="0.25">
      <c r="B62" s="72" t="s">
        <v>98</v>
      </c>
      <c r="C62" s="428"/>
      <c r="D62" s="429"/>
      <c r="E62" s="429"/>
      <c r="F62" s="430"/>
    </row>
    <row r="63" spans="2:6" ht="16.5" x14ac:dyDescent="0.3">
      <c r="B63" s="74">
        <f>Kompetenzraster!Q41+6</f>
        <v>46573</v>
      </c>
      <c r="C63" s="428"/>
      <c r="D63" s="429"/>
      <c r="E63" s="429"/>
      <c r="F63" s="430"/>
    </row>
    <row r="64" spans="2:6" x14ac:dyDescent="0.25">
      <c r="B64" s="434"/>
      <c r="C64" s="428"/>
      <c r="D64" s="429"/>
      <c r="E64" s="429"/>
      <c r="F64" s="430"/>
    </row>
    <row r="65" spans="2:6" x14ac:dyDescent="0.25">
      <c r="B65" s="435"/>
      <c r="C65" s="428"/>
      <c r="D65" s="429"/>
      <c r="E65" s="429"/>
      <c r="F65" s="430"/>
    </row>
    <row r="66" spans="2:6" x14ac:dyDescent="0.25">
      <c r="B66" s="435"/>
      <c r="C66" s="428"/>
      <c r="D66" s="429"/>
      <c r="E66" s="429"/>
      <c r="F66" s="430"/>
    </row>
    <row r="67" spans="2:6" x14ac:dyDescent="0.25">
      <c r="B67" s="435"/>
      <c r="C67" s="428"/>
      <c r="D67" s="429"/>
      <c r="E67" s="429"/>
      <c r="F67" s="430"/>
    </row>
    <row r="68" spans="2:6" x14ac:dyDescent="0.25">
      <c r="B68" s="436"/>
      <c r="C68" s="428"/>
      <c r="D68" s="429"/>
      <c r="E68" s="429"/>
      <c r="F68" s="430"/>
    </row>
    <row r="69" spans="2:6" x14ac:dyDescent="0.25">
      <c r="B69" s="437"/>
      <c r="C69" s="431"/>
      <c r="D69" s="432"/>
      <c r="E69" s="432"/>
      <c r="F69" s="433"/>
    </row>
    <row r="70" spans="2:6" x14ac:dyDescent="0.25">
      <c r="B70" s="440" t="s">
        <v>48</v>
      </c>
      <c r="C70" s="425" t="s">
        <v>275</v>
      </c>
      <c r="D70" s="426"/>
      <c r="E70" s="426"/>
      <c r="F70" s="427"/>
    </row>
    <row r="71" spans="2:6" x14ac:dyDescent="0.25">
      <c r="B71" s="441"/>
      <c r="C71" s="428"/>
      <c r="D71" s="429"/>
      <c r="E71" s="429"/>
      <c r="F71" s="430"/>
    </row>
    <row r="72" spans="2:6" x14ac:dyDescent="0.25">
      <c r="B72" s="70" t="s">
        <v>96</v>
      </c>
      <c r="C72" s="428"/>
      <c r="D72" s="429"/>
      <c r="E72" s="429"/>
      <c r="F72" s="430"/>
    </row>
    <row r="73" spans="2:6" x14ac:dyDescent="0.25">
      <c r="B73" s="71" t="e">
        <f>Kompetenzraster!#REF!</f>
        <v>#REF!</v>
      </c>
      <c r="C73" s="428"/>
      <c r="D73" s="429"/>
      <c r="E73" s="429"/>
      <c r="F73" s="430"/>
    </row>
    <row r="74" spans="2:6" x14ac:dyDescent="0.25">
      <c r="B74" s="72" t="s">
        <v>97</v>
      </c>
      <c r="C74" s="428"/>
      <c r="D74" s="429"/>
      <c r="E74" s="429"/>
      <c r="F74" s="430"/>
    </row>
    <row r="75" spans="2:6" ht="16.5" x14ac:dyDescent="0.3">
      <c r="B75" s="73">
        <f>Kompetenzraster!Q5</f>
        <v>46426</v>
      </c>
      <c r="C75" s="428"/>
      <c r="D75" s="429"/>
      <c r="E75" s="429"/>
      <c r="F75" s="430"/>
    </row>
    <row r="76" spans="2:6" x14ac:dyDescent="0.25">
      <c r="B76" s="72" t="s">
        <v>98</v>
      </c>
      <c r="C76" s="428"/>
      <c r="D76" s="429"/>
      <c r="E76" s="429"/>
      <c r="F76" s="430"/>
    </row>
    <row r="77" spans="2:6" ht="16.5" x14ac:dyDescent="0.3">
      <c r="B77" s="74">
        <f>Kompetenzraster!Q11</f>
        <v>46447</v>
      </c>
      <c r="C77" s="428"/>
      <c r="D77" s="429"/>
      <c r="E77" s="429"/>
      <c r="F77" s="430"/>
    </row>
    <row r="78" spans="2:6" x14ac:dyDescent="0.25">
      <c r="B78" s="434"/>
      <c r="C78" s="428"/>
      <c r="D78" s="429"/>
      <c r="E78" s="429"/>
      <c r="F78" s="430"/>
    </row>
    <row r="79" spans="2:6" x14ac:dyDescent="0.25">
      <c r="B79" s="435"/>
      <c r="C79" s="428"/>
      <c r="D79" s="429"/>
      <c r="E79" s="429"/>
      <c r="F79" s="430"/>
    </row>
    <row r="80" spans="2:6" x14ac:dyDescent="0.25">
      <c r="B80" s="435"/>
      <c r="C80" s="428"/>
      <c r="D80" s="429"/>
      <c r="E80" s="429"/>
      <c r="F80" s="430"/>
    </row>
    <row r="81" spans="2:6" x14ac:dyDescent="0.25">
      <c r="B81" s="435"/>
      <c r="C81" s="428"/>
      <c r="D81" s="429"/>
      <c r="E81" s="429"/>
      <c r="F81" s="430"/>
    </row>
    <row r="82" spans="2:6" x14ac:dyDescent="0.25">
      <c r="B82" s="436"/>
      <c r="C82" s="428"/>
      <c r="D82" s="429"/>
      <c r="E82" s="429"/>
      <c r="F82" s="430"/>
    </row>
    <row r="83" spans="2:6" x14ac:dyDescent="0.25">
      <c r="B83" s="436"/>
      <c r="C83" s="428"/>
      <c r="D83" s="429"/>
      <c r="E83" s="429"/>
      <c r="F83" s="430"/>
    </row>
    <row r="84" spans="2:6" x14ac:dyDescent="0.25">
      <c r="B84" s="437"/>
      <c r="C84" s="431"/>
      <c r="D84" s="432"/>
      <c r="E84" s="432"/>
      <c r="F84" s="433"/>
    </row>
    <row r="85" spans="2:6" x14ac:dyDescent="0.25">
      <c r="B85" s="440" t="s">
        <v>38</v>
      </c>
      <c r="C85" s="425" t="s">
        <v>281</v>
      </c>
      <c r="D85" s="426"/>
      <c r="E85" s="426"/>
      <c r="F85" s="427"/>
    </row>
    <row r="86" spans="2:6" x14ac:dyDescent="0.25">
      <c r="B86" s="441"/>
      <c r="C86" s="428"/>
      <c r="D86" s="429"/>
      <c r="E86" s="429"/>
      <c r="F86" s="430"/>
    </row>
    <row r="87" spans="2:6" x14ac:dyDescent="0.25">
      <c r="B87" s="70" t="s">
        <v>96</v>
      </c>
      <c r="C87" s="428"/>
      <c r="D87" s="429"/>
      <c r="E87" s="429"/>
      <c r="F87" s="430"/>
    </row>
    <row r="88" spans="2:6" x14ac:dyDescent="0.25">
      <c r="B88" s="71" t="e">
        <f>Kompetenzraster!#REF!</f>
        <v>#REF!</v>
      </c>
      <c r="C88" s="428"/>
      <c r="D88" s="429"/>
      <c r="E88" s="429"/>
      <c r="F88" s="430"/>
    </row>
    <row r="89" spans="2:6" x14ac:dyDescent="0.25">
      <c r="B89" s="72" t="s">
        <v>97</v>
      </c>
      <c r="C89" s="428"/>
      <c r="D89" s="429"/>
      <c r="E89" s="429"/>
      <c r="F89" s="430"/>
    </row>
    <row r="90" spans="2:6" ht="16.5" x14ac:dyDescent="0.3">
      <c r="B90" s="73">
        <f>Kompetenzraster!Q15</f>
        <v>46462</v>
      </c>
      <c r="C90" s="428"/>
      <c r="D90" s="429"/>
      <c r="E90" s="429"/>
      <c r="F90" s="430"/>
    </row>
    <row r="91" spans="2:6" x14ac:dyDescent="0.25">
      <c r="B91" s="72" t="s">
        <v>98</v>
      </c>
      <c r="C91" s="428"/>
      <c r="D91" s="429"/>
      <c r="E91" s="429"/>
      <c r="F91" s="430"/>
    </row>
    <row r="92" spans="2:6" ht="16.5" x14ac:dyDescent="0.3">
      <c r="B92" s="74">
        <f>Kompetenzraster!Q19</f>
        <v>46476</v>
      </c>
      <c r="C92" s="428"/>
      <c r="D92" s="429"/>
      <c r="E92" s="429"/>
      <c r="F92" s="430"/>
    </row>
    <row r="93" spans="2:6" x14ac:dyDescent="0.25">
      <c r="B93" s="434"/>
      <c r="C93" s="428"/>
      <c r="D93" s="429"/>
      <c r="E93" s="429"/>
      <c r="F93" s="430"/>
    </row>
    <row r="94" spans="2:6" x14ac:dyDescent="0.25">
      <c r="B94" s="435"/>
      <c r="C94" s="428"/>
      <c r="D94" s="429"/>
      <c r="E94" s="429"/>
      <c r="F94" s="430"/>
    </row>
    <row r="95" spans="2:6" x14ac:dyDescent="0.25">
      <c r="B95" s="435"/>
      <c r="C95" s="428"/>
      <c r="D95" s="429"/>
      <c r="E95" s="429"/>
      <c r="F95" s="430"/>
    </row>
    <row r="96" spans="2:6" x14ac:dyDescent="0.25">
      <c r="B96" s="436"/>
      <c r="C96" s="428"/>
      <c r="D96" s="429"/>
      <c r="E96" s="429"/>
      <c r="F96" s="430"/>
    </row>
    <row r="97" spans="2:12" x14ac:dyDescent="0.25">
      <c r="B97" s="436"/>
      <c r="C97" s="428"/>
      <c r="D97" s="429"/>
      <c r="E97" s="429"/>
      <c r="F97" s="430"/>
    </row>
    <row r="98" spans="2:12" x14ac:dyDescent="0.25">
      <c r="B98" s="437"/>
      <c r="C98" s="431"/>
      <c r="D98" s="432"/>
      <c r="E98" s="432"/>
      <c r="F98" s="433"/>
    </row>
    <row r="99" spans="2:12" x14ac:dyDescent="0.25">
      <c r="B99" s="440" t="s">
        <v>39</v>
      </c>
      <c r="C99" s="425" t="s">
        <v>276</v>
      </c>
      <c r="D99" s="426"/>
      <c r="E99" s="426"/>
      <c r="F99" s="427"/>
    </row>
    <row r="100" spans="2:12" x14ac:dyDescent="0.25">
      <c r="B100" s="441"/>
      <c r="C100" s="428"/>
      <c r="D100" s="429"/>
      <c r="E100" s="429"/>
      <c r="F100" s="430"/>
    </row>
    <row r="101" spans="2:12" x14ac:dyDescent="0.25">
      <c r="B101" s="70" t="s">
        <v>96</v>
      </c>
      <c r="C101" s="428"/>
      <c r="D101" s="429"/>
      <c r="E101" s="429"/>
      <c r="F101" s="430"/>
    </row>
    <row r="102" spans="2:12" x14ac:dyDescent="0.25">
      <c r="B102" s="71">
        <v>1</v>
      </c>
      <c r="C102" s="428"/>
      <c r="D102" s="429"/>
      <c r="E102" s="429"/>
      <c r="F102" s="430"/>
    </row>
    <row r="103" spans="2:12" x14ac:dyDescent="0.25">
      <c r="B103" s="72" t="s">
        <v>97</v>
      </c>
      <c r="C103" s="428"/>
      <c r="D103" s="429"/>
      <c r="E103" s="429"/>
      <c r="F103" s="430"/>
    </row>
    <row r="104" spans="2:12" ht="16.5" x14ac:dyDescent="0.3">
      <c r="B104" s="73">
        <f>Kompetenzraster!Q23</f>
        <v>46504</v>
      </c>
      <c r="C104" s="428"/>
      <c r="D104" s="429"/>
      <c r="E104" s="429"/>
      <c r="F104" s="430"/>
    </row>
    <row r="105" spans="2:12" x14ac:dyDescent="0.25">
      <c r="B105" s="72" t="s">
        <v>98</v>
      </c>
      <c r="C105" s="428"/>
      <c r="D105" s="429"/>
      <c r="E105" s="429"/>
      <c r="F105" s="430"/>
    </row>
    <row r="106" spans="2:12" ht="16.5" x14ac:dyDescent="0.3">
      <c r="B106" s="74">
        <f>Kompetenzraster!Q29-1</f>
        <v>46524</v>
      </c>
      <c r="C106" s="428"/>
      <c r="D106" s="429"/>
      <c r="E106" s="429"/>
      <c r="F106" s="430"/>
    </row>
    <row r="107" spans="2:12" x14ac:dyDescent="0.25">
      <c r="B107" s="434"/>
      <c r="C107" s="428"/>
      <c r="D107" s="429"/>
      <c r="E107" s="429"/>
      <c r="F107" s="430"/>
    </row>
    <row r="108" spans="2:12" x14ac:dyDescent="0.25">
      <c r="B108" s="435"/>
      <c r="C108" s="428"/>
      <c r="D108" s="429"/>
      <c r="E108" s="429"/>
      <c r="F108" s="430"/>
    </row>
    <row r="109" spans="2:12" x14ac:dyDescent="0.25">
      <c r="B109" s="437"/>
      <c r="C109" s="431"/>
      <c r="D109" s="432"/>
      <c r="E109" s="432"/>
      <c r="F109" s="433"/>
    </row>
    <row r="110" spans="2:12" x14ac:dyDescent="0.25">
      <c r="B110" s="423" t="s">
        <v>40</v>
      </c>
      <c r="C110" s="425" t="s">
        <v>278</v>
      </c>
      <c r="D110" s="426"/>
      <c r="E110" s="426"/>
      <c r="F110" s="427"/>
    </row>
    <row r="111" spans="2:12" x14ac:dyDescent="0.25">
      <c r="B111" s="424"/>
      <c r="C111" s="428"/>
      <c r="D111" s="429"/>
      <c r="E111" s="429"/>
      <c r="F111" s="430"/>
    </row>
    <row r="112" spans="2:12" x14ac:dyDescent="0.25">
      <c r="B112" s="70" t="s">
        <v>96</v>
      </c>
      <c r="C112" s="428"/>
      <c r="D112" s="429"/>
      <c r="E112" s="429"/>
      <c r="F112" s="430"/>
      <c r="L112" s="75"/>
    </row>
    <row r="113" spans="2:6" x14ac:dyDescent="0.25">
      <c r="B113" s="71">
        <v>1</v>
      </c>
      <c r="C113" s="428"/>
      <c r="D113" s="429"/>
      <c r="E113" s="429"/>
      <c r="F113" s="430"/>
    </row>
    <row r="114" spans="2:6" x14ac:dyDescent="0.25">
      <c r="B114" s="72" t="s">
        <v>97</v>
      </c>
      <c r="C114" s="428"/>
      <c r="D114" s="429"/>
      <c r="E114" s="429"/>
      <c r="F114" s="430"/>
    </row>
    <row r="115" spans="2:6" ht="16.5" x14ac:dyDescent="0.3">
      <c r="B115" s="73">
        <f>Kompetenzraster!Q31</f>
        <v>46532</v>
      </c>
      <c r="C115" s="428"/>
      <c r="D115" s="429"/>
      <c r="E115" s="429"/>
      <c r="F115" s="430"/>
    </row>
    <row r="116" spans="2:6" x14ac:dyDescent="0.25">
      <c r="B116" s="72" t="s">
        <v>98</v>
      </c>
      <c r="C116" s="428"/>
      <c r="D116" s="429"/>
      <c r="E116" s="429"/>
      <c r="F116" s="430"/>
    </row>
    <row r="117" spans="2:6" ht="16.5" x14ac:dyDescent="0.3">
      <c r="B117" s="74">
        <f>Kompetenzraster!Q37-1</f>
        <v>46552</v>
      </c>
      <c r="C117" s="428"/>
      <c r="D117" s="429"/>
      <c r="E117" s="429"/>
      <c r="F117" s="430"/>
    </row>
    <row r="118" spans="2:6" x14ac:dyDescent="0.25">
      <c r="B118" s="434"/>
      <c r="C118" s="428"/>
      <c r="D118" s="429"/>
      <c r="E118" s="429"/>
      <c r="F118" s="430"/>
    </row>
    <row r="119" spans="2:6" x14ac:dyDescent="0.25">
      <c r="B119" s="435"/>
      <c r="C119" s="428"/>
      <c r="D119" s="429"/>
      <c r="E119" s="429"/>
      <c r="F119" s="430"/>
    </row>
    <row r="120" spans="2:6" x14ac:dyDescent="0.25">
      <c r="B120" s="435"/>
      <c r="C120" s="428"/>
      <c r="D120" s="429"/>
      <c r="E120" s="429"/>
      <c r="F120" s="430"/>
    </row>
    <row r="121" spans="2:6" x14ac:dyDescent="0.25">
      <c r="B121" s="436"/>
      <c r="C121" s="428"/>
      <c r="D121" s="429"/>
      <c r="E121" s="429"/>
      <c r="F121" s="430"/>
    </row>
    <row r="122" spans="2:6" x14ac:dyDescent="0.25">
      <c r="B122" s="437"/>
      <c r="C122" s="431"/>
      <c r="D122" s="432"/>
      <c r="E122" s="432"/>
      <c r="F122" s="433"/>
    </row>
    <row r="123" spans="2:6" x14ac:dyDescent="0.25">
      <c r="B123" s="438" t="s">
        <v>73</v>
      </c>
      <c r="C123" s="425" t="s">
        <v>279</v>
      </c>
      <c r="D123" s="426"/>
      <c r="E123" s="426"/>
      <c r="F123" s="427"/>
    </row>
    <row r="124" spans="2:6" x14ac:dyDescent="0.25">
      <c r="B124" s="439"/>
      <c r="C124" s="428"/>
      <c r="D124" s="429"/>
      <c r="E124" s="429"/>
      <c r="F124" s="430"/>
    </row>
    <row r="125" spans="2:6" x14ac:dyDescent="0.25">
      <c r="B125" s="70" t="s">
        <v>96</v>
      </c>
      <c r="C125" s="428"/>
      <c r="D125" s="429"/>
      <c r="E125" s="429"/>
      <c r="F125" s="430"/>
    </row>
    <row r="126" spans="2:6" x14ac:dyDescent="0.25">
      <c r="B126" s="71">
        <v>1</v>
      </c>
      <c r="C126" s="428"/>
      <c r="D126" s="429"/>
      <c r="E126" s="429"/>
      <c r="F126" s="430"/>
    </row>
    <row r="127" spans="2:6" x14ac:dyDescent="0.25">
      <c r="B127" s="72" t="s">
        <v>97</v>
      </c>
      <c r="C127" s="428"/>
      <c r="D127" s="429"/>
      <c r="E127" s="429"/>
      <c r="F127" s="430"/>
    </row>
    <row r="128" spans="2:6" ht="16.5" x14ac:dyDescent="0.3">
      <c r="B128" s="73">
        <f>Kompetenzraster!Q37</f>
        <v>46553</v>
      </c>
      <c r="C128" s="428"/>
      <c r="D128" s="429"/>
      <c r="E128" s="429"/>
      <c r="F128" s="430"/>
    </row>
    <row r="129" spans="2:6" x14ac:dyDescent="0.25">
      <c r="B129" s="72" t="s">
        <v>98</v>
      </c>
      <c r="C129" s="428"/>
      <c r="D129" s="429"/>
      <c r="E129" s="429"/>
      <c r="F129" s="430"/>
    </row>
    <row r="130" spans="2:6" ht="16.5" x14ac:dyDescent="0.3">
      <c r="B130" s="74">
        <f>Kompetenzraster!Q41-1</f>
        <v>46566</v>
      </c>
      <c r="C130" s="428"/>
      <c r="D130" s="429"/>
      <c r="E130" s="429"/>
      <c r="F130" s="430"/>
    </row>
    <row r="131" spans="2:6" x14ac:dyDescent="0.25">
      <c r="B131" s="434"/>
      <c r="C131" s="428"/>
      <c r="D131" s="429"/>
      <c r="E131" s="429"/>
      <c r="F131" s="430"/>
    </row>
    <row r="132" spans="2:6" x14ac:dyDescent="0.25">
      <c r="B132" s="435"/>
      <c r="C132" s="428"/>
      <c r="D132" s="429"/>
      <c r="E132" s="429"/>
      <c r="F132" s="430"/>
    </row>
    <row r="133" spans="2:6" x14ac:dyDescent="0.25">
      <c r="B133" s="435"/>
      <c r="C133" s="428"/>
      <c r="D133" s="429"/>
      <c r="E133" s="429"/>
      <c r="F133" s="430"/>
    </row>
    <row r="134" spans="2:6" x14ac:dyDescent="0.25">
      <c r="B134" s="436"/>
      <c r="C134" s="428"/>
      <c r="D134" s="429"/>
      <c r="E134" s="429"/>
      <c r="F134" s="430"/>
    </row>
    <row r="135" spans="2:6" x14ac:dyDescent="0.25">
      <c r="B135" s="437"/>
      <c r="C135" s="431"/>
      <c r="D135" s="432"/>
      <c r="E135" s="432"/>
      <c r="F135" s="433"/>
    </row>
    <row r="136" spans="2:6" x14ac:dyDescent="0.25">
      <c r="B136" s="438" t="s">
        <v>251</v>
      </c>
      <c r="C136" s="425" t="s">
        <v>277</v>
      </c>
      <c r="D136" s="426"/>
      <c r="E136" s="426"/>
      <c r="F136" s="427"/>
    </row>
    <row r="137" spans="2:6" x14ac:dyDescent="0.25">
      <c r="B137" s="439"/>
      <c r="C137" s="428"/>
      <c r="D137" s="429"/>
      <c r="E137" s="429"/>
      <c r="F137" s="430"/>
    </row>
    <row r="138" spans="2:6" x14ac:dyDescent="0.25">
      <c r="B138" s="70" t="s">
        <v>96</v>
      </c>
      <c r="C138" s="428"/>
      <c r="D138" s="429"/>
      <c r="E138" s="429"/>
      <c r="F138" s="430"/>
    </row>
    <row r="139" spans="2:6" x14ac:dyDescent="0.25">
      <c r="B139" s="71" t="e">
        <f>Kompetenzraster!#REF!</f>
        <v>#REF!</v>
      </c>
      <c r="C139" s="428"/>
      <c r="D139" s="429"/>
      <c r="E139" s="429"/>
      <c r="F139" s="430"/>
    </row>
    <row r="140" spans="2:6" x14ac:dyDescent="0.25">
      <c r="B140" s="72" t="s">
        <v>97</v>
      </c>
      <c r="C140" s="428"/>
      <c r="D140" s="429"/>
      <c r="E140" s="429"/>
      <c r="F140" s="430"/>
    </row>
    <row r="141" spans="2:6" ht="16.5" x14ac:dyDescent="0.3">
      <c r="B141" s="73">
        <f>Kompetenzraster!Q39</f>
        <v>46560</v>
      </c>
      <c r="C141" s="428"/>
      <c r="D141" s="429"/>
      <c r="E141" s="429"/>
      <c r="F141" s="430"/>
    </row>
    <row r="142" spans="2:6" x14ac:dyDescent="0.25">
      <c r="B142" s="72" t="s">
        <v>98</v>
      </c>
      <c r="C142" s="428"/>
      <c r="D142" s="429"/>
      <c r="E142" s="429"/>
      <c r="F142" s="430"/>
    </row>
    <row r="143" spans="2:6" ht="16.5" x14ac:dyDescent="0.3">
      <c r="B143" s="74">
        <f>Kompetenzraster!Q42-1</f>
        <v>46573</v>
      </c>
      <c r="C143" s="428"/>
      <c r="D143" s="429"/>
      <c r="E143" s="429"/>
      <c r="F143" s="430"/>
    </row>
    <row r="144" spans="2:6" x14ac:dyDescent="0.25">
      <c r="B144" s="434"/>
      <c r="C144" s="428"/>
      <c r="D144" s="429"/>
      <c r="E144" s="429"/>
      <c r="F144" s="430"/>
    </row>
    <row r="145" spans="2:6" x14ac:dyDescent="0.25">
      <c r="B145" s="435"/>
      <c r="C145" s="428"/>
      <c r="D145" s="429"/>
      <c r="E145" s="429"/>
      <c r="F145" s="430"/>
    </row>
    <row r="146" spans="2:6" x14ac:dyDescent="0.25">
      <c r="B146" s="435"/>
      <c r="C146" s="428"/>
      <c r="D146" s="429"/>
      <c r="E146" s="429"/>
      <c r="F146" s="430"/>
    </row>
    <row r="147" spans="2:6" x14ac:dyDescent="0.25">
      <c r="B147" s="436"/>
      <c r="C147" s="428"/>
      <c r="D147" s="429"/>
      <c r="E147" s="429"/>
      <c r="F147" s="430"/>
    </row>
    <row r="148" spans="2:6" x14ac:dyDescent="0.25">
      <c r="B148" s="437"/>
      <c r="C148" s="431"/>
      <c r="D148" s="432"/>
      <c r="E148" s="432"/>
      <c r="F148" s="433"/>
    </row>
  </sheetData>
  <mergeCells count="34">
    <mergeCell ref="B136:B137"/>
    <mergeCell ref="C136:F148"/>
    <mergeCell ref="B144:B148"/>
    <mergeCell ref="B1:F2"/>
    <mergeCell ref="B4:B5"/>
    <mergeCell ref="C4:F16"/>
    <mergeCell ref="B12:B16"/>
    <mergeCell ref="B17:B18"/>
    <mergeCell ref="C17:F29"/>
    <mergeCell ref="B25:B29"/>
    <mergeCell ref="B30:B31"/>
    <mergeCell ref="C30:F42"/>
    <mergeCell ref="B40:B42"/>
    <mergeCell ref="B43:B44"/>
    <mergeCell ref="C43:F55"/>
    <mergeCell ref="B53:B55"/>
    <mergeCell ref="B56:B57"/>
    <mergeCell ref="C56:F69"/>
    <mergeCell ref="B64:B69"/>
    <mergeCell ref="B70:B71"/>
    <mergeCell ref="C70:F84"/>
    <mergeCell ref="B78:B84"/>
    <mergeCell ref="B85:B86"/>
    <mergeCell ref="C85:F98"/>
    <mergeCell ref="B93:B98"/>
    <mergeCell ref="B99:B100"/>
    <mergeCell ref="C99:F109"/>
    <mergeCell ref="B107:B109"/>
    <mergeCell ref="B110:B111"/>
    <mergeCell ref="C110:F122"/>
    <mergeCell ref="B118:B122"/>
    <mergeCell ref="B123:B124"/>
    <mergeCell ref="C123:F135"/>
    <mergeCell ref="B131:B135"/>
  </mergeCells>
  <pageMargins left="0.25" right="0.25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as_Teacher_Only_SectionGroup xmlns="550b22fb-13da-4cf5-969f-c4932bbd4a2b" xsi:nil="true"/>
    <FolderType xmlns="550b22fb-13da-4cf5-969f-c4932bbd4a2b" xsi:nil="true"/>
    <Invited_Teachers xmlns="550b22fb-13da-4cf5-969f-c4932bbd4a2b" xsi:nil="true"/>
    <Invited_Students xmlns="550b22fb-13da-4cf5-969f-c4932bbd4a2b" xsi:nil="true"/>
    <IsNotebookLocked xmlns="550b22fb-13da-4cf5-969f-c4932bbd4a2b" xsi:nil="true"/>
    <Self_Registration_Enabled xmlns="550b22fb-13da-4cf5-969f-c4932bbd4a2b" xsi:nil="true"/>
    <Teachers xmlns="550b22fb-13da-4cf5-969f-c4932bbd4a2b">
      <UserInfo>
        <DisplayName/>
        <AccountId xsi:nil="true"/>
        <AccountType/>
      </UserInfo>
    </Teachers>
    <Is_Collaboration_Space_Locked xmlns="550b22fb-13da-4cf5-969f-c4932bbd4a2b" xsi:nil="true"/>
    <CultureName xmlns="550b22fb-13da-4cf5-969f-c4932bbd4a2b" xsi:nil="true"/>
    <Templates xmlns="550b22fb-13da-4cf5-969f-c4932bbd4a2b" xsi:nil="true"/>
    <NotebookType xmlns="550b22fb-13da-4cf5-969f-c4932bbd4a2b" xsi:nil="true"/>
    <Student_Groups xmlns="550b22fb-13da-4cf5-969f-c4932bbd4a2b">
      <UserInfo>
        <DisplayName/>
        <AccountId xsi:nil="true"/>
        <AccountType/>
      </UserInfo>
    </Student_Groups>
    <TeamsChannelId xmlns="550b22fb-13da-4cf5-969f-c4932bbd4a2b" xsi:nil="true"/>
    <Math_Settings xmlns="550b22fb-13da-4cf5-969f-c4932bbd4a2b" xsi:nil="true"/>
    <Owner xmlns="550b22fb-13da-4cf5-969f-c4932bbd4a2b">
      <UserInfo>
        <DisplayName/>
        <AccountId xsi:nil="true"/>
        <AccountType/>
      </UserInfo>
    </Owner>
    <Students xmlns="550b22fb-13da-4cf5-969f-c4932bbd4a2b">
      <UserInfo>
        <DisplayName/>
        <AccountId xsi:nil="true"/>
        <AccountType/>
      </UserInfo>
    </Students>
    <Distribution_Groups xmlns="550b22fb-13da-4cf5-969f-c4932bbd4a2b" xsi:nil="true"/>
    <AppVersion xmlns="550b22fb-13da-4cf5-969f-c4932bbd4a2b" xsi:nil="true"/>
    <LMS_Mappings xmlns="550b22fb-13da-4cf5-969f-c4932bbd4a2b" xsi:nil="true"/>
    <DefaultSectionNames xmlns="550b22fb-13da-4cf5-969f-c4932bbd4a2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7C54C6B4757CD47A3EC38904B6DF68F" ma:contentTypeVersion="31" ma:contentTypeDescription="Ein neues Dokument erstellen." ma:contentTypeScope="" ma:versionID="378ca918972306f8bcea32dcee92943e">
  <xsd:schema xmlns:xsd="http://www.w3.org/2001/XMLSchema" xmlns:xs="http://www.w3.org/2001/XMLSchema" xmlns:p="http://schemas.microsoft.com/office/2006/metadata/properties" xmlns:ns3="550b22fb-13da-4cf5-969f-c4932bbd4a2b" xmlns:ns4="e6d905db-4f59-4a3b-930f-acb1d61e4a6c" targetNamespace="http://schemas.microsoft.com/office/2006/metadata/properties" ma:root="true" ma:fieldsID="f6b321631842e57c4f471f5baaeb880f" ns3:_="" ns4:_="">
    <xsd:import namespace="550b22fb-13da-4cf5-969f-c4932bbd4a2b"/>
    <xsd:import namespace="e6d905db-4f59-4a3b-930f-acb1d61e4a6c"/>
    <xsd:element name="properties">
      <xsd:complexType>
        <xsd:sequence>
          <xsd:element name="documentManagement">
            <xsd:complexType>
              <xsd:all>
                <xsd:element ref="ns3:NotebookType" minOccurs="0"/>
                <xsd:element ref="ns3:FolderType" minOccurs="0"/>
                <xsd:element ref="ns3:Owner" minOccurs="0"/>
                <xsd:element ref="ns3:DefaultSectionNames" minOccurs="0"/>
                <xsd:element ref="ns3:Templates" minOccurs="0"/>
                <xsd:element ref="ns3:CultureName" minOccurs="0"/>
                <xsd:element ref="ns3:AppVersion" minOccurs="0"/>
                <xsd:element ref="ns3:Teachers" minOccurs="0"/>
                <xsd:element ref="ns3:Students" minOccurs="0"/>
                <xsd:element ref="ns3:Student_Groups" minOccurs="0"/>
                <xsd:element ref="ns3:Invited_Teachers" minOccurs="0"/>
                <xsd:element ref="ns3:Invited_Students" minOccurs="0"/>
                <xsd:element ref="ns3:Self_Registration_Enabled" minOccurs="0"/>
                <xsd:element ref="ns3:Has_Teacher_Only_SectionGroup" minOccurs="0"/>
                <xsd:element ref="ns3:Is_Collaboration_Space_Locked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TeamsChannelId" minOccurs="0"/>
                <xsd:element ref="ns3:IsNotebookLocked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ath_Settings" minOccurs="0"/>
                <xsd:element ref="ns3:MediaServiceGenerationTime" minOccurs="0"/>
                <xsd:element ref="ns3:MediaServiceEventHashCode" minOccurs="0"/>
                <xsd:element ref="ns3:Distribution_Groups" minOccurs="0"/>
                <xsd:element ref="ns3:LMS_Mappin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0b22fb-13da-4cf5-969f-c4932bbd4a2b" elementFormDefault="qualified">
    <xsd:import namespace="http://schemas.microsoft.com/office/2006/documentManagement/types"/>
    <xsd:import namespace="http://schemas.microsoft.com/office/infopath/2007/PartnerControls"/>
    <xsd:element name="NotebookType" ma:index="8" nillable="true" ma:displayName="Notebook Type" ma:internalName="NotebookType">
      <xsd:simpleType>
        <xsd:restriction base="dms:Text"/>
      </xsd:simpleType>
    </xsd:element>
    <xsd:element name="FolderType" ma:index="9" nillable="true" ma:displayName="Folder Type" ma:internalName="FolderType">
      <xsd:simpleType>
        <xsd:restriction base="dms:Text"/>
      </xsd:simpleType>
    </xsd:element>
    <xsd:element name="Owner" ma:index="10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efaultSectionNames" ma:index="11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12" nillable="true" ma:displayName="Templates" ma:internalName="Templates">
      <xsd:simpleType>
        <xsd:restriction base="dms:Note">
          <xsd:maxLength value="255"/>
        </xsd:restriction>
      </xsd:simpleType>
    </xsd:element>
    <xsd:element name="CultureName" ma:index="13" nillable="true" ma:displayName="Culture Name" ma:internalName="CultureName">
      <xsd:simpleType>
        <xsd:restriction base="dms:Text"/>
      </xsd:simpleType>
    </xsd:element>
    <xsd:element name="AppVersion" ma:index="14" nillable="true" ma:displayName="App Version" ma:internalName="AppVersion">
      <xsd:simpleType>
        <xsd:restriction base="dms:Text"/>
      </xsd:simpleType>
    </xsd:element>
    <xsd:element name="Teachers" ma:index="15" nillable="true" ma:displayName="Teachers" ma:internalName="Teach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s" ma:index="16" nillable="true" ma:displayName="Students" ma:internalName="Student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_Groups" ma:index="17" nillable="true" ma:displayName="Student Groups" ma:internalName="Student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Invited_Teachers" ma:index="18" nillable="true" ma:displayName="Invited Teachers" ma:internalName="Invited_Teachers">
      <xsd:simpleType>
        <xsd:restriction base="dms:Note">
          <xsd:maxLength value="255"/>
        </xsd:restriction>
      </xsd:simpleType>
    </xsd:element>
    <xsd:element name="Invited_Students" ma:index="19" nillable="true" ma:displayName="Invited Students" ma:internalName="Invited_Students">
      <xsd:simpleType>
        <xsd:restriction base="dms:Note">
          <xsd:maxLength value="255"/>
        </xsd:restriction>
      </xsd:simpleType>
    </xsd:element>
    <xsd:element name="Self_Registration_Enabled" ma:index="20" nillable="true" ma:displayName="Self Registration Enabled" ma:internalName="Self_Registration_Enabled">
      <xsd:simpleType>
        <xsd:restriction base="dms:Boolean"/>
      </xsd:simpleType>
    </xsd:element>
    <xsd:element name="Has_Teacher_Only_SectionGroup" ma:index="21" nillable="true" ma:displayName="Has Teacher Only SectionGroup" ma:internalName="Has_Teacher_Only_SectionGroup">
      <xsd:simpleType>
        <xsd:restriction base="dms:Boolean"/>
      </xsd:simpleType>
    </xsd:element>
    <xsd:element name="Is_Collaboration_Space_Locked" ma:index="22" nillable="true" ma:displayName="Is Collaboration Space Locked" ma:internalName="Is_Collaboration_Space_Locked">
      <xsd:simpleType>
        <xsd:restriction base="dms:Boolean"/>
      </xsd:simpleType>
    </xsd:element>
    <xsd:element name="MediaServiceMetadata" ma:index="26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7" nillable="true" ma:displayName="MediaServiceFastMetadata" ma:hidden="true" ma:internalName="MediaServiceFastMetadata" ma:readOnly="true">
      <xsd:simpleType>
        <xsd:restriction base="dms:Note"/>
      </xsd:simpleType>
    </xsd:element>
    <xsd:element name="TeamsChannelId" ma:index="28" nillable="true" ma:displayName="Teams Channel Id" ma:internalName="TeamsChannelId">
      <xsd:simpleType>
        <xsd:restriction base="dms:Text"/>
      </xsd:simpleType>
    </xsd:element>
    <xsd:element name="IsNotebookLocked" ma:index="29" nillable="true" ma:displayName="Is Notebook Locked" ma:internalName="IsNotebookLocked">
      <xsd:simpleType>
        <xsd:restriction base="dms:Boolean"/>
      </xsd:simpleType>
    </xsd:element>
    <xsd:element name="MediaServiceAutoTags" ma:index="30" nillable="true" ma:displayName="MediaServiceAutoTags" ma:internalName="MediaServiceAutoTags" ma:readOnly="true">
      <xsd:simpleType>
        <xsd:restriction base="dms:Text"/>
      </xsd:simpleType>
    </xsd:element>
    <xsd:element name="MediaServiceOCR" ma:index="3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3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33" nillable="true" ma:displayName="Location" ma:internalName="MediaServiceLocation" ma:readOnly="true">
      <xsd:simpleType>
        <xsd:restriction base="dms:Text"/>
      </xsd:simpleType>
    </xsd:element>
    <xsd:element name="Math_Settings" ma:index="34" nillable="true" ma:displayName="Math Settings" ma:internalName="Math_Settings">
      <xsd:simpleType>
        <xsd:restriction base="dms:Text"/>
      </xsd:simpleType>
    </xsd:element>
    <xsd:element name="MediaServiceGenerationTime" ma:index="3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6" nillable="true" ma:displayName="MediaServiceEventHashCode" ma:hidden="true" ma:internalName="MediaServiceEventHashCode" ma:readOnly="true">
      <xsd:simpleType>
        <xsd:restriction base="dms:Text"/>
      </xsd:simpleType>
    </xsd:element>
    <xsd:element name="Distribution_Groups" ma:index="37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38" nillable="true" ma:displayName="LMS Mappings" ma:internalName="LMS_Mappings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d905db-4f59-4a3b-930f-acb1d61e4a6c" elementFormDefault="qualified">
    <xsd:import namespace="http://schemas.microsoft.com/office/2006/documentManagement/types"/>
    <xsd:import namespace="http://schemas.microsoft.com/office/infopath/2007/PartnerControls"/>
    <xsd:element name="SharedWithUsers" ma:index="23" nillable="true" ma:displayName="Freigegeben für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4" nillable="true" ma:displayName="Freigegeben für -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5" nillable="true" ma:displayName="Freigabehinweishash" ma:description="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EB53204-ECB9-430B-80C6-D40F92B99CF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54F57DC-141E-4AB1-87CC-0E2B5E397D59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e6d905db-4f59-4a3b-930f-acb1d61e4a6c"/>
    <ds:schemaRef ds:uri="550b22fb-13da-4cf5-969f-c4932bbd4a2b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C2F2AA97-FA8A-488E-A75B-B1EC579558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50b22fb-13da-4cf5-969f-c4932bbd4a2b"/>
    <ds:schemaRef ds:uri="e6d905db-4f59-4a3b-930f-acb1d61e4a6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806a8f2b-28e4-44c4-ac01-7357a3a2b9e7}" enabled="1" method="Standard" siteId="{5daf41bd-338c-4311-b1b0-e1299889c34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22</vt:i4>
      </vt:variant>
    </vt:vector>
  </HeadingPairs>
  <TitlesOfParts>
    <vt:vector size="22" baseType="lpstr">
      <vt:lpstr>Kompetenzraster</vt:lpstr>
      <vt:lpstr>ST_1_KW_6</vt:lpstr>
      <vt:lpstr>ST_2_KW_7</vt:lpstr>
      <vt:lpstr>ST_3_KW_8</vt:lpstr>
      <vt:lpstr>ST_4_KW_9</vt:lpstr>
      <vt:lpstr>ST_5_KW_10</vt:lpstr>
      <vt:lpstr>ST_6_KW_11</vt:lpstr>
      <vt:lpstr>ST_7_KW_12</vt:lpstr>
      <vt:lpstr>ST_8_KW_13</vt:lpstr>
      <vt:lpstr>ST_9_KW_14</vt:lpstr>
      <vt:lpstr>ST_10_KW_17</vt:lpstr>
      <vt:lpstr>ST_11_KW_18</vt:lpstr>
      <vt:lpstr>ST_12_KW_19</vt:lpstr>
      <vt:lpstr>ST_13_KW_20</vt:lpstr>
      <vt:lpstr>ST_14_KW_21</vt:lpstr>
      <vt:lpstr>ST_15_KW_22</vt:lpstr>
      <vt:lpstr>ST_16_KW_23</vt:lpstr>
      <vt:lpstr>ST_17_KW_24</vt:lpstr>
      <vt:lpstr>ST_18_KW_25</vt:lpstr>
      <vt:lpstr>ST_19_KW_26</vt:lpstr>
      <vt:lpstr>ST_19_KW_4</vt:lpstr>
      <vt:lpstr>Aufgaben_Teams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Marcel Item</dc:creator>
  <cp:keywords/>
  <dc:description/>
  <cp:lastModifiedBy>Item Marcel GBS-LPGB</cp:lastModifiedBy>
  <cp:revision/>
  <cp:lastPrinted>2022-04-04T07:53:05Z</cp:lastPrinted>
  <dcterms:created xsi:type="dcterms:W3CDTF">2018-02-19T12:02:46Z</dcterms:created>
  <dcterms:modified xsi:type="dcterms:W3CDTF">2026-06-30T11:26:30Z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0x01010017C54C6B4757CD47A3EC38904B6DF68F</vt:lpwstr>
  </property>
</Properties>
</file>