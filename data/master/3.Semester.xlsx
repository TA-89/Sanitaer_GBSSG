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bldsg-my.sharepoint.com/personal/marcel_item_gbssg_ch/Documents/1_Sanitärinstallateure/2_Unterrichtsmaterial_EFZ/1_Word_Vorlagen/3.Semester/"/>
    </mc:Choice>
  </mc:AlternateContent>
  <xr:revisionPtr revIDLastSave="1581" documentId="14_{236DCB97-A5C4-4F68-9C77-F1E1E0D1C75E}" xr6:coauthVersionLast="47" xr6:coauthVersionMax="47" xr10:uidLastSave="{1D816F2B-D903-4AD3-8FA6-581F279F641F}"/>
  <bookViews>
    <workbookView xWindow="-120" yWindow="-120" windowWidth="51840" windowHeight="21120" tabRatio="676" xr2:uid="{00000000-000D-0000-FFFF-FFFF00000000}"/>
  </bookViews>
  <sheets>
    <sheet name="Kompetenzraster" sheetId="17" r:id="rId1"/>
    <sheet name="Aufgaben_Teams" sheetId="41" r:id="rId2"/>
    <sheet name="ST_1_KW_33" sheetId="19" r:id="rId3"/>
    <sheet name="ST_2_KW_34" sheetId="20" r:id="rId4"/>
    <sheet name="ST_3_KW_35" sheetId="21" r:id="rId5"/>
    <sheet name="ST_4_KW_36" sheetId="22" r:id="rId6"/>
    <sheet name="ST_5_KW_37" sheetId="23" r:id="rId7"/>
    <sheet name="ST_6_KW_38" sheetId="25" r:id="rId8"/>
    <sheet name="ST_7_KW_39" sheetId="26" r:id="rId9"/>
    <sheet name="ST_8_KW_43" sheetId="27" r:id="rId10"/>
    <sheet name="ST_9_KW_44" sheetId="28" r:id="rId11"/>
    <sheet name="ST_10_KW_45" sheetId="29" r:id="rId12"/>
    <sheet name="ST_11_KW_46" sheetId="30" r:id="rId13"/>
    <sheet name="ST_12_KW_47" sheetId="31" r:id="rId14"/>
    <sheet name="ST_13_KW_48" sheetId="32" r:id="rId15"/>
    <sheet name="ST_14_KW_49" sheetId="33" r:id="rId16"/>
    <sheet name="ST_15_KW_50" sheetId="35" r:id="rId17"/>
    <sheet name="ST_16_KW_1" sheetId="36" r:id="rId18"/>
    <sheet name="ST_17_KW_2" sheetId="40" r:id="rId19"/>
    <sheet name="ST_18_KW_3" sheetId="38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1" i="17" l="1"/>
  <c r="N23" i="17"/>
  <c r="Q5" i="17" l="1"/>
  <c r="Q7" i="17" l="1"/>
  <c r="Q9" i="17" l="1"/>
  <c r="E1" i="20"/>
  <c r="Q11" i="17" l="1"/>
  <c r="E1" i="21"/>
  <c r="Q13" i="17" l="1"/>
  <c r="E1" i="22"/>
  <c r="E1" i="23" l="1"/>
  <c r="Q15" i="17"/>
  <c r="E1" i="25" s="1"/>
  <c r="Q17" i="17" l="1"/>
  <c r="E1" i="26" l="1"/>
  <c r="Q19" i="17"/>
  <c r="Q21" i="17" l="1"/>
  <c r="E1" i="27"/>
  <c r="Q23" i="17" l="1"/>
  <c r="E1" i="28"/>
  <c r="E1" i="29" l="1"/>
  <c r="Q25" i="17"/>
  <c r="Q27" i="17" l="1"/>
  <c r="E1" i="30"/>
  <c r="E1" i="31" l="1"/>
  <c r="Q29" i="17"/>
  <c r="Q31" i="17" l="1"/>
  <c r="E1" i="32"/>
  <c r="E1" i="33" l="1"/>
  <c r="Q33" i="17"/>
  <c r="E1" i="35" l="1"/>
  <c r="Q35" i="17"/>
  <c r="E1" i="36" l="1"/>
  <c r="Q37" i="17"/>
  <c r="Q39" i="17" l="1"/>
  <c r="E1" i="38" l="1"/>
</calcChain>
</file>

<file path=xl/sharedStrings.xml><?xml version="1.0" encoding="utf-8"?>
<sst xmlns="http://schemas.openxmlformats.org/spreadsheetml/2006/main" count="641" uniqueCount="273">
  <si>
    <t>Kompetenzraster 3.Semester  Sanitärinstallateur/in EFZ</t>
  </si>
  <si>
    <t>Semesterstart:</t>
  </si>
  <si>
    <t>Schultag:</t>
  </si>
  <si>
    <t>Handlungsfelder und Kompetenzen</t>
  </si>
  <si>
    <t>Bewertung / Benotung</t>
  </si>
  <si>
    <t>Unterichtsplanung 1. Semester</t>
  </si>
  <si>
    <t xml:space="preserve">HF1       </t>
  </si>
  <si>
    <t>Auftrag 3.1</t>
  </si>
  <si>
    <t>Auftrag 3.2</t>
  </si>
  <si>
    <t>Auftrag 3.3</t>
  </si>
  <si>
    <r>
      <rPr>
        <b/>
        <sz val="12"/>
        <color theme="1"/>
        <rFont val="Century Gothic"/>
        <family val="2"/>
      </rPr>
      <t>Planen der Arbeiten</t>
    </r>
    <r>
      <rPr>
        <sz val="12"/>
        <color theme="1"/>
        <rFont val="Century Gothic"/>
        <family val="2"/>
      </rPr>
      <t xml:space="preserve">
</t>
    </r>
  </si>
  <si>
    <t xml:space="preserve">Sie benennen die relevanten Anforderungen an die Apparatemontage (z.B. bauliche Voraussetzungen, Schallschutz). </t>
  </si>
  <si>
    <t xml:space="preserve">Sie bestimmen anhand von Beispielen den Platzbedarf, Achsabstände und Montagehöhen von Apparaten und den zugehörigen Garnituren. </t>
  </si>
  <si>
    <t xml:space="preserve">Sie berechnen rechtwinklige Dreiecke. (K3) 
</t>
  </si>
  <si>
    <t xml:space="preserve">Sie berechnen Dreiecke und bestimmen das Gefälle von Entsorgungsleitungen. </t>
  </si>
  <si>
    <t xml:space="preserve">HF2     </t>
  </si>
  <si>
    <t>Auftrag 3.4</t>
  </si>
  <si>
    <t>Auftrag 3.5</t>
  </si>
  <si>
    <t>Auftrag 3.6</t>
  </si>
  <si>
    <t>Installieren von Wasserleitungen</t>
  </si>
  <si>
    <t xml:space="preserve">Sie beschreiben die Inhalte der aktuellen Vorschriften in Bezug auf die Wasserleitungsinstallation. (K2) </t>
  </si>
  <si>
    <t xml:space="preserve">Sie erläutern die Gefahren, die von ver-schmutztem Wasser ausgehen können (z.B. durch Schmutzwasserverbindungen). (K2) </t>
  </si>
  <si>
    <t>Sie beschreiben den Unterschied zwischen Ruhedruck und Fliessdruck. (K2)</t>
  </si>
  <si>
    <t>Sie erläutern die für eine Druckprüfung relevanten Inhalte der SVGW-Richtlinie W3. (K2)</t>
  </si>
  <si>
    <t xml:space="preserve"> Sie beschreiben die verschiedenen Verteilsysteme für Warmwasser. (K2) </t>
  </si>
  <si>
    <t>Sie beschreiben das korrekte Vorgehen zur Überprüfung der Ausstosszeiten. (K2)</t>
  </si>
  <si>
    <t xml:space="preserve">
</t>
  </si>
  <si>
    <t>Sie berechnen den Druck unter Berücksichtigung der Kompressibilität des Wassers. (K3)</t>
  </si>
  <si>
    <t>Sie erläutern die für eine Inbetriebnahme relevanten Inhalte der SVGW-Richtlinie W3. (K2)</t>
  </si>
  <si>
    <t xml:space="preserve">Sie beschreiben Anwendungen und Eigenschaften der Dämmmaterialien für Wasserleitungen. (K2) </t>
  </si>
  <si>
    <t>Auftrag 3.7</t>
  </si>
  <si>
    <t>Auftrag 3.8</t>
  </si>
  <si>
    <t>Sie beschreiben die Problematik der Korrosion bei Wasserleitungen.</t>
  </si>
  <si>
    <t>Zeugnisnote</t>
  </si>
  <si>
    <t xml:space="preserve">HF5 / HF6 / HF7     </t>
  </si>
  <si>
    <t>Auftrag 3.10</t>
  </si>
  <si>
    <t>Installieren von Vorwandsystemen</t>
  </si>
  <si>
    <t>Sie erstellen ein Materialausmass anhand von verschiedenen Beispielen.</t>
  </si>
  <si>
    <t xml:space="preserve">Sie beschreiben die Material-Eigenschaften von Apparaten (z.B. Keramik, Kunststoff). </t>
  </si>
  <si>
    <t xml:space="preserve">Sie erläutern die Befestigungstechnik und Schallschutzmassnahmen bei Vorwänden. </t>
  </si>
  <si>
    <t xml:space="preserve">Sie erklären, wie und mit welchen Materialien die Hohlräume der Vorwände gedämmt werden. </t>
  </si>
  <si>
    <t xml:space="preserve">Sie erklären, wie und mit welchen Materialien Vorwände beplankt werden. </t>
  </si>
  <si>
    <t>Montieren von sanitären Anlagen und Apparaten</t>
  </si>
  <si>
    <t>Sie erstellen einen einfachen Materialauszug aufgrund einer typischen Baustellensituation.</t>
  </si>
  <si>
    <t>Sie erklären, wie und mit welchen Materialien Anschlüsse abgedichtet werden.</t>
  </si>
  <si>
    <t>Durchführen von Abschlussarbeiten</t>
  </si>
  <si>
    <t xml:space="preserve">Fachgruppe Sanitär Spengler </t>
  </si>
  <si>
    <t>itm I sanitärlernen.ch</t>
  </si>
  <si>
    <t>Sie beschreiben die handelsüblichen Vorwandsysteme. (K2)</t>
  </si>
  <si>
    <t>Sie beschreiben die für Vorwände relevanten Inhalte der Schall- und Brandschutzvorschriften. (K2)</t>
  </si>
  <si>
    <t>Auftrag 3.9</t>
  </si>
  <si>
    <t xml:space="preserve">Sie beschreiben Einsatzmöglichkeiten und Funktion von Entnahme-Armaturen unter Berücksichtigung der Energie- und Trinkwassereffizienz. (K2) </t>
  </si>
  <si>
    <t xml:space="preserve"> Sie erläutern die Vorschriften in Bezug auf die Dämmstärken für Warmwasser- und Kaltwasserleitungen. (K2)</t>
  </si>
  <si>
    <t xml:space="preserve"> </t>
  </si>
  <si>
    <t>8 Schultage (16L)</t>
  </si>
  <si>
    <t>6 Schultage (12L)</t>
  </si>
  <si>
    <r>
      <t>3.4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3.1</t>
    </r>
  </si>
  <si>
    <t>1 Schultage (3L)</t>
  </si>
  <si>
    <t>4 Schultage (12L)</t>
  </si>
  <si>
    <r>
      <t>3.5</t>
    </r>
    <r>
      <rPr>
        <sz val="8"/>
        <color theme="1"/>
        <rFont val="Century Gothic"/>
        <family val="2"/>
      </rPr>
      <t xml:space="preserve">   </t>
    </r>
    <r>
      <rPr>
        <b/>
        <sz val="8"/>
        <color theme="1"/>
        <rFont val="Century Gothic"/>
        <family val="2"/>
      </rPr>
      <t xml:space="preserve"> 3.1</t>
    </r>
  </si>
  <si>
    <t>3.8   3.2</t>
  </si>
  <si>
    <t xml:space="preserve">3 Schultage (9L) </t>
  </si>
  <si>
    <t>2 Schultage (6L)</t>
  </si>
  <si>
    <t xml:space="preserve">2 Schultage (6L) </t>
  </si>
  <si>
    <t xml:space="preserve">Auftrag 3.1 </t>
  </si>
  <si>
    <t xml:space="preserve">AVOR Z-Mass </t>
  </si>
  <si>
    <t>Dreiecksberechnung und Gefällsberechnungen</t>
  </si>
  <si>
    <t>Pläne lesen und verstehen</t>
  </si>
  <si>
    <t>Die Druckprüfung nach Richtlinie W3</t>
  </si>
  <si>
    <t>Verteilsysteme und Ausstosszeiten</t>
  </si>
  <si>
    <t>Der Weg meines Wassers bis in mein Haus</t>
  </si>
  <si>
    <t>Korrosion und die Folgen</t>
  </si>
  <si>
    <t>Vorwände montieren</t>
  </si>
  <si>
    <t xml:space="preserve">Vorwände montieren / Besprechung Zeugnis </t>
  </si>
  <si>
    <t>Unterrichtsverlauf</t>
  </si>
  <si>
    <t>1 - 3 Lektion</t>
  </si>
  <si>
    <t>Filme / Theorie</t>
  </si>
  <si>
    <t>Lernziele</t>
  </si>
  <si>
    <t>Pause</t>
  </si>
  <si>
    <t>4 - 5 Lektion</t>
  </si>
  <si>
    <t>Hausaufgaben</t>
  </si>
  <si>
    <t>Administratives</t>
  </si>
  <si>
    <t>3.9   3.2</t>
  </si>
  <si>
    <t>3.10   3.2</t>
  </si>
  <si>
    <t>Sie erstellen selbstständig anspruchsvolle Z-Mass Vorfabrikationszeichnungen inkl. Rohrlängen und Stückliste.</t>
  </si>
  <si>
    <t xml:space="preserve"> Sie interpretieren einfache Montage- und Einlegepläne für die Installation von Wasserleitungen. </t>
  </si>
  <si>
    <t xml:space="preserve">Sie interpretieren einfache Aussparungspläne für die Installation von Wasserleitungen.  </t>
  </si>
  <si>
    <t xml:space="preserve">Auftrag 1 </t>
  </si>
  <si>
    <t>* Einstieg mit Repetition der Planarten</t>
  </si>
  <si>
    <t>Auftrag 2</t>
  </si>
  <si>
    <t>* Wichtigste Symbole kennen lernen!</t>
  </si>
  <si>
    <t>* Auftrag 8 &amp; 9 / Verteilbatterie zeichnen</t>
  </si>
  <si>
    <t xml:space="preserve">* Einstieg mit Übung im Schulhaus / Anlagen und Apparate </t>
  </si>
  <si>
    <t>* Wichtige Apparatemasse und Höhen auf A3 besprechen</t>
  </si>
  <si>
    <t>* Gemeinsames Aufzeichnen eines Apparates</t>
  </si>
  <si>
    <t xml:space="preserve">Pläne lesen und verstehen </t>
  </si>
  <si>
    <t>* Hinweis Leistungsnachweis / Auftrag der Weg meines Wassers</t>
  </si>
  <si>
    <t>* Sie interpretieren einfache Aussparungspläne für die Installation von Wasserleitungen.</t>
  </si>
  <si>
    <t xml:space="preserve">* Sie interpretieren einfache Montagepläne für die Installation von Wasserleitungen. </t>
  </si>
  <si>
    <t>Detailplanung Apparate</t>
  </si>
  <si>
    <t>* Sie benennen die relevanten Anforderungen an die Apparatemontage.</t>
  </si>
  <si>
    <t xml:space="preserve">* Sie bestimmen anhand von Beispielen den Platzbedarf, Achsabstände und Montagehöhen </t>
  </si>
  <si>
    <t xml:space="preserve">   von Apparaten und den zugehörigen Garnituren.</t>
  </si>
  <si>
    <t>Auftrag 1</t>
  </si>
  <si>
    <t>* Gemeinsamer Einstieg / Vorwissen aktivieren</t>
  </si>
  <si>
    <t>* Versuch zur Veranschaulichung "statischer Druck"</t>
  </si>
  <si>
    <t>* Herleitung Unterschied statischer Druck und Fliessdruck</t>
  </si>
  <si>
    <t>* Erste Berechnungen gemeinsam lösen</t>
  </si>
  <si>
    <t>* Einstieg mit Korrektur Aufgabe 4 / WC Anlage</t>
  </si>
  <si>
    <t>* Weiter zeichnen mit Aufgabe 5/6/7</t>
  </si>
  <si>
    <t>* Sie berechnen den Druck unter Berücksichtigung der Kompressibilität des Wassers.</t>
  </si>
  <si>
    <t>Druckprüfung nach W3</t>
  </si>
  <si>
    <t>* Sie beschreiben das Verhältnis von Druck, Fläche und der daraus resultierenden Kraft.</t>
  </si>
  <si>
    <t>* Weiter zeichnen mit Beispielen aus Auftrag</t>
  </si>
  <si>
    <t>* Einstieg mit gemeinsamer Aufgabe Nr. 8</t>
  </si>
  <si>
    <t>* Versuch zur Herleitung  "Druck auf Flächen"</t>
  </si>
  <si>
    <t>Auftrag 3</t>
  </si>
  <si>
    <t>* 2. Probleme " Ruhedruck besprechen / lösen"</t>
  </si>
  <si>
    <t>* Einstieg mit gemeinsamer Aufgabe Nr. 9</t>
  </si>
  <si>
    <t>Auftrag 4</t>
  </si>
  <si>
    <t>* Einstieg mit Expertenpuzzle " Die drei Varianten der Druckprobe"</t>
  </si>
  <si>
    <t>* Gemeinsames notieren "Ablauf aller drei Druckproben"</t>
  </si>
  <si>
    <t>* Sie beschreiben die drei Varianten der Druckprobe nach W3.</t>
  </si>
  <si>
    <t>* Sie kennen die wichtigsten hygienischen Massnahmen der Druckprobe.</t>
  </si>
  <si>
    <t>* Druckprobe im Demoraum gemeinsam durchführen / Besprechen</t>
  </si>
  <si>
    <t>* Elektronische Lernzielkontrolle ausfüllen =&gt; LN!</t>
  </si>
  <si>
    <t>Lernziele / Prüfung</t>
  </si>
  <si>
    <t>* Nächste Woche Prüfung / Lernziele beachten!</t>
  </si>
  <si>
    <t>* Hinweis auf Leistungsnachweis / Übung für Prüfung</t>
  </si>
  <si>
    <t>* Einstieg mit gemeinsamer Aufgabe Nr. 11</t>
  </si>
  <si>
    <t>Prüfung Auftrag 3.1</t>
  </si>
  <si>
    <t>60min</t>
  </si>
  <si>
    <t>* Einstieg mit Hinweisen zum Leistungsnachweis</t>
  </si>
  <si>
    <t>Verteilsysteme Warmwasser</t>
  </si>
  <si>
    <t>* Sie beschreiben die verschiedenen Verteilsysteme für Warmwasser.</t>
  </si>
  <si>
    <t>* Einstieg mit Verteilsystemen / Klasse im Demoraum</t>
  </si>
  <si>
    <t>* Gemeinsames Herleiten und Besprechen der Frischwasserstation</t>
  </si>
  <si>
    <t>Dreieck &amp; Gefällsberechnung</t>
  </si>
  <si>
    <t>* Aufgaben 1 -5 / Klasse halbiert / Betrachtung im Demoraum</t>
  </si>
  <si>
    <t>* Besprechung Übersicht Frischwasserstation zum Eintieg</t>
  </si>
  <si>
    <t>* Gemeinsamer Einstieg mit Diskussion (Frage 7)</t>
  </si>
  <si>
    <t>* Berechnung Rohrinhalt via Formel / Zylinder (Frage 8)</t>
  </si>
  <si>
    <t>* Übungen zum Thema / Repetition 2.Semester</t>
  </si>
  <si>
    <t>* Leitungsinhalt bestimmen mit Tabelle</t>
  </si>
  <si>
    <t>* Einstieg mit Beispiel aus der Praxis</t>
  </si>
  <si>
    <t>* Sie berechnen Dreiecke und bestimmen das Gefälle von Entsorgungsleitungen</t>
  </si>
  <si>
    <t xml:space="preserve">   anhand von Beispielen. </t>
  </si>
  <si>
    <t>* Sie beschreiben das korrekte Vorgehen zur Überprüfung der Ausstosszeiten.</t>
  </si>
  <si>
    <t>3.6    3.2</t>
  </si>
  <si>
    <r>
      <rPr>
        <sz val="8"/>
        <rFont val="Century Gothic"/>
        <family val="2"/>
      </rPr>
      <t>2</t>
    </r>
    <r>
      <rPr>
        <i/>
        <sz val="8"/>
        <rFont val="Century Gothic"/>
        <family val="2"/>
      </rPr>
      <t xml:space="preserve"> Schultage (4L)</t>
    </r>
  </si>
  <si>
    <t>* Gefällsberechnung herleiten und gemeinsam lösen</t>
  </si>
  <si>
    <t>* Übungen zur Gefällsberechnung</t>
  </si>
  <si>
    <t>* Hinweis zum Leistungsnachweis</t>
  </si>
  <si>
    <t xml:space="preserve">* Einstieg mit dem Berechnen von Ausstosszeiten </t>
  </si>
  <si>
    <t>* Übungsbeispiele aus Auftrag lösen</t>
  </si>
  <si>
    <t xml:space="preserve">Aufgabe 12 &amp; 13 zum Einstieg lösen / Repetition </t>
  </si>
  <si>
    <t>* Einstieg mit Situation 45°</t>
  </si>
  <si>
    <t>* Schräge Leitungen zeigen inkl. Übungen</t>
  </si>
  <si>
    <t>Arbeitsvorbereitung Z - Mass</t>
  </si>
  <si>
    <t xml:space="preserve">   inkl. Rohrlängen und Stücklisten.</t>
  </si>
  <si>
    <t>Weg des Wassers ins Haus</t>
  </si>
  <si>
    <t>* Einstieg mit Blick in die W3 Norm</t>
  </si>
  <si>
    <t>* Hinweis zur Semesterarbeit</t>
  </si>
  <si>
    <t xml:space="preserve">* Sie erläutern die Gefahren, die von verschmutztem Wasser ausgehen können in </t>
  </si>
  <si>
    <t xml:space="preserve">   Bezug auf die Wasserleitungsinstallation.(K2) </t>
  </si>
  <si>
    <t>* Aufgaben 5.1 &amp; 5.2</t>
  </si>
  <si>
    <t>* Dreiecksberechnungen / Übungen</t>
  </si>
  <si>
    <t>* Evtl. Beginn mit Aufgabe Classic</t>
  </si>
  <si>
    <t>* Schmutzwasserverbindung</t>
  </si>
  <si>
    <t>*Selbstständige Arbeit an Semesterarbeit</t>
  </si>
  <si>
    <t>* Aufgabe 5.3 "Classic"</t>
  </si>
  <si>
    <t>*Letzte Gelegenheit für Arbeit während Unterricht</t>
  </si>
  <si>
    <t>1. Prüfung Auftrag 3.2</t>
  </si>
  <si>
    <t>* Aufgabe 5.4 "Verteilbatterie"</t>
  </si>
  <si>
    <t>*Abgabe gem. Datum Teams Aufgabe!</t>
  </si>
  <si>
    <t>Korrosion von Wasserleitungen</t>
  </si>
  <si>
    <t>* Einstieg Korrosion mit Leseauftrag Lehrmittel</t>
  </si>
  <si>
    <t>* Selbstständige Beantwortung Fragen 1-4 / inkl. Korrektur im Plenum</t>
  </si>
  <si>
    <t xml:space="preserve">* Betrachtung Sauerstoffkorrosion mit Film </t>
  </si>
  <si>
    <t>* Selbstständige Beantwortung Fragen 5-8 / inkl. Betrachtung Versuch</t>
  </si>
  <si>
    <t xml:space="preserve">* Betrachtung Kontaktkorrosion mit Film </t>
  </si>
  <si>
    <t>* Selbstständige Beantwortung Fragen 9-13 / inkl. Betrachtung Versuche</t>
  </si>
  <si>
    <t>* Sie beschreiben die Problematik der Korrosion bei Wasserleitungen.</t>
  </si>
  <si>
    <t>* Aufgabe 5.5 "Werkstatt"</t>
  </si>
  <si>
    <t>* Betrachtung Wasserschaden und Problematik</t>
  </si>
  <si>
    <t>* Auftrag Leistungsnachweis "Stellungnahme"</t>
  </si>
  <si>
    <t>* Aufgabe 5.6 "Küche und Keller"</t>
  </si>
  <si>
    <t>Rapportieren von Arbeiten</t>
  </si>
  <si>
    <t>* Sie beschreiben Einsatzmöglichkeiten und Funktion von Entnahmearmaturen</t>
  </si>
  <si>
    <t xml:space="preserve">   unter Berücksichtigung der Energie- und Trinkwassereffizienz. (K2)</t>
  </si>
  <si>
    <t>* Einstieg mit Korrosionsbeispielen aus der Praxis</t>
  </si>
  <si>
    <t>* Aufgabe 5.7 "Separat WC Anlage"</t>
  </si>
  <si>
    <t>* Einstieg mit Video "Armaturenherstellung Hansgrohe"</t>
  </si>
  <si>
    <t>* Fragen 1-5 beantworten / Funktion Keramikscheiben im Plenum</t>
  </si>
  <si>
    <t xml:space="preserve">* Übersicht Auslaufarmaturen erstellen </t>
  </si>
  <si>
    <t>* Thema "Energietikette" bei Armaturen.</t>
  </si>
  <si>
    <t>* Fragen 7-12 beantworten / Besprechung im Plenum</t>
  </si>
  <si>
    <t xml:space="preserve">* Hinweis zum Leistungsnachweis </t>
  </si>
  <si>
    <t xml:space="preserve">* Sie erstellen selbstständig anspruchsvolle Z-Mass Vorfabrikationszeichnungen </t>
  </si>
  <si>
    <t>* Praxisbeispiele "Material bestellen &amp; AVOR</t>
  </si>
  <si>
    <t>* Aufgabe 13 &amp; 14 lösen inkl. Besprechung</t>
  </si>
  <si>
    <t>* Hinweis Leistungsnachweis / Praxisrapport</t>
  </si>
  <si>
    <t>* Einstieg mit Partnerarbeit "Vorwissen Vorwände"</t>
  </si>
  <si>
    <t>* Einblick in die Theorie / Vorwände</t>
  </si>
  <si>
    <t xml:space="preserve">* MinMap / Cast erstellen / relevante Punkte </t>
  </si>
  <si>
    <t>* Einstieg mit Video / Fakten zum Thema Vorwand</t>
  </si>
  <si>
    <t>* Cast zum Thema Vorwände erstellen</t>
  </si>
  <si>
    <t>* Erhöhte Anforderungen besprechen!</t>
  </si>
  <si>
    <t>* Sie beschreiben die handelsüblichen Vorwandsysteme.</t>
  </si>
  <si>
    <t>* Sie erläutern die Beplankung und Ausflockung von Vorwänden.</t>
  </si>
  <si>
    <t>* Sie erläutern die Abdichtung von Anschlüssen bei Vorwänden.</t>
  </si>
  <si>
    <t>* Sie erläutern die Befestigungstechnik und den Schallschutz bei Vorwänden.</t>
  </si>
  <si>
    <t>Prüfungsvorbereitung</t>
  </si>
  <si>
    <t>70min</t>
  </si>
  <si>
    <t>2. Prüfung Auftrag 3.2</t>
  </si>
  <si>
    <t>* Individuelle Zeit für Vorbereitung</t>
  </si>
  <si>
    <t>* Sie erstellen ein Materialausmass anhand von verschiedenen Beispielen.</t>
  </si>
  <si>
    <t>* Sie erstellen einen einfachen Materialauszug aufgrund einer typischen Baustellensituation.</t>
  </si>
  <si>
    <t>* Abgabe Cast spätestens um 11.15 Uhr!</t>
  </si>
  <si>
    <t>3.7    3.1</t>
  </si>
  <si>
    <t>3.7    3.3</t>
  </si>
  <si>
    <t>3.8  3.2</t>
  </si>
  <si>
    <t>Auftrag 5</t>
  </si>
  <si>
    <t>SAI2B</t>
  </si>
  <si>
    <t>Montag</t>
  </si>
  <si>
    <t>Prüfung Auftrag 3.4</t>
  </si>
  <si>
    <t>20min</t>
  </si>
  <si>
    <t>30min</t>
  </si>
  <si>
    <t xml:space="preserve">* Hinweis Leistungsnachweis </t>
  </si>
  <si>
    <t>Auftrag 6</t>
  </si>
  <si>
    <t>* Inbetriebnahme - Einstiegsdiskussion</t>
  </si>
  <si>
    <t xml:space="preserve">* selbstständige Bearbeitung Kernfragen </t>
  </si>
  <si>
    <t>Auftrag 7</t>
  </si>
  <si>
    <t>* Sie erläutern die für eine Inbetriebnahme relevanten Inhalte.</t>
  </si>
  <si>
    <t>Prüfung / Forms / Auftrag 3.5</t>
  </si>
  <si>
    <t>* Hinweis auf zusätzliche freiwillige Übungen</t>
  </si>
  <si>
    <t>* Hinweis auf zusätzliche Übungen</t>
  </si>
  <si>
    <t>* Einstieg Quiz Academy</t>
  </si>
  <si>
    <t>* Einstieg mit Versuch Dämmungen</t>
  </si>
  <si>
    <t>* Selbstständiges Erstellen einer MindMap zum Thema Dämmungen</t>
  </si>
  <si>
    <t>Prüfung Auftrag 3.6</t>
  </si>
  <si>
    <t>30 min</t>
  </si>
  <si>
    <t>60 min</t>
  </si>
  <si>
    <t>* Hinweis zum Leistungsnachweis 3.9 (Praxisauftrag planen)</t>
  </si>
  <si>
    <t>* Blick in NPK Normen / Ausführung Aufgaben mit Herstellernummern</t>
  </si>
  <si>
    <t>* 1. Einstieg mit Quizacademy ( 15 Sekunden)</t>
  </si>
  <si>
    <t>* Ruhedruck- und Druck auf Flächen üben / evtl. Probleme lösen</t>
  </si>
  <si>
    <t>* Wichtige Artikel beschreiben und auf Baustelle adaptieren</t>
  </si>
  <si>
    <t>Start nächste Woche!</t>
  </si>
  <si>
    <t>30min früher in Auftrag 3.3 einsteigen….</t>
  </si>
  <si>
    <t>Einstieg mit Kreuzworträtsel</t>
  </si>
  <si>
    <t>* Aufgabe 5.6 "Lüftung"</t>
  </si>
  <si>
    <t>Aufgaben Teams</t>
  </si>
  <si>
    <t>Punkte</t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</si>
  <si>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handelsüblichen Vorwandsysteme. 
- Sie erläutern die Befestigungstechnik und Schallschutzmassnahmen 
  bei Vorwänden. 
- Sie erklären, wie und mit welchen Materialien Vorwände 
  beplankt werden. 
- Sie erklären, wie und mit welchen Materialien die Hohlräume der 
  Vorwände gedämmt werden. 
- Sie erklären, wie und mit welchen Materialien Anschlüsse abgedichtet 
werden.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 Leistungsnachweis «Cast Vorwandmontage»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</si>
  <si>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Einsatzmöglichkeiten und Funktion von Entnahmearmaturen 
  unter Berücksichtigung der Energie- und Trinkwassereffizienz. 
- Sie beschreiben die Materialeigenschaften von Apparaten.
(z.B. Keramik, Kunststoff).
- Sie erstellen einen Materialauszug aufgrund einer typischen Baustellensituation.
- Sie erstellen ein Materialausmass anhand von verschiedenen Beispielen.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«Praxisauftrag»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</si>
  <si>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Problematik der Korrosion bei Wasserleitungen. 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«Stellungnahme Schadenfall»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</si>
  <si>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Inhalte der aktuellen Vorschriften 
   in Bezug auf die aktuelle Wasserleitungsinstallation.
- Sie erläutern die Gefahren, die von verschmutztem Wasser
   ausgehen können in Bezug auf die Wasserleitungsinstallation.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«Der Weg meines Wassers bis in mein Haus 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</si>
  <si>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die verschiedenen Verteilsysteme für Warmwasser. 
- Sie beschreiben das korrekte Vorgehen zur Überprüfung 
  der Ausstosszeiten.
- Sie beschreiben Anwendungen und Eigenschaften der 
  Dämmmaterialien für Wasserleitungen.
- Sie erläutern die Vorschriften in Bezug auf die Dämmstärken 
  für Warmwasser- und Kaltwasserleitungen.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«Ausstosszeiten berechnen»
- Leistungsnachweis «Dämmungen in der Haustechnik»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</si>
  <si>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beschreiben den Unterschied zwischen Ruhedruck 
   und Fliessdruck.
- Sie berechnen den Druck unter Berücksichtigung der 
  Kompressibilität des Wassers. 
- Sie erläutern die für die Druckprüfung relevanten Inhalte
   der SVGW Richtlinie W3.
- Sie erläutern die für eine Inbetriebnahme relevanten Inhalte 
   der SVGW Richtlinie W3 Wasserleitungen.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«Bestandene Online Lernzielkontrolle »
- Leistungsnachweis «Video einer Druckprüfung mit Inbetriebnahme»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</si>
  <si>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interpretieren einfache Aussparungspläne für die 
   Installation von Wasserleitungen.  
- Sie interpretieren einfache Montage- und Einlegepläne für die
   Installation von Wasserleitungen. 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 Leistungsnachweis «Kellerverteilung für Abrechnung»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</si>
  <si>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berechnen Dreiecke und bestimmen das Gefälle 
   von Entsorgungsleitungen anhand von Beispielen.
- Sie interpretieren einfache Grundrisspläne. 
  Lernprodukte.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«Gefällsberechnungen in Plänen»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</si>
  <si>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erstellen selbstständig anspruchsvolle Z-Mass Vorfabrikations- 
   zeichnungen inkl. Rohrlängen und Stückliste.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Abgabe von 4 korrigierten Fachzeichnungen / Auswahl 5.3 – 5.7
</t>
    </r>
  </si>
  <si>
    <r>
      <rPr>
        <b/>
        <sz val="11"/>
        <color theme="1"/>
        <rFont val="Calibri"/>
        <family val="2"/>
        <scheme val="minor"/>
      </rPr>
      <t>Lernziele:</t>
    </r>
    <r>
      <rPr>
        <sz val="11"/>
        <color theme="1"/>
        <rFont val="Calibri"/>
        <family val="2"/>
        <scheme val="minor"/>
      </rPr>
      <t xml:space="preserve">
- Sie benennen die relevanten Anforderungen an die 
  Apparatemontage (z.B. bauliche Voraussetzungen, Schallschutz).
- Sie bestimmen anhand von Beispielen den Platzbedarf, Achsabstände
  und Montagehöhen von Apparaten und den zugehörigen Garnituren.
- Sie kennen die relevanten Achsmasse, Abstände und Montagehöhen 
  der wichtigsten sanitären Apparate.
</t>
    </r>
    <r>
      <rPr>
        <b/>
        <sz val="11"/>
        <color theme="1"/>
        <rFont val="Calibri"/>
        <family val="2"/>
        <scheme val="minor"/>
      </rPr>
      <t>Abzugebende Leistungsnachweise:</t>
    </r>
    <r>
      <rPr>
        <sz val="11"/>
        <color theme="1"/>
        <rFont val="Calibri"/>
        <family val="2"/>
        <scheme val="minor"/>
      </rPr>
      <t xml:space="preserve">
- Leistungsnachweis «Detailplanung Badezimmer»
</t>
    </r>
  </si>
  <si>
    <t>* Einstieg mit Film "Sanitär flutet Wohnung (LM Zusatz)"</t>
  </si>
  <si>
    <t>Die Zeugnisnote setzt sich aus den Leistungsnachweisen und Kompetenzprüfungen zusammen. Die Note aus den Leistungsnachweisen zählt zu ca. 30% an die Zeugnisnote. Alle Noten der Prüfungen zählen zu ca. 60% an die Zeugnisnote.</t>
  </si>
  <si>
    <t>Leistungsnachweise</t>
  </si>
  <si>
    <t xml:space="preserve">Die Note der Leistungsnachweise entsteht aus den während des Semestes erzielten Punkten. </t>
  </si>
  <si>
    <t>Planen der Arbeiten</t>
  </si>
  <si>
    <t xml:space="preserve">Total Punkte </t>
  </si>
  <si>
    <t>Montieren von Sanitäranlagen</t>
  </si>
  <si>
    <t>* Dreiecksberechnung mit 1.414 herleiten &amp; Übungen</t>
  </si>
  <si>
    <t>* Dreiecksberechnung nach Pythagoras herleiten &amp; Übungen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</si>
</sst>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24"/>
      <color theme="1"/>
      <name val="Century Gothic"/>
      <family val="2"/>
    </font>
    <font>
      <b/>
      <sz val="14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entury Gothic"/>
      <family val="2"/>
    </font>
    <font>
      <b/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9"/>
      <color theme="1"/>
      <name val="Century Gothic"/>
      <family val="2"/>
    </font>
    <font>
      <b/>
      <sz val="10"/>
      <name val="Century Gothic"/>
      <family val="2"/>
    </font>
    <font>
      <b/>
      <sz val="10"/>
      <name val="Calibri"/>
      <family val="2"/>
      <scheme val="minor"/>
    </font>
    <font>
      <sz val="6.5"/>
      <color theme="1"/>
      <name val="Century Gothic"/>
      <family val="2"/>
    </font>
    <font>
      <sz val="6.5"/>
      <color theme="1"/>
      <name val="Calibri"/>
      <family val="2"/>
      <scheme val="minor"/>
    </font>
    <font>
      <i/>
      <sz val="11"/>
      <color theme="1"/>
      <name val="Century Gothic"/>
      <family val="2"/>
    </font>
    <font>
      <b/>
      <sz val="8"/>
      <color theme="1"/>
      <name val="Century Gothic"/>
      <family val="2"/>
    </font>
    <font>
      <i/>
      <sz val="10"/>
      <color theme="0" tint="-0.34998626667073579"/>
      <name val="Century Gothic"/>
      <family val="2"/>
    </font>
    <font>
      <sz val="10"/>
      <name val="Century Gothic"/>
      <family val="2"/>
    </font>
    <font>
      <sz val="7"/>
      <color theme="1"/>
      <name val="Century Gothic"/>
      <family val="2"/>
    </font>
    <font>
      <sz val="7"/>
      <color theme="1"/>
      <name val="Calibri"/>
      <family val="2"/>
      <scheme val="minor"/>
    </font>
    <font>
      <b/>
      <sz val="9"/>
      <color theme="1"/>
      <name val="Century Gothic"/>
      <family val="2"/>
    </font>
    <font>
      <b/>
      <sz val="11"/>
      <color theme="1"/>
      <name val="Calibri"/>
      <family val="2"/>
      <scheme val="minor"/>
    </font>
    <font>
      <i/>
      <sz val="8"/>
      <name val="Century Gothic"/>
      <family val="2"/>
    </font>
    <font>
      <i/>
      <sz val="8"/>
      <name val="Calibri"/>
      <family val="2"/>
      <scheme val="minor"/>
    </font>
    <font>
      <sz val="8"/>
      <name val="Century Gothic"/>
      <family val="2"/>
    </font>
    <font>
      <sz val="18"/>
      <color theme="1"/>
      <name val="Century Gothic"/>
      <family val="2"/>
    </font>
    <font>
      <u/>
      <sz val="9"/>
      <color theme="0" tint="-0.34998626667073579"/>
      <name val="Century Gothic"/>
      <family val="2"/>
    </font>
    <font>
      <sz val="18"/>
      <color theme="1"/>
      <name val="Calibri"/>
      <family val="2"/>
      <scheme val="minor"/>
    </font>
    <font>
      <i/>
      <sz val="18"/>
      <color theme="1"/>
      <name val="Century Gothic"/>
      <family val="2"/>
    </font>
    <font>
      <i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Arial"/>
      <family val="2"/>
    </font>
    <font>
      <sz val="10"/>
      <color theme="1"/>
      <name val="Arial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sz val="11"/>
      <color rgb="FFFF0000"/>
      <name val="Calibri"/>
      <family val="2"/>
      <scheme val="minor"/>
    </font>
    <font>
      <i/>
      <sz val="9"/>
      <color rgb="FFFF0000"/>
      <name val="Century Gothic"/>
      <family val="2"/>
    </font>
    <font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29">
    <xf numFmtId="0" fontId="0" fillId="0" borderId="0" xfId="0"/>
    <xf numFmtId="0" fontId="2" fillId="0" borderId="0" xfId="0" applyFont="1"/>
    <xf numFmtId="0" fontId="6" fillId="0" borderId="0" xfId="0" applyFont="1"/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4" fillId="0" borderId="0" xfId="0" applyFont="1" applyAlignment="1">
      <alignment horizontal="left"/>
    </xf>
    <xf numFmtId="0" fontId="15" fillId="3" borderId="1" xfId="0" applyFont="1" applyFill="1" applyBorder="1" applyAlignment="1">
      <alignment horizontal="left" vertical="center"/>
    </xf>
    <xf numFmtId="0" fontId="22" fillId="3" borderId="3" xfId="0" applyFont="1" applyFill="1" applyBorder="1" applyAlignment="1">
      <alignment horizontal="left" vertical="center"/>
    </xf>
    <xf numFmtId="14" fontId="20" fillId="3" borderId="27" xfId="0" applyNumberFormat="1" applyFont="1" applyFill="1" applyBorder="1" applyAlignment="1">
      <alignment horizontal="center" vertical="center"/>
    </xf>
    <xf numFmtId="0" fontId="20" fillId="3" borderId="26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2" fillId="4" borderId="3" xfId="0" applyFont="1" applyFill="1" applyBorder="1"/>
    <xf numFmtId="0" fontId="6" fillId="4" borderId="3" xfId="0" applyFont="1" applyFill="1" applyBorder="1" applyAlignment="1">
      <alignment horizontal="center" vertical="center"/>
    </xf>
    <xf numFmtId="14" fontId="19" fillId="4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vertical="center"/>
    </xf>
    <xf numFmtId="0" fontId="14" fillId="4" borderId="3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 applyProtection="1">
      <alignment horizontal="left" vertical="center"/>
      <protection locked="0" hidden="1"/>
    </xf>
    <xf numFmtId="0" fontId="2" fillId="0" borderId="0" xfId="0" applyFont="1" applyAlignment="1">
      <alignment horizontal="left"/>
    </xf>
    <xf numFmtId="0" fontId="22" fillId="3" borderId="2" xfId="0" applyFont="1" applyFill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14" fillId="4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4" fontId="20" fillId="3" borderId="1" xfId="0" applyNumberFormat="1" applyFont="1" applyFill="1" applyBorder="1" applyAlignment="1">
      <alignment horizontal="center"/>
    </xf>
    <xf numFmtId="0" fontId="14" fillId="3" borderId="34" xfId="0" applyFont="1" applyFill="1" applyBorder="1"/>
    <xf numFmtId="0" fontId="14" fillId="3" borderId="3" xfId="0" applyFont="1" applyFill="1" applyBorder="1"/>
    <xf numFmtId="0" fontId="14" fillId="3" borderId="2" xfId="0" applyFont="1" applyFill="1" applyBorder="1"/>
    <xf numFmtId="0" fontId="9" fillId="0" borderId="0" xfId="0" applyFont="1" applyAlignment="1">
      <alignment horizontal="center" vertical="center"/>
    </xf>
    <xf numFmtId="0" fontId="31" fillId="0" borderId="24" xfId="1" applyFont="1" applyBorder="1"/>
    <xf numFmtId="0" fontId="14" fillId="0" borderId="24" xfId="0" applyFont="1" applyBorder="1"/>
    <xf numFmtId="0" fontId="14" fillId="0" borderId="37" xfId="0" applyFont="1" applyBorder="1"/>
    <xf numFmtId="0" fontId="14" fillId="0" borderId="43" xfId="0" applyFont="1" applyBorder="1"/>
    <xf numFmtId="0" fontId="0" fillId="0" borderId="42" xfId="0" applyBorder="1"/>
    <xf numFmtId="0" fontId="25" fillId="0" borderId="43" xfId="0" applyFont="1" applyBorder="1"/>
    <xf numFmtId="0" fontId="14" fillId="0" borderId="0" xfId="0" applyFont="1"/>
    <xf numFmtId="0" fontId="0" fillId="0" borderId="39" xfId="0" applyBorder="1"/>
    <xf numFmtId="0" fontId="0" fillId="0" borderId="23" xfId="0" applyBorder="1"/>
    <xf numFmtId="0" fontId="0" fillId="0" borderId="40" xfId="0" applyBorder="1"/>
    <xf numFmtId="0" fontId="14" fillId="0" borderId="42" xfId="0" applyFont="1" applyBorder="1"/>
    <xf numFmtId="0" fontId="14" fillId="0" borderId="39" xfId="0" applyFont="1" applyBorder="1"/>
    <xf numFmtId="0" fontId="0" fillId="0" borderId="36" xfId="0" applyBorder="1"/>
    <xf numFmtId="0" fontId="0" fillId="0" borderId="24" xfId="0" applyBorder="1"/>
    <xf numFmtId="0" fontId="0" fillId="0" borderId="37" xfId="0" applyBorder="1"/>
    <xf numFmtId="0" fontId="0" fillId="0" borderId="43" xfId="0" applyBorder="1"/>
    <xf numFmtId="0" fontId="14" fillId="0" borderId="36" xfId="0" applyFont="1" applyBorder="1"/>
    <xf numFmtId="0" fontId="37" fillId="0" borderId="0" xfId="0" applyFont="1"/>
    <xf numFmtId="0" fontId="20" fillId="3" borderId="20" xfId="0" applyFont="1" applyFill="1" applyBorder="1" applyAlignment="1">
      <alignment horizontal="center" vertical="center"/>
    </xf>
    <xf numFmtId="14" fontId="20" fillId="3" borderId="45" xfId="0" applyNumberFormat="1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38" fillId="0" borderId="0" xfId="0" applyFont="1"/>
    <xf numFmtId="0" fontId="39" fillId="0" borderId="44" xfId="0" applyFont="1" applyBorder="1" applyAlignment="1">
      <alignment horizontal="center"/>
    </xf>
    <xf numFmtId="0" fontId="1" fillId="5" borderId="46" xfId="0" applyFont="1" applyFill="1" applyBorder="1"/>
    <xf numFmtId="0" fontId="1" fillId="5" borderId="28" xfId="0" applyFont="1" applyFill="1" applyBorder="1"/>
    <xf numFmtId="0" fontId="1" fillId="0" borderId="39" xfId="0" applyFont="1" applyBorder="1"/>
    <xf numFmtId="0" fontId="1" fillId="0" borderId="23" xfId="0" applyFont="1" applyBorder="1"/>
    <xf numFmtId="0" fontId="1" fillId="0" borderId="40" xfId="0" applyFont="1" applyBorder="1"/>
    <xf numFmtId="0" fontId="39" fillId="0" borderId="42" xfId="0" applyFont="1" applyBorder="1" applyAlignment="1">
      <alignment horizontal="center"/>
    </xf>
    <xf numFmtId="0" fontId="1" fillId="0" borderId="42" xfId="0" applyFont="1" applyBorder="1"/>
    <xf numFmtId="0" fontId="25" fillId="0" borderId="36" xfId="0" applyFont="1" applyBorder="1"/>
    <xf numFmtId="0" fontId="35" fillId="0" borderId="42" xfId="0" applyFont="1" applyBorder="1"/>
    <xf numFmtId="0" fontId="40" fillId="0" borderId="43" xfId="0" applyFont="1" applyBorder="1"/>
    <xf numFmtId="0" fontId="36" fillId="0" borderId="42" xfId="0" applyFont="1" applyBorder="1"/>
    <xf numFmtId="0" fontId="35" fillId="0" borderId="0" xfId="0" applyFont="1"/>
    <xf numFmtId="0" fontId="36" fillId="0" borderId="0" xfId="0" applyFont="1"/>
    <xf numFmtId="0" fontId="9" fillId="5" borderId="35" xfId="0" applyFont="1" applyFill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41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1" fillId="0" borderId="40" xfId="0" applyFont="1" applyBorder="1" applyAlignment="1">
      <alignment horizontal="center"/>
    </xf>
    <xf numFmtId="0" fontId="14" fillId="0" borderId="44" xfId="0" applyFont="1" applyBorder="1"/>
    <xf numFmtId="0" fontId="25" fillId="0" borderId="38" xfId="0" applyFont="1" applyBorder="1" applyAlignment="1">
      <alignment horizontal="center"/>
    </xf>
    <xf numFmtId="0" fontId="0" fillId="0" borderId="44" xfId="0" applyBorder="1"/>
    <xf numFmtId="0" fontId="0" fillId="0" borderId="41" xfId="0" applyBorder="1"/>
    <xf numFmtId="0" fontId="1" fillId="0" borderId="24" xfId="0" applyFont="1" applyBorder="1"/>
    <xf numFmtId="0" fontId="14" fillId="0" borderId="23" xfId="0" applyFont="1" applyBorder="1"/>
    <xf numFmtId="0" fontId="42" fillId="0" borderId="39" xfId="0" applyFont="1" applyBorder="1"/>
    <xf numFmtId="0" fontId="1" fillId="5" borderId="35" xfId="0" applyFont="1" applyFill="1" applyBorder="1" applyAlignment="1">
      <alignment horizontal="center"/>
    </xf>
    <xf numFmtId="0" fontId="1" fillId="5" borderId="36" xfId="0" applyFont="1" applyFill="1" applyBorder="1"/>
    <xf numFmtId="0" fontId="1" fillId="5" borderId="24" xfId="0" applyFont="1" applyFill="1" applyBorder="1"/>
    <xf numFmtId="0" fontId="1" fillId="5" borderId="37" xfId="0" applyFont="1" applyFill="1" applyBorder="1" applyAlignment="1">
      <alignment horizontal="center"/>
    </xf>
    <xf numFmtId="0" fontId="42" fillId="0" borderId="23" xfId="0" applyFont="1" applyBorder="1"/>
    <xf numFmtId="0" fontId="42" fillId="0" borderId="43" xfId="0" applyFont="1" applyBorder="1"/>
    <xf numFmtId="0" fontId="31" fillId="0" borderId="0" xfId="1" applyFont="1" applyBorder="1"/>
    <xf numFmtId="0" fontId="25" fillId="0" borderId="42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6" fillId="4" borderId="38" xfId="0" applyFont="1" applyFill="1" applyBorder="1" applyAlignment="1">
      <alignment horizontal="left" vertical="center"/>
    </xf>
    <xf numFmtId="0" fontId="6" fillId="4" borderId="29" xfId="0" applyFont="1" applyFill="1" applyBorder="1" applyAlignment="1">
      <alignment horizontal="left" vertical="center"/>
    </xf>
    <xf numFmtId="0" fontId="43" fillId="0" borderId="0" xfId="0" applyFont="1"/>
    <xf numFmtId="0" fontId="9" fillId="4" borderId="1" xfId="0" applyFont="1" applyFill="1" applyBorder="1" applyAlignment="1">
      <alignment vertical="center"/>
    </xf>
    <xf numFmtId="0" fontId="9" fillId="4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2" fillId="2" borderId="0" xfId="0" applyFont="1" applyFill="1"/>
    <xf numFmtId="0" fontId="5" fillId="2" borderId="22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20" fillId="2" borderId="5" xfId="0" applyFont="1" applyFill="1" applyBorder="1" applyAlignment="1">
      <alignment horizontal="left"/>
    </xf>
    <xf numFmtId="0" fontId="20" fillId="9" borderId="7" xfId="0" applyFont="1" applyFill="1" applyBorder="1" applyAlignment="1">
      <alignment horizontal="left"/>
    </xf>
    <xf numFmtId="0" fontId="0" fillId="9" borderId="8" xfId="0" applyFill="1" applyBorder="1"/>
    <xf numFmtId="0" fontId="0" fillId="9" borderId="13" xfId="0" applyFill="1" applyBorder="1"/>
    <xf numFmtId="0" fontId="5" fillId="9" borderId="22" xfId="0" applyFont="1" applyFill="1" applyBorder="1" applyAlignment="1">
      <alignment horizontal="left"/>
    </xf>
    <xf numFmtId="0" fontId="5" fillId="9" borderId="4" xfId="0" applyFont="1" applyFill="1" applyBorder="1" applyAlignment="1">
      <alignment horizontal="left"/>
    </xf>
    <xf numFmtId="0" fontId="5" fillId="9" borderId="14" xfId="0" applyFont="1" applyFill="1" applyBorder="1" applyAlignment="1">
      <alignment horizontal="left"/>
    </xf>
    <xf numFmtId="0" fontId="20" fillId="9" borderId="5" xfId="0" applyFont="1" applyFill="1" applyBorder="1" applyAlignment="1">
      <alignment horizontal="left"/>
    </xf>
    <xf numFmtId="49" fontId="0" fillId="0" borderId="0" xfId="0" applyNumberFormat="1"/>
    <xf numFmtId="0" fontId="20" fillId="9" borderId="6" xfId="0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9" fillId="4" borderId="47" xfId="0" applyFont="1" applyFill="1" applyBorder="1" applyAlignment="1">
      <alignment horizontal="center"/>
    </xf>
    <xf numFmtId="0" fontId="9" fillId="4" borderId="48" xfId="0" applyFont="1" applyFill="1" applyBorder="1" applyAlignment="1">
      <alignment horizontal="center"/>
    </xf>
    <xf numFmtId="0" fontId="9" fillId="4" borderId="49" xfId="0" applyFont="1" applyFill="1" applyBorder="1" applyAlignment="1">
      <alignment horizontal="center"/>
    </xf>
    <xf numFmtId="0" fontId="5" fillId="4" borderId="22" xfId="0" applyFon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15" fillId="4" borderId="47" xfId="0" applyFont="1" applyFill="1" applyBorder="1" applyAlignment="1">
      <alignment horizontal="center"/>
    </xf>
    <xf numFmtId="0" fontId="15" fillId="4" borderId="48" xfId="0" applyFont="1" applyFill="1" applyBorder="1" applyAlignment="1">
      <alignment horizontal="center"/>
    </xf>
    <xf numFmtId="0" fontId="0" fillId="4" borderId="49" xfId="0" applyFill="1" applyBorder="1"/>
    <xf numFmtId="0" fontId="5" fillId="4" borderId="4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0" fillId="2" borderId="7" xfId="0" applyFont="1" applyFill="1" applyBorder="1" applyAlignment="1">
      <alignment horizontal="left"/>
    </xf>
    <xf numFmtId="0" fontId="0" fillId="2" borderId="8" xfId="0" applyFill="1" applyBorder="1"/>
    <xf numFmtId="0" fontId="0" fillId="2" borderId="13" xfId="0" applyFill="1" applyBorder="1"/>
    <xf numFmtId="0" fontId="5" fillId="2" borderId="24" xfId="0" applyFon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11" xfId="0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4" fillId="4" borderId="3" xfId="0" applyFont="1" applyFill="1" applyBorder="1" applyAlignment="1" applyProtection="1">
      <alignment horizontal="left" vertical="center"/>
      <protection locked="0" hidden="1"/>
    </xf>
    <xf numFmtId="0" fontId="0" fillId="4" borderId="3" xfId="0" applyFill="1" applyBorder="1" applyAlignment="1" applyProtection="1">
      <alignment horizontal="left" vertical="center"/>
      <protection locked="0" hidden="1"/>
    </xf>
    <xf numFmtId="0" fontId="9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horizontal="left" vertical="center"/>
    </xf>
    <xf numFmtId="0" fontId="21" fillId="2" borderId="2" xfId="0" applyFont="1" applyFill="1" applyBorder="1" applyAlignment="1">
      <alignment horizontal="left" vertical="center"/>
    </xf>
    <xf numFmtId="49" fontId="12" fillId="2" borderId="7" xfId="0" applyNumberFormat="1" applyFont="1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5" fillId="2" borderId="7" xfId="0" applyFont="1" applyFill="1" applyBorder="1" applyAlignment="1">
      <alignment horizontal="center"/>
    </xf>
    <xf numFmtId="0" fontId="15" fillId="2" borderId="13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0" fontId="27" fillId="2" borderId="14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11" fillId="2" borderId="22" xfId="0" applyFont="1" applyFill="1" applyBorder="1" applyAlignment="1">
      <alignment horizontal="left" vertical="center" wrapText="1"/>
    </xf>
    <xf numFmtId="0" fontId="11" fillId="2" borderId="24" xfId="0" applyFont="1" applyFill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11" fillId="2" borderId="6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7" fillId="2" borderId="19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left" vertical="center" wrapText="1"/>
    </xf>
    <xf numFmtId="0" fontId="13" fillId="9" borderId="24" xfId="0" applyFont="1" applyFill="1" applyBorder="1" applyAlignment="1">
      <alignment horizontal="left" vertical="center" wrapText="1"/>
    </xf>
    <xf numFmtId="0" fontId="13" fillId="9" borderId="25" xfId="0" applyFont="1" applyFill="1" applyBorder="1" applyAlignment="1">
      <alignment horizontal="left" vertical="center" wrapText="1"/>
    </xf>
    <xf numFmtId="0" fontId="13" fillId="9" borderId="4" xfId="0" applyFont="1" applyFill="1" applyBorder="1" applyAlignment="1">
      <alignment horizontal="left" vertical="center" wrapText="1"/>
    </xf>
    <xf numFmtId="0" fontId="13" fillId="9" borderId="0" xfId="0" applyFont="1" applyFill="1" applyAlignment="1">
      <alignment horizontal="left" vertical="center" wrapText="1"/>
    </xf>
    <xf numFmtId="0" fontId="13" fillId="9" borderId="11" xfId="0" applyFont="1" applyFill="1" applyBorder="1" applyAlignment="1">
      <alignment horizontal="left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7" fillId="9" borderId="17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horizontal="center" vertical="center" wrapText="1"/>
    </xf>
    <xf numFmtId="0" fontId="17" fillId="9" borderId="10" xfId="0" applyFont="1" applyFill="1" applyBorder="1" applyAlignment="1">
      <alignment horizontal="center" vertical="center" wrapText="1"/>
    </xf>
    <xf numFmtId="0" fontId="17" fillId="9" borderId="16" xfId="0" applyFont="1" applyFill="1" applyBorder="1" applyAlignment="1">
      <alignment horizontal="center" vertical="center" wrapText="1"/>
    </xf>
    <xf numFmtId="0" fontId="17" fillId="9" borderId="21" xfId="0" applyFont="1" applyFill="1" applyBorder="1" applyAlignment="1">
      <alignment horizontal="center" vertical="center" wrapText="1"/>
    </xf>
    <xf numFmtId="0" fontId="17" fillId="9" borderId="18" xfId="0" applyFont="1" applyFill="1" applyBorder="1" applyAlignment="1">
      <alignment horizontal="center" vertical="center" wrapText="1"/>
    </xf>
    <xf numFmtId="0" fontId="17" fillId="9" borderId="9" xfId="0" applyFont="1" applyFill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12" fillId="9" borderId="7" xfId="0" applyNumberFormat="1" applyFont="1" applyFill="1" applyBorder="1" applyAlignment="1">
      <alignment horizontal="left" vertical="center" wrapText="1"/>
    </xf>
    <xf numFmtId="49" fontId="12" fillId="9" borderId="8" xfId="0" applyNumberFormat="1" applyFont="1" applyFill="1" applyBorder="1" applyAlignment="1">
      <alignment horizontal="left" vertical="center" wrapText="1"/>
    </xf>
    <xf numFmtId="49" fontId="12" fillId="9" borderId="13" xfId="0" applyNumberFormat="1" applyFont="1" applyFill="1" applyBorder="1" applyAlignment="1">
      <alignment horizontal="left" vertical="center" wrapText="1"/>
    </xf>
    <xf numFmtId="49" fontId="12" fillId="9" borderId="14" xfId="0" applyNumberFormat="1" applyFont="1" applyFill="1" applyBorder="1" applyAlignment="1">
      <alignment horizontal="left" vertical="center" wrapText="1"/>
    </xf>
    <xf numFmtId="49" fontId="12" fillId="9" borderId="23" xfId="0" applyNumberFormat="1" applyFont="1" applyFill="1" applyBorder="1" applyAlignment="1">
      <alignment horizontal="left" vertical="center" wrapText="1"/>
    </xf>
    <xf numFmtId="49" fontId="12" fillId="9" borderId="15" xfId="0" applyNumberFormat="1" applyFont="1" applyFill="1" applyBorder="1" applyAlignment="1">
      <alignment horizontal="left" vertical="center" wrapText="1"/>
    </xf>
    <xf numFmtId="0" fontId="15" fillId="9" borderId="7" xfId="0" applyFont="1" applyFill="1" applyBorder="1" applyAlignment="1">
      <alignment horizontal="center"/>
    </xf>
    <xf numFmtId="0" fontId="15" fillId="9" borderId="13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11" xfId="0" applyFont="1" applyFill="1" applyBorder="1" applyAlignment="1">
      <alignment horizontal="left"/>
    </xf>
    <xf numFmtId="0" fontId="27" fillId="9" borderId="14" xfId="0" applyFont="1" applyFill="1" applyBorder="1" applyAlignment="1">
      <alignment horizontal="center" vertical="center"/>
    </xf>
    <xf numFmtId="0" fontId="27" fillId="9" borderId="15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left" vertical="center"/>
    </xf>
    <xf numFmtId="0" fontId="0" fillId="9" borderId="13" xfId="0" applyFill="1" applyBorder="1" applyAlignment="1">
      <alignment horizontal="left" vertical="center"/>
    </xf>
    <xf numFmtId="0" fontId="0" fillId="9" borderId="14" xfId="0" applyFill="1" applyBorder="1" applyAlignment="1">
      <alignment horizontal="left" vertical="center"/>
    </xf>
    <xf numFmtId="0" fontId="0" fillId="9" borderId="23" xfId="0" applyFill="1" applyBorder="1" applyAlignment="1">
      <alignment horizontal="left" vertical="center"/>
    </xf>
    <xf numFmtId="0" fontId="0" fillId="9" borderId="15" xfId="0" applyFill="1" applyBorder="1" applyAlignment="1">
      <alignment horizontal="left" vertical="center"/>
    </xf>
    <xf numFmtId="0" fontId="9" fillId="9" borderId="7" xfId="0" applyFont="1" applyFill="1" applyBorder="1" applyAlignment="1">
      <alignment horizontal="center"/>
    </xf>
    <xf numFmtId="0" fontId="9" fillId="9" borderId="13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left" vertical="center" wrapText="1"/>
    </xf>
    <xf numFmtId="0" fontId="13" fillId="9" borderId="6" xfId="0" applyFont="1" applyFill="1" applyBorder="1" applyAlignment="1">
      <alignment horizontal="left" vertical="center" wrapText="1"/>
    </xf>
    <xf numFmtId="0" fontId="13" fillId="9" borderId="12" xfId="0" applyFont="1" applyFill="1" applyBorder="1" applyAlignment="1">
      <alignment horizontal="left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0" fontId="28" fillId="9" borderId="15" xfId="0" applyFont="1" applyFill="1" applyBorder="1" applyAlignment="1">
      <alignment horizontal="center" vertical="center"/>
    </xf>
    <xf numFmtId="0" fontId="0" fillId="9" borderId="24" xfId="0" applyFill="1" applyBorder="1" applyAlignment="1">
      <alignment horizontal="left" vertical="center"/>
    </xf>
    <xf numFmtId="0" fontId="0" fillId="9" borderId="25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11" xfId="0" applyFill="1" applyBorder="1" applyAlignment="1">
      <alignment horizontal="left" vertical="center"/>
    </xf>
    <xf numFmtId="0" fontId="17" fillId="9" borderId="17" xfId="0" applyFont="1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49" fontId="17" fillId="9" borderId="22" xfId="0" applyNumberFormat="1" applyFont="1" applyFill="1" applyBorder="1" applyAlignment="1">
      <alignment horizontal="center" vertical="center" wrapText="1"/>
    </xf>
    <xf numFmtId="49" fontId="17" fillId="9" borderId="25" xfId="0" applyNumberFormat="1" applyFont="1" applyFill="1" applyBorder="1" applyAlignment="1">
      <alignment horizontal="center" vertical="center" wrapText="1"/>
    </xf>
    <xf numFmtId="49" fontId="17" fillId="9" borderId="4" xfId="0" applyNumberFormat="1" applyFont="1" applyFill="1" applyBorder="1" applyAlignment="1">
      <alignment horizontal="center" vertical="center" wrapText="1"/>
    </xf>
    <xf numFmtId="49" fontId="17" fillId="9" borderId="11" xfId="0" applyNumberFormat="1" applyFont="1" applyFill="1" applyBorder="1" applyAlignment="1">
      <alignment horizontal="center" vertical="center" wrapText="1"/>
    </xf>
    <xf numFmtId="49" fontId="0" fillId="9" borderId="4" xfId="0" applyNumberFormat="1" applyFill="1" applyBorder="1" applyAlignment="1">
      <alignment horizontal="center" vertical="center"/>
    </xf>
    <xf numFmtId="49" fontId="0" fillId="9" borderId="11" xfId="0" applyNumberFormat="1" applyFill="1" applyBorder="1" applyAlignment="1">
      <alignment horizontal="center" vertical="center"/>
    </xf>
    <xf numFmtId="49" fontId="0" fillId="9" borderId="5" xfId="0" applyNumberFormat="1" applyFill="1" applyBorder="1" applyAlignment="1">
      <alignment horizontal="center" vertical="center"/>
    </xf>
    <xf numFmtId="49" fontId="0" fillId="9" borderId="12" xfId="0" applyNumberForma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/>
    </xf>
    <xf numFmtId="49" fontId="27" fillId="9" borderId="14" xfId="0" applyNumberFormat="1" applyFont="1" applyFill="1" applyBorder="1" applyAlignment="1">
      <alignment horizontal="center"/>
    </xf>
    <xf numFmtId="49" fontId="28" fillId="9" borderId="23" xfId="0" applyNumberFormat="1" applyFont="1" applyFill="1" applyBorder="1" applyAlignment="1">
      <alignment horizontal="center"/>
    </xf>
    <xf numFmtId="49" fontId="28" fillId="9" borderId="15" xfId="0" applyNumberFormat="1" applyFont="1" applyFill="1" applyBorder="1" applyAlignment="1">
      <alignment horizontal="center"/>
    </xf>
    <xf numFmtId="0" fontId="0" fillId="9" borderId="5" xfId="0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0" fillId="9" borderId="12" xfId="0" applyFill="1" applyBorder="1" applyAlignment="1">
      <alignment horizontal="left" vertical="center"/>
    </xf>
    <xf numFmtId="0" fontId="5" fillId="9" borderId="24" xfId="0" applyFont="1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0" fillId="9" borderId="11" xfId="0" applyFill="1" applyBorder="1" applyAlignment="1">
      <alignment horizontal="center"/>
    </xf>
    <xf numFmtId="0" fontId="5" fillId="9" borderId="23" xfId="0" applyFont="1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24" fillId="9" borderId="32" xfId="0" applyFont="1" applyFill="1" applyBorder="1" applyAlignment="1">
      <alignment horizontal="center" vertical="center" wrapText="1"/>
    </xf>
    <xf numFmtId="0" fontId="0" fillId="9" borderId="32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49" fontId="13" fillId="9" borderId="4" xfId="0" applyNumberFormat="1" applyFont="1" applyFill="1" applyBorder="1" applyAlignment="1">
      <alignment horizontal="left" vertical="center" wrapText="1"/>
    </xf>
    <xf numFmtId="0" fontId="0" fillId="9" borderId="0" xfId="0" applyFill="1" applyAlignment="1">
      <alignment horizontal="left" vertical="center" wrapText="1"/>
    </xf>
    <xf numFmtId="0" fontId="0" fillId="9" borderId="11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0" fillId="9" borderId="6" xfId="0" applyFill="1" applyBorder="1" applyAlignment="1">
      <alignment horizontal="left" vertical="center" wrapText="1"/>
    </xf>
    <xf numFmtId="0" fontId="0" fillId="9" borderId="12" xfId="0" applyFill="1" applyBorder="1" applyAlignment="1">
      <alignment horizontal="left" vertical="center" wrapText="1"/>
    </xf>
    <xf numFmtId="0" fontId="23" fillId="9" borderId="32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left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24" fillId="9" borderId="31" xfId="0" applyFont="1" applyFill="1" applyBorder="1" applyAlignment="1">
      <alignment horizontal="center" vertical="center" wrapText="1"/>
    </xf>
    <xf numFmtId="0" fontId="0" fillId="9" borderId="31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17" fillId="9" borderId="22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14" xfId="0" applyFill="1" applyBorder="1" applyAlignment="1">
      <alignment horizontal="center" vertical="center" wrapText="1"/>
    </xf>
    <xf numFmtId="0" fontId="17" fillId="9" borderId="29" xfId="0" applyFont="1" applyFill="1" applyBorder="1" applyAlignment="1">
      <alignment horizontal="center" vertical="center" wrapText="1"/>
    </xf>
    <xf numFmtId="0" fontId="17" fillId="9" borderId="29" xfId="0" applyFont="1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17" fillId="9" borderId="24" xfId="0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23" fillId="9" borderId="31" xfId="0" applyFont="1" applyFill="1" applyBorder="1" applyAlignment="1">
      <alignment horizontal="center" vertical="center" wrapText="1"/>
    </xf>
    <xf numFmtId="0" fontId="23" fillId="9" borderId="29" xfId="0" applyFont="1" applyFill="1" applyBorder="1" applyAlignment="1">
      <alignment horizontal="center" vertical="center" wrapText="1"/>
    </xf>
    <xf numFmtId="0" fontId="24" fillId="9" borderId="29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0" borderId="38" xfId="0" applyBorder="1" applyAlignment="1">
      <alignment horizontal="left"/>
    </xf>
    <xf numFmtId="0" fontId="0" fillId="0" borderId="41" xfId="0" applyBorder="1"/>
    <xf numFmtId="0" fontId="6" fillId="4" borderId="36" xfId="0" applyFont="1" applyFill="1" applyBorder="1" applyAlignment="1">
      <alignment horizontal="left" vertical="center"/>
    </xf>
    <xf numFmtId="0" fontId="6" fillId="4" borderId="39" xfId="0" applyFont="1" applyFill="1" applyBorder="1" applyAlignment="1">
      <alignment horizontal="left" vertical="center"/>
    </xf>
    <xf numFmtId="0" fontId="0" fillId="0" borderId="44" xfId="0" applyBorder="1" applyAlignment="1">
      <alignment horizontal="left"/>
    </xf>
    <xf numFmtId="0" fontId="0" fillId="0" borderId="44" xfId="0" applyBorder="1"/>
    <xf numFmtId="0" fontId="6" fillId="0" borderId="38" xfId="0" applyFont="1" applyBorder="1" applyAlignment="1">
      <alignment horizontal="left" vertical="center"/>
    </xf>
    <xf numFmtId="0" fontId="30" fillId="2" borderId="36" xfId="0" applyFont="1" applyFill="1" applyBorder="1" applyAlignment="1">
      <alignment horizontal="left" vertical="center"/>
    </xf>
    <xf numFmtId="0" fontId="30" fillId="2" borderId="24" xfId="0" applyFont="1" applyFill="1" applyBorder="1" applyAlignment="1">
      <alignment horizontal="left" vertical="center"/>
    </xf>
    <xf numFmtId="0" fontId="0" fillId="2" borderId="24" xfId="0" applyFill="1" applyBorder="1" applyAlignment="1">
      <alignment vertical="center"/>
    </xf>
    <xf numFmtId="0" fontId="0" fillId="2" borderId="37" xfId="0" applyFill="1" applyBorder="1" applyAlignment="1">
      <alignment vertical="center"/>
    </xf>
    <xf numFmtId="0" fontId="30" fillId="2" borderId="39" xfId="0" applyFont="1" applyFill="1" applyBorder="1" applyAlignment="1">
      <alignment horizontal="left" vertical="center"/>
    </xf>
    <xf numFmtId="0" fontId="30" fillId="2" borderId="23" xfId="0" applyFont="1" applyFill="1" applyBorder="1" applyAlignment="1">
      <alignment horizontal="left" vertical="center"/>
    </xf>
    <xf numFmtId="0" fontId="0" fillId="2" borderId="23" xfId="0" applyFill="1" applyBorder="1" applyAlignment="1">
      <alignment vertical="center"/>
    </xf>
    <xf numFmtId="0" fontId="0" fillId="2" borderId="40" xfId="0" applyFill="1" applyBorder="1" applyAlignment="1">
      <alignment vertical="center"/>
    </xf>
    <xf numFmtId="0" fontId="30" fillId="4" borderId="36" xfId="0" applyFont="1" applyFill="1" applyBorder="1" applyAlignment="1">
      <alignment horizontal="left" vertical="center"/>
    </xf>
    <xf numFmtId="0" fontId="30" fillId="4" borderId="24" xfId="0" applyFont="1" applyFill="1" applyBorder="1" applyAlignment="1">
      <alignment horizontal="left" vertical="center"/>
    </xf>
    <xf numFmtId="0" fontId="30" fillId="4" borderId="39" xfId="0" applyFont="1" applyFill="1" applyBorder="1" applyAlignment="1">
      <alignment horizontal="left" vertical="center"/>
    </xf>
    <xf numFmtId="0" fontId="30" fillId="4" borderId="23" xfId="0" applyFont="1" applyFill="1" applyBorder="1" applyAlignment="1">
      <alignment horizontal="left" vertical="center"/>
    </xf>
    <xf numFmtId="14" fontId="30" fillId="4" borderId="36" xfId="0" applyNumberFormat="1" applyFont="1" applyFill="1" applyBorder="1" applyAlignment="1">
      <alignment horizontal="center" vertical="center"/>
    </xf>
    <xf numFmtId="0" fontId="30" fillId="4" borderId="37" xfId="0" applyFont="1" applyFill="1" applyBorder="1" applyAlignment="1">
      <alignment horizontal="center" vertical="center"/>
    </xf>
    <xf numFmtId="0" fontId="30" fillId="4" borderId="39" xfId="0" applyFont="1" applyFill="1" applyBorder="1" applyAlignment="1">
      <alignment horizontal="center" vertical="center"/>
    </xf>
    <xf numFmtId="0" fontId="30" fillId="4" borderId="40" xfId="0" applyFont="1" applyFill="1" applyBorder="1" applyAlignment="1">
      <alignment horizontal="center" vertical="center"/>
    </xf>
    <xf numFmtId="0" fontId="12" fillId="4" borderId="38" xfId="0" applyFont="1" applyFill="1" applyBorder="1" applyAlignment="1">
      <alignment horizontal="center" vertical="center"/>
    </xf>
    <xf numFmtId="0" fontId="12" fillId="4" borderId="41" xfId="0" applyFont="1" applyFill="1" applyBorder="1" applyAlignment="1">
      <alignment horizontal="center" vertical="center"/>
    </xf>
    <xf numFmtId="0" fontId="25" fillId="3" borderId="38" xfId="0" applyFont="1" applyFill="1" applyBorder="1" applyAlignment="1">
      <alignment horizontal="center" vertical="center"/>
    </xf>
    <xf numFmtId="0" fontId="25" fillId="3" borderId="41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0" fillId="3" borderId="38" xfId="0" applyFont="1" applyFill="1" applyBorder="1" applyAlignment="1">
      <alignment horizontal="center" vertical="center"/>
    </xf>
    <xf numFmtId="0" fontId="30" fillId="3" borderId="44" xfId="0" applyFont="1" applyFill="1" applyBorder="1" applyAlignment="1">
      <alignment horizontal="center" vertical="center"/>
    </xf>
    <xf numFmtId="0" fontId="30" fillId="2" borderId="38" xfId="0" applyFont="1" applyFill="1" applyBorder="1" applyAlignment="1">
      <alignment horizontal="center" vertical="center" textRotation="90"/>
    </xf>
    <xf numFmtId="0" fontId="32" fillId="2" borderId="44" xfId="0" applyFont="1" applyFill="1" applyBorder="1" applyAlignment="1">
      <alignment horizontal="center" vertical="center" textRotation="90"/>
    </xf>
    <xf numFmtId="0" fontId="25" fillId="4" borderId="39" xfId="0" applyFont="1" applyFill="1" applyBorder="1"/>
    <xf numFmtId="0" fontId="25" fillId="4" borderId="23" xfId="0" applyFont="1" applyFill="1" applyBorder="1"/>
    <xf numFmtId="0" fontId="25" fillId="4" borderId="35" xfId="0" applyFont="1" applyFill="1" applyBorder="1"/>
    <xf numFmtId="0" fontId="30" fillId="4" borderId="36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7" xfId="0" applyBorder="1" applyAlignment="1">
      <alignment horizontal="center"/>
    </xf>
    <xf numFmtId="0" fontId="0" fillId="0" borderId="42" xfId="0" applyBorder="1" applyAlignment="1">
      <alignment horizontal="center"/>
    </xf>
    <xf numFmtId="0" fontId="30" fillId="3" borderId="36" xfId="0" applyFont="1" applyFill="1" applyBorder="1" applyAlignment="1">
      <alignment horizontal="center" vertical="center" textRotation="90"/>
    </xf>
    <xf numFmtId="0" fontId="32" fillId="3" borderId="43" xfId="0" applyFont="1" applyFill="1" applyBorder="1" applyAlignment="1">
      <alignment horizontal="center" vertical="center" textRotation="90"/>
    </xf>
    <xf numFmtId="0" fontId="32" fillId="3" borderId="44" xfId="0" applyFont="1" applyFill="1" applyBorder="1"/>
    <xf numFmtId="0" fontId="0" fillId="0" borderId="43" xfId="0" applyBorder="1"/>
    <xf numFmtId="0" fontId="0" fillId="0" borderId="39" xfId="0" applyBorder="1"/>
    <xf numFmtId="0" fontId="33" fillId="4" borderId="36" xfId="0" applyFont="1" applyFill="1" applyBorder="1" applyAlignment="1">
      <alignment horizontal="center" vertical="center"/>
    </xf>
    <xf numFmtId="0" fontId="34" fillId="4" borderId="0" xfId="0" applyFont="1" applyFill="1" applyAlignment="1">
      <alignment horizontal="center"/>
    </xf>
    <xf numFmtId="0" fontId="34" fillId="4" borderId="42" xfId="0" applyFont="1" applyFill="1" applyBorder="1" applyAlignment="1">
      <alignment horizontal="center"/>
    </xf>
    <xf numFmtId="0" fontId="34" fillId="4" borderId="39" xfId="0" applyFont="1" applyFill="1" applyBorder="1" applyAlignment="1">
      <alignment horizontal="center"/>
    </xf>
    <xf numFmtId="0" fontId="34" fillId="4" borderId="23" xfId="0" applyFont="1" applyFill="1" applyBorder="1" applyAlignment="1">
      <alignment horizontal="center"/>
    </xf>
    <xf numFmtId="0" fontId="34" fillId="4" borderId="40" xfId="0" applyFont="1" applyFill="1" applyBorder="1" applyAlignment="1">
      <alignment horizontal="center"/>
    </xf>
    <xf numFmtId="0" fontId="12" fillId="2" borderId="36" xfId="0" applyFont="1" applyFill="1" applyBorder="1" applyAlignment="1">
      <alignment horizontal="left" vertical="center"/>
    </xf>
    <xf numFmtId="0" fontId="30" fillId="2" borderId="38" xfId="0" applyFont="1" applyFill="1" applyBorder="1" applyAlignment="1">
      <alignment horizontal="center" vertical="center"/>
    </xf>
    <xf numFmtId="0" fontId="30" fillId="2" borderId="44" xfId="0" applyFont="1" applyFill="1" applyBorder="1" applyAlignment="1">
      <alignment horizontal="center" vertical="center"/>
    </xf>
    <xf numFmtId="0" fontId="25" fillId="2" borderId="38" xfId="0" applyFont="1" applyFill="1" applyBorder="1" applyAlignment="1">
      <alignment horizontal="center" vertical="center"/>
    </xf>
    <xf numFmtId="0" fontId="25" fillId="2" borderId="41" xfId="0" applyFont="1" applyFill="1" applyBorder="1" applyAlignment="1">
      <alignment horizontal="center" vertical="center"/>
    </xf>
    <xf numFmtId="0" fontId="25" fillId="4" borderId="43" xfId="0" applyFont="1" applyFill="1" applyBorder="1"/>
    <xf numFmtId="0" fontId="25" fillId="4" borderId="0" xfId="0" applyFont="1" applyFill="1"/>
    <xf numFmtId="0" fontId="25" fillId="4" borderId="37" xfId="0" applyFont="1" applyFill="1" applyBorder="1"/>
    <xf numFmtId="0" fontId="33" fillId="4" borderId="24" xfId="0" applyFont="1" applyFill="1" applyBorder="1" applyAlignment="1">
      <alignment horizontal="center" vertical="center"/>
    </xf>
    <xf numFmtId="0" fontId="33" fillId="4" borderId="37" xfId="0" applyFont="1" applyFill="1" applyBorder="1" applyAlignment="1">
      <alignment horizontal="center" vertical="center"/>
    </xf>
    <xf numFmtId="0" fontId="33" fillId="4" borderId="39" xfId="0" applyFont="1" applyFill="1" applyBorder="1" applyAlignment="1">
      <alignment horizontal="center" vertical="center"/>
    </xf>
    <xf numFmtId="0" fontId="33" fillId="4" borderId="23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0" fontId="30" fillId="2" borderId="36" xfId="0" applyFont="1" applyFill="1" applyBorder="1" applyAlignment="1">
      <alignment horizontal="center" vertical="center" textRotation="90"/>
    </xf>
    <xf numFmtId="0" fontId="32" fillId="2" borderId="43" xfId="0" applyFont="1" applyFill="1" applyBorder="1" applyAlignment="1">
      <alignment horizontal="center" vertical="center" textRotation="90"/>
    </xf>
    <xf numFmtId="0" fontId="25" fillId="4" borderId="46" xfId="0" applyFont="1" applyFill="1" applyBorder="1"/>
    <xf numFmtId="0" fontId="25" fillId="4" borderId="28" xfId="0" applyFont="1" applyFill="1" applyBorder="1"/>
    <xf numFmtId="0" fontId="12" fillId="3" borderId="24" xfId="0" applyFont="1" applyFill="1" applyBorder="1" applyAlignment="1">
      <alignment horizontal="left" vertical="center"/>
    </xf>
    <xf numFmtId="0" fontId="12" fillId="3" borderId="37" xfId="0" applyFont="1" applyFill="1" applyBorder="1" applyAlignment="1">
      <alignment horizontal="left" vertical="center"/>
    </xf>
    <xf numFmtId="0" fontId="12" fillId="3" borderId="39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40" xfId="0" applyFont="1" applyFill="1" applyBorder="1" applyAlignment="1">
      <alignment horizontal="left" vertical="center"/>
    </xf>
    <xf numFmtId="0" fontId="30" fillId="3" borderId="41" xfId="0" applyFont="1" applyFill="1" applyBorder="1" applyAlignment="1">
      <alignment horizontal="center" vertical="center"/>
    </xf>
    <xf numFmtId="0" fontId="30" fillId="2" borderId="41" xfId="0" applyFont="1" applyFill="1" applyBorder="1" applyAlignment="1">
      <alignment horizontal="center" vertical="center"/>
    </xf>
    <xf numFmtId="0" fontId="25" fillId="4" borderId="36" xfId="0" applyFont="1" applyFill="1" applyBorder="1"/>
    <xf numFmtId="0" fontId="25" fillId="4" borderId="24" xfId="0" applyFont="1" applyFill="1" applyBorder="1"/>
    <xf numFmtId="0" fontId="30" fillId="3" borderId="43" xfId="0" applyFont="1" applyFill="1" applyBorder="1" applyAlignment="1">
      <alignment horizontal="center" vertical="center" textRotation="90"/>
    </xf>
    <xf numFmtId="0" fontId="12" fillId="6" borderId="36" xfId="0" applyFont="1" applyFill="1" applyBorder="1" applyAlignment="1">
      <alignment horizontal="left" vertical="center"/>
    </xf>
    <xf numFmtId="0" fontId="0" fillId="6" borderId="24" xfId="0" applyFill="1" applyBorder="1" applyAlignment="1">
      <alignment horizontal="left" vertical="center"/>
    </xf>
    <xf numFmtId="0" fontId="0" fillId="6" borderId="39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30" fillId="6" borderId="38" xfId="0" applyFont="1" applyFill="1" applyBorder="1" applyAlignment="1">
      <alignment horizontal="center" vertical="center"/>
    </xf>
    <xf numFmtId="0" fontId="30" fillId="6" borderId="44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 textRotation="90"/>
    </xf>
    <xf numFmtId="0" fontId="32" fillId="6" borderId="43" xfId="0" applyFont="1" applyFill="1" applyBorder="1" applyAlignment="1">
      <alignment horizontal="center" vertical="center" textRotation="90"/>
    </xf>
    <xf numFmtId="0" fontId="32" fillId="6" borderId="44" xfId="0" applyFont="1" applyFill="1" applyBorder="1"/>
    <xf numFmtId="0" fontId="0" fillId="6" borderId="43" xfId="0" applyFill="1" applyBorder="1"/>
    <xf numFmtId="0" fontId="0" fillId="6" borderId="39" xfId="0" applyFill="1" applyBorder="1"/>
    <xf numFmtId="0" fontId="30" fillId="7" borderId="36" xfId="0" applyFont="1" applyFill="1" applyBorder="1" applyAlignment="1">
      <alignment horizontal="center" vertical="center" textRotation="90"/>
    </xf>
    <xf numFmtId="0" fontId="32" fillId="7" borderId="43" xfId="0" applyFont="1" applyFill="1" applyBorder="1" applyAlignment="1">
      <alignment horizontal="center" vertical="center" textRotation="90"/>
    </xf>
    <xf numFmtId="0" fontId="32" fillId="7" borderId="43" xfId="0" applyFont="1" applyFill="1" applyBorder="1"/>
    <xf numFmtId="0" fontId="0" fillId="7" borderId="43" xfId="0" applyFill="1" applyBorder="1"/>
    <xf numFmtId="0" fontId="0" fillId="7" borderId="39" xfId="0" applyFill="1" applyBorder="1"/>
    <xf numFmtId="0" fontId="12" fillId="7" borderId="36" xfId="0" applyFont="1" applyFill="1" applyBorder="1" applyAlignment="1">
      <alignment horizontal="left" vertical="center"/>
    </xf>
    <xf numFmtId="0" fontId="0" fillId="7" borderId="24" xfId="0" applyFill="1" applyBorder="1" applyAlignment="1">
      <alignment horizontal="left" vertical="center"/>
    </xf>
    <xf numFmtId="0" fontId="0" fillId="7" borderId="39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2" fontId="30" fillId="7" borderId="38" xfId="0" applyNumberFormat="1" applyFont="1" applyFill="1" applyBorder="1" applyAlignment="1">
      <alignment horizontal="center" vertical="center"/>
    </xf>
    <xf numFmtId="2" fontId="30" fillId="7" borderId="44" xfId="0" applyNumberFormat="1" applyFont="1" applyFill="1" applyBorder="1" applyAlignment="1">
      <alignment horizontal="center" vertical="center"/>
    </xf>
    <xf numFmtId="0" fontId="25" fillId="7" borderId="38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32" fillId="7" borderId="44" xfId="0" applyFont="1" applyFill="1" applyBorder="1" applyAlignment="1">
      <alignment horizontal="center" vertical="center" textRotation="90"/>
    </xf>
    <xf numFmtId="0" fontId="0" fillId="7" borderId="44" xfId="0" applyFill="1" applyBorder="1"/>
    <xf numFmtId="0" fontId="0" fillId="7" borderId="41" xfId="0" applyFill="1" applyBorder="1"/>
    <xf numFmtId="0" fontId="6" fillId="8" borderId="38" xfId="0" applyFont="1" applyFill="1" applyBorder="1" applyAlignment="1">
      <alignment horizontal="left" vertical="center"/>
    </xf>
    <xf numFmtId="0" fontId="0" fillId="0" borderId="44" xfId="0" applyBorder="1" applyAlignment="1"/>
    <xf numFmtId="0" fontId="0" fillId="0" borderId="41" xfId="0" applyBorder="1" applyAlignment="1"/>
  </cellXfs>
  <cellStyles count="2">
    <cellStyle name="Link" xfId="1" builtinId="8"/>
    <cellStyle name="Standard" xfId="0" builtinId="0"/>
  </cellStyles>
  <dxfs count="5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9" defaultPivotStyle="PivotStyleLight16"/>
  <colors>
    <mruColors>
      <color rgb="FF0099FF"/>
      <color rgb="FFEAEAEA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sanitaerlernen.ch/0_Datenbank/1_Auftraege/3.Semester/3.3_Auftrag.pdf" TargetMode="External"/><Relationship Id="rId13" Type="http://schemas.openxmlformats.org/officeDocument/2006/relationships/image" Target="../media/image2.png"/><Relationship Id="rId3" Type="http://schemas.openxmlformats.org/officeDocument/2006/relationships/hyperlink" Target="https://sanitaerlernen.ch/0_Datenbank/1_Auftraege/3.Semester/3.2_Auftrag.pdf" TargetMode="External"/><Relationship Id="rId7" Type="http://schemas.openxmlformats.org/officeDocument/2006/relationships/hyperlink" Target="https://sanitaerlernen.ch/0_Datenbank/1_Auftraege/3.Semester/3.9_Auftrag.pdf" TargetMode="External"/><Relationship Id="rId12" Type="http://schemas.openxmlformats.org/officeDocument/2006/relationships/hyperlink" Target="https://bldsg-my.sharepoint.com/:b:/g/personal/marcel_item_gbssg_ch/ERb_7EFqEI1Nkjl1Xkb08dIBgY2dQgfB0KcHG41iwaX8ww?e=JNkqQM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sanitaerlernen.ch/0_Datenbank/1_Auftraege/3.Semester/3.1_Auftrag.pdf" TargetMode="External"/><Relationship Id="rId6" Type="http://schemas.openxmlformats.org/officeDocument/2006/relationships/hyperlink" Target="https://sanitaerlernen.ch/0_Datenbank/1_Auftraege/3.Semester/3.7_Auftrag.pdf" TargetMode="External"/><Relationship Id="rId11" Type="http://schemas.openxmlformats.org/officeDocument/2006/relationships/hyperlink" Target="https://sanitaerlernen.ch/0_Datenbank/1_Auftraege/3.Semester/3.10_Auftrag.pdf" TargetMode="External"/><Relationship Id="rId5" Type="http://schemas.openxmlformats.org/officeDocument/2006/relationships/hyperlink" Target="https://sanitaerlernen.ch/0_Datenbank/1_Auftraege/3.Semester/3.5_Auftrag.pdf" TargetMode="External"/><Relationship Id="rId10" Type="http://schemas.openxmlformats.org/officeDocument/2006/relationships/hyperlink" Target="https://sanitaerlernen.ch/0_Datenbank/1_Auftraege/3.Semester/3.8_Auftrag.pdf" TargetMode="External"/><Relationship Id="rId4" Type="http://schemas.openxmlformats.org/officeDocument/2006/relationships/hyperlink" Target="https://sanitaerlernen.ch/0_Datenbank/1_Auftraege/3.Semester/3.4_Auftrag.pdf" TargetMode="External"/><Relationship Id="rId9" Type="http://schemas.openxmlformats.org/officeDocument/2006/relationships/hyperlink" Target="https://sanitaerlernen.ch/0_Datenbank/1_Auftraege/3.Semester/3.6_Auftrag.pdf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8U02Do5pF0c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lTJPSzuzOUA" TargetMode="External"/><Relationship Id="rId5" Type="http://schemas.openxmlformats.org/officeDocument/2006/relationships/hyperlink" Target="https://www.youtube.com/watch?v=eHfscq1nShY" TargetMode="External"/><Relationship Id="rId4" Type="http://schemas.openxmlformats.org/officeDocument/2006/relationships/hyperlink" Target="https://www.youtube.com/watch?app=desktop&amp;v=TGYc-vGCHnY&amp;feature=youtu.be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eHfscq1nShY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BAK6AXltbkw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sanitaerlernen.ch/0_Datenbank/6_Lernziele/3.Semester/3.4_Lernziele.pdf" TargetMode="External"/><Relationship Id="rId4" Type="http://schemas.openxmlformats.org/officeDocument/2006/relationships/hyperlink" Target="https://www.youtube.com/watch?app=desktop&amp;v=TGYc-vGCHnY&amp;feature=youtu.be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eHfscq1nShY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MWtYgZ_CoYE" TargetMode="External"/><Relationship Id="rId4" Type="http://schemas.openxmlformats.org/officeDocument/2006/relationships/hyperlink" Target="https://www.youtube.com/watch?app=desktop&amp;v=TGYc-vGCHnY&amp;feature=youtu.be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eHfscq1nShY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SFnDeZSrvUU" TargetMode="External"/><Relationship Id="rId4" Type="http://schemas.openxmlformats.org/officeDocument/2006/relationships/hyperlink" Target="https://www.youtube.com/watch?app=desktop&amp;v=TGYc-vGCHnY&amp;feature=youtu.be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eHfscq1nShY" TargetMode="External"/><Relationship Id="rId7" Type="http://schemas.openxmlformats.org/officeDocument/2006/relationships/hyperlink" Target="https://bldsg-my.sharepoint.com/:b:/g/personal/marcel_item_gbssg_ch/EdYJ76vTF5xCipFOx9jEsSIBc3dQU2uZGbGLa9ou3d8cyg?e=nZ0RfR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SFnDeZSrvUU" TargetMode="External"/><Relationship Id="rId6" Type="http://schemas.openxmlformats.org/officeDocument/2006/relationships/image" Target="../media/image4.png"/><Relationship Id="rId5" Type="http://schemas.openxmlformats.org/officeDocument/2006/relationships/hyperlink" Target="https://sanitaerlernen.ch/0_Datenbank/6_Lernziele/3.Semester/3.1_Lernziele.pdf" TargetMode="External"/><Relationship Id="rId4" Type="http://schemas.openxmlformats.org/officeDocument/2006/relationships/hyperlink" Target="https://www.youtube.com/watch?app=desktop&amp;v=TGYc-vGCHnY&amp;feature=youtu.be" TargetMode="Externa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app=desktop&amp;v=TGYc-vGCHnY&amp;feature=youtu.be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eHfscq1nShY" TargetMode="External"/><Relationship Id="rId4" Type="http://schemas.openxmlformats.org/officeDocument/2006/relationships/hyperlink" Target="https://youtu.be/qHNT6U6kJao" TargetMode="Externa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youtu.be/4HqIarpROMU" TargetMode="Externa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youtu.be/4HqIarpROMU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3Zgx6FwQCZc&amp;list=PLLlESpyU2WvU8uo60w74UVxVZMaDhEwxd&amp;index=27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IeGKuOSGPWE" TargetMode="External"/><Relationship Id="rId4" Type="http://schemas.openxmlformats.org/officeDocument/2006/relationships/hyperlink" Target="https://youtu.be/cUnqrI9wMfk" TargetMode="Externa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youtu.be/1ItqLmdDP0Q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1ItqLmdDP0Q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6_Lernziele/3.Semester/3.2_1_Lernziele.pdf" TargetMode="External"/><Relationship Id="rId4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hyperlink" Target="https://sanitaerlernen.ch/0_Datenbank/6_Lernziele/3.Semester/3.6_Lernziele.pdf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1ItqLmdDP0Q" TargetMode="External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ERPh4axHyW0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ri_3W6FxdsM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ERPh4axHyW0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youtu.be/ri_3W6FxdsM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YUCF8RkQIPo" TargetMode="External"/><Relationship Id="rId2" Type="http://schemas.openxmlformats.org/officeDocument/2006/relationships/image" Target="../media/image3.png"/><Relationship Id="rId1" Type="http://schemas.openxmlformats.org/officeDocument/2006/relationships/hyperlink" Target="https://www.youtube.com/watch?v=Fvc9fwSlOuc" TargetMode="External"/><Relationship Id="rId5" Type="http://schemas.openxmlformats.org/officeDocument/2006/relationships/hyperlink" Target="https://www.youtube.com/watch?v=sbbNacIYfDc" TargetMode="External"/><Relationship Id="rId4" Type="http://schemas.openxmlformats.org/officeDocument/2006/relationships/hyperlink" Target="https://www.youtube.com/watch?v=wCx2PL_lafc" TargetMode="Externa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https://sanitaerlernen.ch/0_Datenbank/6_Lernziele/3.Semester/3.2_2_Lernziele.pdf" TargetMode="Externa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s://youtu.be/OhzLSZYEM1U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357189</xdr:colOff>
      <xdr:row>39</xdr:row>
      <xdr:rowOff>19050</xdr:rowOff>
    </xdr:from>
    <xdr:ext cx="4243386" cy="333375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A3533485-A75B-4997-97F8-90983581CBF5}"/>
            </a:ext>
          </a:extLst>
        </xdr:cNvPr>
        <xdr:cNvSpPr txBox="1"/>
      </xdr:nvSpPr>
      <xdr:spPr>
        <a:xfrm>
          <a:off x="11434764" y="9401175"/>
          <a:ext cx="4243386" cy="3333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CH" sz="700" b="0">
              <a:latin typeface="Century Gothic" panose="020B0502020202020204" pitchFamily="34" charset="0"/>
            </a:rPr>
            <a:t>Kanton St.Gallen</a:t>
          </a:r>
          <a:r>
            <a:rPr lang="de-CH" sz="700" b="0" baseline="0">
              <a:latin typeface="Century Gothic" panose="020B0502020202020204" pitchFamily="34" charset="0"/>
            </a:rPr>
            <a:t> </a:t>
          </a:r>
          <a:r>
            <a:rPr lang="de-CH" sz="700" b="0">
              <a:latin typeface="Century Gothic" panose="020B0502020202020204" pitchFamily="34" charset="0"/>
            </a:rPr>
            <a:t>Gewerbliches Berufs- und Weiterbildungszentrum</a:t>
          </a:r>
        </a:p>
      </xdr:txBody>
    </xdr:sp>
    <xdr:clientData/>
  </xdr:oneCellAnchor>
  <xdr:twoCellAnchor editAs="oneCell">
    <xdr:from>
      <xdr:col>4</xdr:col>
      <xdr:colOff>9526</xdr:colOff>
      <xdr:row>4</xdr:row>
      <xdr:rowOff>57151</xdr:rowOff>
    </xdr:from>
    <xdr:to>
      <xdr:col>4</xdr:col>
      <xdr:colOff>333376</xdr:colOff>
      <xdr:row>5</xdr:row>
      <xdr:rowOff>133351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C3E831-DA6A-43E1-A2D2-6350ECEE9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1" y="77152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9526</xdr:colOff>
      <xdr:row>4</xdr:row>
      <xdr:rowOff>57151</xdr:rowOff>
    </xdr:from>
    <xdr:to>
      <xdr:col>6</xdr:col>
      <xdr:colOff>333376</xdr:colOff>
      <xdr:row>5</xdr:row>
      <xdr:rowOff>133351</xdr:rowOff>
    </xdr:to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28C8A8E-9896-4AEB-8147-3CCC10A9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1" y="77152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19051</xdr:colOff>
      <xdr:row>13</xdr:row>
      <xdr:rowOff>57151</xdr:rowOff>
    </xdr:from>
    <xdr:to>
      <xdr:col>4</xdr:col>
      <xdr:colOff>342901</xdr:colOff>
      <xdr:row>14</xdr:row>
      <xdr:rowOff>133351</xdr:rowOff>
    </xdr:to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4A06DFC-8EA4-48C2-BE77-F1612B861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6" y="300037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6</xdr:col>
      <xdr:colOff>19051</xdr:colOff>
      <xdr:row>13</xdr:row>
      <xdr:rowOff>57151</xdr:rowOff>
    </xdr:from>
    <xdr:to>
      <xdr:col>6</xdr:col>
      <xdr:colOff>342901</xdr:colOff>
      <xdr:row>14</xdr:row>
      <xdr:rowOff>133351</xdr:rowOff>
    </xdr:to>
    <xdr:pic>
      <xdr:nvPicPr>
        <xdr:cNvPr id="6" name="Grafik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CE4B450-E8C8-4478-A5EA-74D6F152E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9576" y="300037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22</xdr:row>
      <xdr:rowOff>47625</xdr:rowOff>
    </xdr:from>
    <xdr:to>
      <xdr:col>4</xdr:col>
      <xdr:colOff>342900</xdr:colOff>
      <xdr:row>23</xdr:row>
      <xdr:rowOff>123825</xdr:rowOff>
    </xdr:to>
    <xdr:pic>
      <xdr:nvPicPr>
        <xdr:cNvPr id="7" name="Grafik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67B8DC7-0857-4511-A0C5-9EC443843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575" y="521970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31</xdr:row>
      <xdr:rowOff>47625</xdr:rowOff>
    </xdr:from>
    <xdr:to>
      <xdr:col>4</xdr:col>
      <xdr:colOff>333375</xdr:colOff>
      <xdr:row>32</xdr:row>
      <xdr:rowOff>123825</xdr:rowOff>
    </xdr:to>
    <xdr:pic>
      <xdr:nvPicPr>
        <xdr:cNvPr id="8" name="Grafik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42907529-CA34-439D-9865-B4D1E662A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5050" y="744855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8</xdr:col>
      <xdr:colOff>9526</xdr:colOff>
      <xdr:row>4</xdr:row>
      <xdr:rowOff>47626</xdr:rowOff>
    </xdr:from>
    <xdr:to>
      <xdr:col>8</xdr:col>
      <xdr:colOff>333376</xdr:colOff>
      <xdr:row>5</xdr:row>
      <xdr:rowOff>123826</xdr:rowOff>
    </xdr:to>
    <xdr:pic>
      <xdr:nvPicPr>
        <xdr:cNvPr id="9" name="Grafik 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2A3F0CC-6C0F-45CE-9B1D-6B9680BBF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1" y="762001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19051</xdr:colOff>
      <xdr:row>13</xdr:row>
      <xdr:rowOff>57151</xdr:rowOff>
    </xdr:from>
    <xdr:to>
      <xdr:col>8</xdr:col>
      <xdr:colOff>342901</xdr:colOff>
      <xdr:row>14</xdr:row>
      <xdr:rowOff>133351</xdr:rowOff>
    </xdr:to>
    <xdr:pic>
      <xdr:nvPicPr>
        <xdr:cNvPr id="10" name="Grafik 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E31D4C8-6DD4-4442-8B9B-42899DFAA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4576" y="3000376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22</xdr:row>
      <xdr:rowOff>47625</xdr:rowOff>
    </xdr:from>
    <xdr:to>
      <xdr:col>6</xdr:col>
      <xdr:colOff>333375</xdr:colOff>
      <xdr:row>23</xdr:row>
      <xdr:rowOff>123825</xdr:rowOff>
    </xdr:to>
    <xdr:pic>
      <xdr:nvPicPr>
        <xdr:cNvPr id="11" name="Grafik 1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2177218-F495-4205-BA36-17413C398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5219700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57150</xdr:rowOff>
    </xdr:from>
    <xdr:to>
      <xdr:col>7</xdr:col>
      <xdr:colOff>342900</xdr:colOff>
      <xdr:row>32</xdr:row>
      <xdr:rowOff>133350</xdr:rowOff>
    </xdr:to>
    <xdr:pic>
      <xdr:nvPicPr>
        <xdr:cNvPr id="12" name="Grafik 1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A280E1A-A53E-4FE5-9F52-ABDF396CF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5" y="7458075"/>
          <a:ext cx="323850" cy="323850"/>
        </a:xfrm>
        <a:prstGeom prst="rect">
          <a:avLst/>
        </a:prstGeom>
      </xdr:spPr>
    </xdr:pic>
    <xdr:clientData/>
  </xdr:twoCellAnchor>
  <xdr:twoCellAnchor editAs="oneCell">
    <xdr:from>
      <xdr:col>20</xdr:col>
      <xdr:colOff>638175</xdr:colOff>
      <xdr:row>4</xdr:row>
      <xdr:rowOff>85725</xdr:rowOff>
    </xdr:from>
    <xdr:to>
      <xdr:col>20</xdr:col>
      <xdr:colOff>966787</xdr:colOff>
      <xdr:row>5</xdr:row>
      <xdr:rowOff>161925</xdr:rowOff>
    </xdr:to>
    <xdr:pic>
      <xdr:nvPicPr>
        <xdr:cNvPr id="13" name="Grafik 12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EFE898AC-6648-4EA3-B609-C2D16A721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0825" y="800100"/>
          <a:ext cx="328612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340256</xdr:colOff>
      <xdr:row>5</xdr:row>
      <xdr:rowOff>35456</xdr:rowOff>
    </xdr:from>
    <xdr:to>
      <xdr:col>6</xdr:col>
      <xdr:colOff>693543</xdr:colOff>
      <xdr:row>6</xdr:row>
      <xdr:rowOff>179193</xdr:rowOff>
    </xdr:to>
    <xdr:pic>
      <xdr:nvPicPr>
        <xdr:cNvPr id="7" name="Grafik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9412DE-05F8-407F-98EB-C94F2B29B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0906" y="997481"/>
          <a:ext cx="353287" cy="343762"/>
        </a:xfrm>
        <a:prstGeom prst="rect">
          <a:avLst/>
        </a:prstGeom>
      </xdr:spPr>
    </xdr:pic>
    <xdr:clientData/>
  </xdr:twoCellAnchor>
  <xdr:twoCellAnchor editAs="oneCell">
    <xdr:from>
      <xdr:col>6</xdr:col>
      <xdr:colOff>340256</xdr:colOff>
      <xdr:row>8</xdr:row>
      <xdr:rowOff>25931</xdr:rowOff>
    </xdr:from>
    <xdr:to>
      <xdr:col>6</xdr:col>
      <xdr:colOff>693543</xdr:colOff>
      <xdr:row>9</xdr:row>
      <xdr:rowOff>169668</xdr:rowOff>
    </xdr:to>
    <xdr:pic>
      <xdr:nvPicPr>
        <xdr:cNvPr id="8" name="Grafik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4DA6D2-61EC-4A0F-8C0D-C6249C6AE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0906" y="1578506"/>
          <a:ext cx="353287" cy="343762"/>
        </a:xfrm>
        <a:prstGeom prst="rect">
          <a:avLst/>
        </a:prstGeom>
        <a:noFill/>
      </xdr:spPr>
    </xdr:pic>
    <xdr:clientData/>
  </xdr:twoCellAnchor>
  <xdr:oneCellAnchor>
    <xdr:from>
      <xdr:col>6</xdr:col>
      <xdr:colOff>359306</xdr:colOff>
      <xdr:row>26</xdr:row>
      <xdr:rowOff>44981</xdr:rowOff>
    </xdr:from>
    <xdr:ext cx="353287" cy="324712"/>
    <xdr:pic>
      <xdr:nvPicPr>
        <xdr:cNvPr id="9" name="Grafik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BEB5D3C-7960-44C7-9EE7-82CE7FB1A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9956" y="5150381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368831</xdr:colOff>
      <xdr:row>22</xdr:row>
      <xdr:rowOff>44981</xdr:rowOff>
    </xdr:from>
    <xdr:ext cx="353287" cy="324712"/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A64B69B-E795-4143-A9EF-63CE4D6F8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9481" y="4350281"/>
          <a:ext cx="353287" cy="324712"/>
        </a:xfrm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359306</xdr:colOff>
      <xdr:row>6</xdr:row>
      <xdr:rowOff>44981</xdr:rowOff>
    </xdr:from>
    <xdr:to>
      <xdr:col>6</xdr:col>
      <xdr:colOff>712593</xdr:colOff>
      <xdr:row>7</xdr:row>
      <xdr:rowOff>179193</xdr:rowOff>
    </xdr:to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6A53C1-78AC-4F50-9AAB-0523D4127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9956" y="1197506"/>
          <a:ext cx="353287" cy="334237"/>
        </a:xfrm>
        <a:prstGeom prst="rect">
          <a:avLst/>
        </a:prstGeom>
        <a:noFill/>
      </xdr:spPr>
    </xdr:pic>
    <xdr:clientData/>
  </xdr:twoCellAnchor>
  <xdr:oneCellAnchor>
    <xdr:from>
      <xdr:col>6</xdr:col>
      <xdr:colOff>390525</xdr:colOff>
      <xdr:row>21</xdr:row>
      <xdr:rowOff>190500</xdr:rowOff>
    </xdr:from>
    <xdr:ext cx="353287" cy="324712"/>
    <xdr:pic>
      <xdr:nvPicPr>
        <xdr:cNvPr id="5" name="Grafik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32A0F70-8519-4638-A980-285E5DDD4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305300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25</xdr:row>
      <xdr:rowOff>38100</xdr:rowOff>
    </xdr:from>
    <xdr:ext cx="353287" cy="324712"/>
    <xdr:pic>
      <xdr:nvPicPr>
        <xdr:cNvPr id="6" name="Grafik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75ED099-01B4-4EFC-8E6A-802A5D30E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943475"/>
          <a:ext cx="353287" cy="324712"/>
        </a:xfrm>
        <a:prstGeom prst="rect">
          <a:avLst/>
        </a:prstGeom>
        <a:noFill/>
      </xdr:spPr>
    </xdr:pic>
    <xdr:clientData/>
  </xdr:oneCellAnchor>
  <xdr:twoCellAnchor editAs="oneCell">
    <xdr:from>
      <xdr:col>6</xdr:col>
      <xdr:colOff>400050</xdr:colOff>
      <xdr:row>11</xdr:row>
      <xdr:rowOff>28575</xdr:rowOff>
    </xdr:from>
    <xdr:to>
      <xdr:col>6</xdr:col>
      <xdr:colOff>728243</xdr:colOff>
      <xdr:row>12</xdr:row>
      <xdr:rowOff>149051</xdr:rowOff>
    </xdr:to>
    <xdr:pic>
      <xdr:nvPicPr>
        <xdr:cNvPr id="2" name="Grafik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DCEEC43-23C3-43DA-8067-50E44ACF1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71700"/>
          <a:ext cx="328193" cy="3205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359306</xdr:colOff>
      <xdr:row>6</xdr:row>
      <xdr:rowOff>44981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6027DF-4634-4AD2-9AFB-A9BBCB5F0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1306" y="1187981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22</xdr:row>
      <xdr:rowOff>190500</xdr:rowOff>
    </xdr:from>
    <xdr:ext cx="353287" cy="324712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852F3E-C9A7-4A23-AB69-C42944850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191000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26</xdr:row>
      <xdr:rowOff>38100</xdr:rowOff>
    </xdr:from>
    <xdr:ext cx="353287" cy="324712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5174F8-FE4D-4EE1-A859-7855C46CC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2525" y="4800600"/>
          <a:ext cx="353287" cy="324712"/>
        </a:xfrm>
        <a:prstGeom prst="rect">
          <a:avLst/>
        </a:prstGeom>
        <a:noFill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359306</xdr:colOff>
      <xdr:row>6</xdr:row>
      <xdr:rowOff>44981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312599-E7D0-4356-A4F1-EC3669387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9956" y="1197506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21</xdr:row>
      <xdr:rowOff>190500</xdr:rowOff>
    </xdr:from>
    <xdr:ext cx="353287" cy="324712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BE5498B-DE4D-45A7-A417-B04A0E9C3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295775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25</xdr:row>
      <xdr:rowOff>38100</xdr:rowOff>
    </xdr:from>
    <xdr:ext cx="353287" cy="324712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4620EE-7F92-4DF0-A7D5-C25EA9FEC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933950"/>
          <a:ext cx="353287" cy="324712"/>
        </a:xfrm>
        <a:prstGeom prst="rect">
          <a:avLst/>
        </a:prstGeom>
        <a:noFill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359306</xdr:colOff>
      <xdr:row>6</xdr:row>
      <xdr:rowOff>44981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6AF343-FE95-47CE-B1F9-38B5D2810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9956" y="1197506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21</xdr:row>
      <xdr:rowOff>190500</xdr:rowOff>
    </xdr:from>
    <xdr:ext cx="353287" cy="324712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029D67-6ADA-4CF8-8E35-FF1D2CC9F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305300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24</xdr:row>
      <xdr:rowOff>19050</xdr:rowOff>
    </xdr:from>
    <xdr:ext cx="353287" cy="324712"/>
    <xdr:pic>
      <xdr:nvPicPr>
        <xdr:cNvPr id="4" name="Grafik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3C54490-8653-4FD6-A56D-2C9B7D6DF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175" y="4714875"/>
          <a:ext cx="353287" cy="324712"/>
        </a:xfrm>
        <a:prstGeom prst="rect">
          <a:avLst/>
        </a:prstGeom>
        <a:noFill/>
      </xdr:spPr>
    </xdr:pic>
    <xdr:clientData/>
  </xdr:oneCellAnchor>
  <xdr:twoCellAnchor editAs="oneCell">
    <xdr:from>
      <xdr:col>6</xdr:col>
      <xdr:colOff>409575</xdr:colOff>
      <xdr:row>28</xdr:row>
      <xdr:rowOff>38100</xdr:rowOff>
    </xdr:from>
    <xdr:to>
      <xdr:col>6</xdr:col>
      <xdr:colOff>737768</xdr:colOff>
      <xdr:row>29</xdr:row>
      <xdr:rowOff>158576</xdr:rowOff>
    </xdr:to>
    <xdr:pic>
      <xdr:nvPicPr>
        <xdr:cNvPr id="5" name="Grafik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4664B77-DFCE-4A2A-9E2E-A8190A700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0225" y="5524500"/>
          <a:ext cx="328193" cy="320501"/>
        </a:xfrm>
        <a:prstGeom prst="rect">
          <a:avLst/>
        </a:prstGeom>
      </xdr:spPr>
    </xdr:pic>
    <xdr:clientData/>
  </xdr:twoCellAnchor>
  <xdr:twoCellAnchor editAs="oneCell">
    <xdr:from>
      <xdr:col>6</xdr:col>
      <xdr:colOff>400050</xdr:colOff>
      <xdr:row>11</xdr:row>
      <xdr:rowOff>38100</xdr:rowOff>
    </xdr:from>
    <xdr:to>
      <xdr:col>6</xdr:col>
      <xdr:colOff>728243</xdr:colOff>
      <xdr:row>12</xdr:row>
      <xdr:rowOff>158576</xdr:rowOff>
    </xdr:to>
    <xdr:pic>
      <xdr:nvPicPr>
        <xdr:cNvPr id="6" name="Grafik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FF05C59-3ABB-434E-80FA-84BA78DE0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71700"/>
          <a:ext cx="328193" cy="3205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390525</xdr:colOff>
      <xdr:row>21</xdr:row>
      <xdr:rowOff>190500</xdr:rowOff>
    </xdr:from>
    <xdr:ext cx="353287" cy="324712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6EE493-DBE6-45BA-9CAE-2ED206A23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888" y="4133850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390525</xdr:colOff>
      <xdr:row>24</xdr:row>
      <xdr:rowOff>19050</xdr:rowOff>
    </xdr:from>
    <xdr:ext cx="353287" cy="324712"/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1972DCD-3F92-45ED-8F9A-75CACFFE0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57888" y="4514850"/>
          <a:ext cx="353287" cy="324712"/>
        </a:xfrm>
        <a:prstGeom prst="rect">
          <a:avLst/>
        </a:prstGeom>
        <a:noFill/>
      </xdr:spPr>
    </xdr:pic>
    <xdr:clientData/>
  </xdr:oneCellAnchor>
  <xdr:oneCellAnchor>
    <xdr:from>
      <xdr:col>6</xdr:col>
      <xdr:colOff>361950</xdr:colOff>
      <xdr:row>6</xdr:row>
      <xdr:rowOff>47625</xdr:rowOff>
    </xdr:from>
    <xdr:ext cx="353287" cy="334237"/>
    <xdr:pic>
      <xdr:nvPicPr>
        <xdr:cNvPr id="12" name="Grafik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80FE192-72E9-47D5-BFD2-BB3B21ADB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20015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316444</xdr:colOff>
      <xdr:row>23</xdr:row>
      <xdr:rowOff>54506</xdr:rowOff>
    </xdr:from>
    <xdr:ext cx="353287" cy="334237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9ED78C-40BC-4160-A70B-C1440F22D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7094" y="4559831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342900</xdr:colOff>
      <xdr:row>23</xdr:row>
      <xdr:rowOff>38100</xdr:rowOff>
    </xdr:from>
    <xdr:ext cx="353287" cy="334237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A12F7C-C502-4DAD-8635-AA8541F0B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3550" y="456247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342900</xdr:colOff>
      <xdr:row>23</xdr:row>
      <xdr:rowOff>38100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46A1BA-5FC1-45AF-B3E8-0707E3FD0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3550" y="45624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349781</xdr:colOff>
      <xdr:row>5</xdr:row>
      <xdr:rowOff>35456</xdr:rowOff>
    </xdr:from>
    <xdr:ext cx="353287" cy="334237"/>
    <xdr:pic>
      <xdr:nvPicPr>
        <xdr:cNvPr id="6" name="Grafik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DC045DF-4EFB-4FA3-91A3-94721A128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0431" y="10084331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349781</xdr:colOff>
      <xdr:row>7</xdr:row>
      <xdr:rowOff>102131</xdr:rowOff>
    </xdr:from>
    <xdr:ext cx="353287" cy="334237"/>
    <xdr:pic>
      <xdr:nvPicPr>
        <xdr:cNvPr id="7" name="Grafik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66CF608-678B-41F0-B076-341E17F8F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0431" y="10541531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359306</xdr:colOff>
      <xdr:row>6</xdr:row>
      <xdr:rowOff>44981</xdr:rowOff>
    </xdr:from>
    <xdr:ext cx="353287" cy="334237"/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72AB9E-6D58-495D-9E36-37B27785F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9956" y="10303406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28</xdr:row>
      <xdr:rowOff>38100</xdr:rowOff>
    </xdr:from>
    <xdr:to>
      <xdr:col>6</xdr:col>
      <xdr:colOff>699668</xdr:colOff>
      <xdr:row>29</xdr:row>
      <xdr:rowOff>158576</xdr:rowOff>
    </xdr:to>
    <xdr:pic>
      <xdr:nvPicPr>
        <xdr:cNvPr id="4" name="Grafik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7B8A0E-5EDA-45DC-AEB0-3D02E457B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5562600"/>
          <a:ext cx="328193" cy="320501"/>
        </a:xfrm>
        <a:prstGeom prst="rect">
          <a:avLst/>
        </a:prstGeom>
      </xdr:spPr>
    </xdr:pic>
    <xdr:clientData/>
  </xdr:twoCellAnchor>
  <xdr:oneCellAnchor>
    <xdr:from>
      <xdr:col>6</xdr:col>
      <xdr:colOff>361950</xdr:colOff>
      <xdr:row>6</xdr:row>
      <xdr:rowOff>47625</xdr:rowOff>
    </xdr:from>
    <xdr:ext cx="353287" cy="334237"/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DC3CE7-4661-4FFD-B40C-104DD4C96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0696575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352425</xdr:colOff>
      <xdr:row>6</xdr:row>
      <xdr:rowOff>47625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6623EE-F5A9-4A61-B589-9B7758903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1200150"/>
          <a:ext cx="353287" cy="334237"/>
        </a:xfrm>
        <a:prstGeom prst="rect">
          <a:avLst/>
        </a:prstGeom>
        <a:noFill/>
      </xdr:spPr>
    </xdr:pic>
    <xdr:clientData/>
  </xdr:oneCellAnchor>
  <xdr:twoCellAnchor editAs="oneCell">
    <xdr:from>
      <xdr:col>6</xdr:col>
      <xdr:colOff>371475</xdr:colOff>
      <xdr:row>12</xdr:row>
      <xdr:rowOff>38100</xdr:rowOff>
    </xdr:from>
    <xdr:to>
      <xdr:col>6</xdr:col>
      <xdr:colOff>699668</xdr:colOff>
      <xdr:row>13</xdr:row>
      <xdr:rowOff>158576</xdr:rowOff>
    </xdr:to>
    <xdr:pic>
      <xdr:nvPicPr>
        <xdr:cNvPr id="3" name="Grafik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816F7B-09BC-4BC2-86A8-B2F70959A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5553075"/>
          <a:ext cx="328193" cy="3205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371475</xdr:colOff>
      <xdr:row>4</xdr:row>
      <xdr:rowOff>142875</xdr:rowOff>
    </xdr:from>
    <xdr:ext cx="353287" cy="334237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8864D1-ADBF-4516-890C-79B9463BE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9048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371475</xdr:colOff>
      <xdr:row>7</xdr:row>
      <xdr:rowOff>171450</xdr:rowOff>
    </xdr:from>
    <xdr:ext cx="353287" cy="334237"/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3A27D1-434B-4BDD-B486-9A336333A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1323975"/>
          <a:ext cx="353287" cy="334237"/>
        </a:xfrm>
        <a:prstGeom prst="rect">
          <a:avLst/>
        </a:prstGeom>
        <a:solidFill>
          <a:schemeClr val="bg1"/>
        </a:solidFill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4</xdr:row>
      <xdr:rowOff>142875</xdr:rowOff>
    </xdr:from>
    <xdr:ext cx="353287" cy="334237"/>
    <xdr:pic>
      <xdr:nvPicPr>
        <xdr:cNvPr id="6" name="Grafik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0B8DF1-B8A5-473F-BB4D-594881752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9048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381000</xdr:colOff>
      <xdr:row>7</xdr:row>
      <xdr:rowOff>171450</xdr:rowOff>
    </xdr:from>
    <xdr:ext cx="353287" cy="334237"/>
    <xdr:pic>
      <xdr:nvPicPr>
        <xdr:cNvPr id="7" name="Grafik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5BB277-B481-4CEC-B384-7465DB5A8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1323975"/>
          <a:ext cx="353287" cy="334237"/>
        </a:xfrm>
        <a:prstGeom prst="rect">
          <a:avLst/>
        </a:prstGeom>
        <a:solidFill>
          <a:schemeClr val="bg1"/>
        </a:solidFill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5</xdr:row>
      <xdr:rowOff>66675</xdr:rowOff>
    </xdr:from>
    <xdr:ext cx="353287" cy="334237"/>
    <xdr:pic>
      <xdr:nvPicPr>
        <xdr:cNvPr id="3" name="Grafik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5E2CC1-BA8D-48CF-BB90-DBAE2BB97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102870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581025</xdr:colOff>
      <xdr:row>5</xdr:row>
      <xdr:rowOff>57150</xdr:rowOff>
    </xdr:from>
    <xdr:ext cx="353287" cy="334237"/>
    <xdr:pic>
      <xdr:nvPicPr>
        <xdr:cNvPr id="4" name="Grafik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95A064-C244-4CE4-9EC4-45B2B412A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1675" y="1019175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95250</xdr:colOff>
      <xdr:row>7</xdr:row>
      <xdr:rowOff>66675</xdr:rowOff>
    </xdr:from>
    <xdr:ext cx="353287" cy="334237"/>
    <xdr:pic>
      <xdr:nvPicPr>
        <xdr:cNvPr id="5" name="Grafik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073AF2-FB45-4C3C-A2A9-6CEC9378C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5900" y="1428750"/>
          <a:ext cx="353287" cy="334237"/>
        </a:xfrm>
        <a:prstGeom prst="rect">
          <a:avLst/>
        </a:prstGeom>
        <a:noFill/>
      </xdr:spPr>
    </xdr:pic>
    <xdr:clientData/>
  </xdr:oneCellAnchor>
  <xdr:oneCellAnchor>
    <xdr:from>
      <xdr:col>6</xdr:col>
      <xdr:colOff>571500</xdr:colOff>
      <xdr:row>7</xdr:row>
      <xdr:rowOff>66675</xdr:rowOff>
    </xdr:from>
    <xdr:ext cx="353287" cy="334237"/>
    <xdr:pic>
      <xdr:nvPicPr>
        <xdr:cNvPr id="6" name="Grafik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D97513E-C3C6-4EF2-A549-C2895C8C6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2150" y="1428750"/>
          <a:ext cx="353287" cy="334237"/>
        </a:xfrm>
        <a:prstGeom prst="rect">
          <a:avLst/>
        </a:prstGeom>
        <a:noFill/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400050</xdr:colOff>
      <xdr:row>28</xdr:row>
      <xdr:rowOff>28575</xdr:rowOff>
    </xdr:from>
    <xdr:to>
      <xdr:col>6</xdr:col>
      <xdr:colOff>728243</xdr:colOff>
      <xdr:row>29</xdr:row>
      <xdr:rowOff>149051</xdr:rowOff>
    </xdr:to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037260-5FCE-4E78-A0B4-8D3158783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0700" y="2171700"/>
          <a:ext cx="328193" cy="320501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352425</xdr:colOff>
      <xdr:row>5</xdr:row>
      <xdr:rowOff>47625</xdr:rowOff>
    </xdr:from>
    <xdr:ext cx="353287" cy="334237"/>
    <xdr:pic>
      <xdr:nvPicPr>
        <xdr:cNvPr id="2" name="Grafik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3BD8F4-5FF4-4972-8F5E-CC21E84AF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3075" y="1009650"/>
          <a:ext cx="353287" cy="334237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C6950-45EC-4DF3-B3CC-3632719368DF}">
  <sheetPr codeName="Tabelle1"/>
  <dimension ref="A1:U57"/>
  <sheetViews>
    <sheetView tabSelected="1" showWhiteSpace="0" zoomScaleNormal="100" workbookViewId="0">
      <selection activeCell="N26" sqref="N26:O26"/>
    </sheetView>
  </sheetViews>
  <sheetFormatPr baseColWidth="10" defaultColWidth="11.42578125" defaultRowHeight="15" customHeight="1" x14ac:dyDescent="0.3"/>
  <cols>
    <col min="1" max="1" width="3.28515625" style="1" customWidth="1"/>
    <col min="2" max="2" width="8.28515625" style="1" customWidth="1"/>
    <col min="3" max="3" width="9.85546875" style="1" customWidth="1"/>
    <col min="4" max="4" width="10.7109375" style="1" customWidth="1"/>
    <col min="5" max="10" width="13.28515625" style="1" customWidth="1"/>
    <col min="11" max="11" width="11.42578125" style="1" customWidth="1"/>
    <col min="12" max="12" width="2.28515625" style="1" customWidth="1"/>
    <col min="13" max="13" width="13.28515625" style="1" customWidth="1"/>
    <col min="14" max="14" width="4.85546875" style="1" customWidth="1"/>
    <col min="15" max="15" width="6.7109375" style="1" customWidth="1"/>
    <col min="16" max="16" width="2.28515625" style="1" customWidth="1"/>
    <col min="17" max="17" width="10.28515625" style="12" customWidth="1"/>
    <col min="18" max="20" width="8.28515625" style="33" customWidth="1"/>
    <col min="21" max="21" width="15" style="33" customWidth="1"/>
    <col min="22" max="16384" width="11.42578125" style="1"/>
  </cols>
  <sheetData>
    <row r="1" spans="1:21" ht="28.35" customHeight="1" thickBot="1" x14ac:dyDescent="0.35">
      <c r="B1" s="22" t="s">
        <v>0</v>
      </c>
      <c r="C1" s="23"/>
      <c r="D1" s="23"/>
      <c r="E1" s="23"/>
      <c r="F1" s="23"/>
      <c r="G1" s="23"/>
      <c r="H1" s="23"/>
      <c r="I1" s="24" t="s">
        <v>1</v>
      </c>
      <c r="J1" s="25">
        <v>45516</v>
      </c>
      <c r="K1" s="24" t="s">
        <v>2</v>
      </c>
      <c r="L1" s="26" t="s">
        <v>224</v>
      </c>
      <c r="M1" s="26"/>
      <c r="N1" s="26"/>
      <c r="O1" s="27"/>
      <c r="P1" s="23"/>
      <c r="Q1" s="158"/>
      <c r="R1" s="159"/>
      <c r="S1" s="159"/>
      <c r="T1" s="159"/>
      <c r="U1" s="32" t="s">
        <v>223</v>
      </c>
    </row>
    <row r="2" spans="1:21" ht="5.0999999999999996" customHeight="1" thickBot="1" x14ac:dyDescent="0.35">
      <c r="C2" s="5"/>
      <c r="D2"/>
      <c r="E2"/>
      <c r="F2"/>
      <c r="G2"/>
      <c r="H2" s="11"/>
      <c r="I2" s="11"/>
      <c r="J2" s="11"/>
      <c r="K2" s="11"/>
    </row>
    <row r="3" spans="1:21" ht="19.5" customHeight="1" thickBot="1" x14ac:dyDescent="0.35">
      <c r="B3" s="160" t="s">
        <v>3</v>
      </c>
      <c r="C3" s="161"/>
      <c r="D3" s="161"/>
      <c r="E3" s="161"/>
      <c r="F3" s="161"/>
      <c r="G3" s="161"/>
      <c r="H3" s="162"/>
      <c r="I3" s="162"/>
      <c r="J3" s="162"/>
      <c r="K3" s="163"/>
      <c r="L3" s="7"/>
      <c r="M3" s="107" t="s">
        <v>4</v>
      </c>
      <c r="N3" s="108"/>
      <c r="O3" s="109"/>
      <c r="P3" s="7"/>
      <c r="Q3" s="18" t="s">
        <v>5</v>
      </c>
      <c r="R3" s="19"/>
      <c r="S3" s="19"/>
      <c r="T3" s="19"/>
      <c r="U3" s="34"/>
    </row>
    <row r="4" spans="1:21" ht="5.0999999999999996" customHeight="1" thickBot="1" x14ac:dyDescent="0.35">
      <c r="C4" s="2"/>
      <c r="D4" s="2"/>
      <c r="E4" s="2"/>
      <c r="F4" s="2"/>
      <c r="G4" s="2"/>
      <c r="H4" s="2"/>
      <c r="I4" s="2"/>
      <c r="J4" s="2"/>
      <c r="K4" s="2"/>
      <c r="M4" s="110"/>
      <c r="N4" s="110"/>
      <c r="O4" s="110"/>
      <c r="Q4" s="14"/>
      <c r="R4" s="35"/>
      <c r="S4" s="35"/>
      <c r="T4" s="36"/>
    </row>
    <row r="5" spans="1:21" ht="20.100000000000001" customHeight="1" x14ac:dyDescent="0.3">
      <c r="B5" s="164" t="s">
        <v>6</v>
      </c>
      <c r="C5" s="165"/>
      <c r="D5" s="166"/>
      <c r="E5" s="170" t="s">
        <v>7</v>
      </c>
      <c r="F5" s="171"/>
      <c r="G5" s="170" t="s">
        <v>8</v>
      </c>
      <c r="H5" s="171"/>
      <c r="I5" s="170" t="s">
        <v>9</v>
      </c>
      <c r="J5" s="171"/>
      <c r="K5" s="8"/>
      <c r="M5" s="124" t="s">
        <v>33</v>
      </c>
      <c r="N5" s="125"/>
      <c r="O5" s="126"/>
      <c r="Q5" s="65">
        <f>J1+0</f>
        <v>45516</v>
      </c>
      <c r="R5" s="172" t="s">
        <v>95</v>
      </c>
      <c r="S5" s="172"/>
      <c r="T5" s="172"/>
      <c r="U5" s="173"/>
    </row>
    <row r="6" spans="1:21" ht="20.100000000000001" customHeight="1" thickBot="1" x14ac:dyDescent="0.35">
      <c r="B6" s="167"/>
      <c r="C6" s="168"/>
      <c r="D6" s="169"/>
      <c r="E6" s="174" t="s">
        <v>55</v>
      </c>
      <c r="F6" s="175"/>
      <c r="G6" s="174" t="s">
        <v>54</v>
      </c>
      <c r="H6" s="176"/>
      <c r="I6" s="174" t="s">
        <v>149</v>
      </c>
      <c r="J6" s="176"/>
      <c r="K6" s="13"/>
      <c r="M6" s="127" t="s">
        <v>265</v>
      </c>
      <c r="N6" s="128"/>
      <c r="O6" s="129"/>
      <c r="Q6" s="64" t="s">
        <v>56</v>
      </c>
      <c r="R6" s="177" t="s">
        <v>99</v>
      </c>
      <c r="S6" s="177"/>
      <c r="T6" s="177"/>
      <c r="U6" s="178"/>
    </row>
    <row r="7" spans="1:21" ht="20.100000000000001" customHeight="1" x14ac:dyDescent="0.3">
      <c r="B7" s="179" t="s">
        <v>10</v>
      </c>
      <c r="C7" s="180"/>
      <c r="D7" s="181"/>
      <c r="E7" s="188" t="s">
        <v>11</v>
      </c>
      <c r="F7" s="192" t="s">
        <v>12</v>
      </c>
      <c r="G7" s="195" t="s">
        <v>84</v>
      </c>
      <c r="H7" s="196"/>
      <c r="I7" s="195" t="s">
        <v>13</v>
      </c>
      <c r="J7" s="192" t="s">
        <v>14</v>
      </c>
      <c r="K7" s="13"/>
      <c r="L7" s="9"/>
      <c r="M7" s="130"/>
      <c r="N7" s="131"/>
      <c r="O7" s="132"/>
      <c r="Q7" s="20">
        <f>Q5+7</f>
        <v>45523</v>
      </c>
      <c r="R7" s="172" t="s">
        <v>68</v>
      </c>
      <c r="S7" s="172"/>
      <c r="T7" s="172"/>
      <c r="U7" s="173"/>
    </row>
    <row r="8" spans="1:21" ht="20.100000000000001" customHeight="1" thickBot="1" x14ac:dyDescent="0.35">
      <c r="B8" s="182"/>
      <c r="C8" s="183"/>
      <c r="D8" s="184"/>
      <c r="E8" s="189"/>
      <c r="F8" s="193"/>
      <c r="G8" s="197"/>
      <c r="H8" s="198"/>
      <c r="I8" s="201"/>
      <c r="J8" s="203"/>
      <c r="K8" s="13"/>
      <c r="L8" s="9"/>
      <c r="M8" s="130"/>
      <c r="N8" s="131"/>
      <c r="O8" s="132"/>
      <c r="Q8" s="21" t="s">
        <v>59</v>
      </c>
      <c r="R8" s="177" t="s">
        <v>99</v>
      </c>
      <c r="S8" s="177"/>
      <c r="T8" s="177"/>
      <c r="U8" s="178"/>
    </row>
    <row r="9" spans="1:21" ht="20.100000000000001" customHeight="1" x14ac:dyDescent="0.3">
      <c r="B9" s="182"/>
      <c r="C9" s="183"/>
      <c r="D9" s="184"/>
      <c r="E9" s="189"/>
      <c r="F9" s="193"/>
      <c r="G9" s="197"/>
      <c r="H9" s="198"/>
      <c r="I9" s="201"/>
      <c r="J9" s="203"/>
      <c r="K9" s="13"/>
      <c r="L9" s="9"/>
      <c r="M9" s="133"/>
      <c r="N9" s="134"/>
      <c r="O9" s="135"/>
      <c r="Q9" s="20">
        <f>Q7+7</f>
        <v>45530</v>
      </c>
      <c r="R9" s="172" t="s">
        <v>68</v>
      </c>
      <c r="S9" s="172"/>
      <c r="T9" s="172"/>
      <c r="U9" s="173"/>
    </row>
    <row r="10" spans="1:21" ht="20.100000000000001" customHeight="1" thickBot="1" x14ac:dyDescent="0.35">
      <c r="A10" s="6"/>
      <c r="B10" s="182"/>
      <c r="C10" s="183"/>
      <c r="D10" s="184"/>
      <c r="E10" s="190"/>
      <c r="F10" s="193"/>
      <c r="G10" s="197"/>
      <c r="H10" s="198"/>
      <c r="I10" s="201"/>
      <c r="J10" s="203"/>
      <c r="K10" s="13"/>
      <c r="L10" s="9"/>
      <c r="M10" s="133"/>
      <c r="N10" s="134"/>
      <c r="O10" s="135"/>
      <c r="Q10" s="21" t="s">
        <v>59</v>
      </c>
      <c r="R10" s="177" t="s">
        <v>99</v>
      </c>
      <c r="S10" s="177"/>
      <c r="T10" s="177"/>
      <c r="U10" s="178"/>
    </row>
    <row r="11" spans="1:21" ht="20.100000000000001" customHeight="1" x14ac:dyDescent="0.3">
      <c r="A11" s="6"/>
      <c r="B11" s="182"/>
      <c r="C11" s="183"/>
      <c r="D11" s="184"/>
      <c r="E11" s="190"/>
      <c r="F11" s="193"/>
      <c r="G11" s="197"/>
      <c r="H11" s="198"/>
      <c r="I11" s="201"/>
      <c r="J11" s="203"/>
      <c r="K11" s="13"/>
      <c r="L11" s="9"/>
      <c r="M11" s="133"/>
      <c r="N11" s="134"/>
      <c r="O11" s="135"/>
      <c r="Q11" s="65">
        <f>Q9+7</f>
        <v>45537</v>
      </c>
      <c r="R11" s="172" t="s">
        <v>68</v>
      </c>
      <c r="S11" s="172"/>
      <c r="T11" s="172"/>
      <c r="U11" s="173"/>
    </row>
    <row r="12" spans="1:21" ht="20.100000000000001" customHeight="1" thickBot="1" x14ac:dyDescent="0.35">
      <c r="B12" s="185"/>
      <c r="C12" s="186"/>
      <c r="D12" s="187"/>
      <c r="E12" s="191"/>
      <c r="F12" s="194"/>
      <c r="G12" s="199"/>
      <c r="H12" s="200"/>
      <c r="I12" s="202"/>
      <c r="J12" s="204"/>
      <c r="K12" s="13" t="s">
        <v>53</v>
      </c>
      <c r="L12" s="9"/>
      <c r="M12" s="136"/>
      <c r="N12" s="137"/>
      <c r="O12" s="138"/>
      <c r="Q12" s="21" t="s">
        <v>59</v>
      </c>
      <c r="R12" s="177" t="s">
        <v>99</v>
      </c>
      <c r="S12" s="177"/>
      <c r="T12" s="177"/>
      <c r="U12" s="178"/>
    </row>
    <row r="13" spans="1:21" ht="19.5" customHeight="1" thickBot="1" x14ac:dyDescent="0.35">
      <c r="C13" s="3"/>
      <c r="D13" s="4"/>
      <c r="E13" s="219"/>
      <c r="F13" s="219"/>
      <c r="G13" s="220"/>
      <c r="H13" s="221"/>
      <c r="I13" s="221"/>
      <c r="J13" s="45"/>
      <c r="K13" s="14"/>
      <c r="Q13" s="65">
        <f>Q11+7</f>
        <v>45544</v>
      </c>
      <c r="R13" s="172" t="s">
        <v>68</v>
      </c>
      <c r="S13" s="172"/>
      <c r="T13" s="172"/>
      <c r="U13" s="173"/>
    </row>
    <row r="14" spans="1:21" ht="20.100000000000001" customHeight="1" thickBot="1" x14ac:dyDescent="0.35">
      <c r="B14" s="222" t="s">
        <v>15</v>
      </c>
      <c r="C14" s="223"/>
      <c r="D14" s="224"/>
      <c r="E14" s="228" t="s">
        <v>16</v>
      </c>
      <c r="F14" s="229"/>
      <c r="G14" s="228" t="s">
        <v>17</v>
      </c>
      <c r="H14" s="229"/>
      <c r="I14" s="228" t="s">
        <v>18</v>
      </c>
      <c r="J14" s="229"/>
      <c r="K14"/>
      <c r="L14" s="7"/>
      <c r="M14" s="139" t="s">
        <v>266</v>
      </c>
      <c r="N14" s="140"/>
      <c r="O14" s="141"/>
      <c r="Q14" s="21" t="s">
        <v>59</v>
      </c>
      <c r="R14" s="177" t="s">
        <v>99</v>
      </c>
      <c r="S14" s="177"/>
      <c r="T14" s="177"/>
      <c r="U14" s="178"/>
    </row>
    <row r="15" spans="1:21" ht="20.100000000000001" customHeight="1" x14ac:dyDescent="0.3">
      <c r="B15" s="225"/>
      <c r="C15" s="226"/>
      <c r="D15" s="227"/>
      <c r="E15" s="232" t="s">
        <v>57</v>
      </c>
      <c r="F15" s="233"/>
      <c r="G15" s="232" t="s">
        <v>58</v>
      </c>
      <c r="H15" s="233"/>
      <c r="I15" s="232" t="s">
        <v>58</v>
      </c>
      <c r="J15" s="233"/>
      <c r="K15"/>
      <c r="M15" s="142" t="s">
        <v>267</v>
      </c>
      <c r="N15" s="143"/>
      <c r="O15" s="144"/>
      <c r="Q15" s="65">
        <f>Q13+7</f>
        <v>45551</v>
      </c>
      <c r="R15" s="230" t="s">
        <v>70</v>
      </c>
      <c r="S15" s="230"/>
      <c r="T15" s="230"/>
      <c r="U15" s="231"/>
    </row>
    <row r="16" spans="1:21" ht="20.100000000000001" customHeight="1" thickBot="1" x14ac:dyDescent="0.35">
      <c r="B16" s="205" t="s">
        <v>19</v>
      </c>
      <c r="C16" s="206"/>
      <c r="D16" s="207"/>
      <c r="E16" s="211" t="s">
        <v>85</v>
      </c>
      <c r="F16" s="214" t="s">
        <v>86</v>
      </c>
      <c r="G16" s="211" t="s">
        <v>22</v>
      </c>
      <c r="H16" s="214" t="s">
        <v>23</v>
      </c>
      <c r="I16" s="211" t="s">
        <v>24</v>
      </c>
      <c r="J16" s="214" t="s">
        <v>25</v>
      </c>
      <c r="K16"/>
      <c r="M16" s="145"/>
      <c r="N16" s="143"/>
      <c r="O16" s="144"/>
      <c r="Q16" s="64" t="s">
        <v>219</v>
      </c>
      <c r="R16" s="177" t="s">
        <v>99</v>
      </c>
      <c r="S16" s="177"/>
      <c r="T16" s="177"/>
      <c r="U16" s="178"/>
    </row>
    <row r="17" spans="2:21" ht="20.100000000000001" customHeight="1" thickBot="1" x14ac:dyDescent="0.35">
      <c r="B17" s="208"/>
      <c r="C17" s="209"/>
      <c r="D17" s="210"/>
      <c r="E17" s="212"/>
      <c r="F17" s="215"/>
      <c r="G17" s="212"/>
      <c r="H17" s="215"/>
      <c r="I17" s="212"/>
      <c r="J17" s="215"/>
      <c r="K17"/>
      <c r="M17" s="146"/>
      <c r="N17" s="147"/>
      <c r="O17" s="148"/>
      <c r="Q17" s="20">
        <f>Q15+7</f>
        <v>45558</v>
      </c>
      <c r="R17" s="230" t="s">
        <v>70</v>
      </c>
      <c r="S17" s="230"/>
      <c r="T17" s="230"/>
      <c r="U17" s="231"/>
    </row>
    <row r="18" spans="2:21" ht="20.100000000000001" customHeight="1" thickBot="1" x14ac:dyDescent="0.35">
      <c r="B18" s="208"/>
      <c r="C18" s="209"/>
      <c r="D18" s="210"/>
      <c r="E18" s="212"/>
      <c r="F18" s="215"/>
      <c r="G18" s="217"/>
      <c r="H18" s="218"/>
      <c r="I18" s="217"/>
      <c r="J18" s="218"/>
      <c r="K18"/>
      <c r="L18"/>
      <c r="Q18" s="21" t="s">
        <v>220</v>
      </c>
      <c r="R18" s="177" t="s">
        <v>66</v>
      </c>
      <c r="S18" s="177"/>
      <c r="T18" s="177"/>
      <c r="U18" s="178"/>
    </row>
    <row r="19" spans="2:21" ht="20.100000000000001" customHeight="1" x14ac:dyDescent="0.3">
      <c r="B19" s="208" t="s">
        <v>26</v>
      </c>
      <c r="C19" s="209"/>
      <c r="D19" s="210"/>
      <c r="E19" s="212"/>
      <c r="F19" s="215"/>
      <c r="G19" s="244" t="s">
        <v>27</v>
      </c>
      <c r="H19" s="214" t="s">
        <v>28</v>
      </c>
      <c r="I19" s="244" t="s">
        <v>29</v>
      </c>
      <c r="J19" s="214" t="s">
        <v>52</v>
      </c>
      <c r="K19"/>
      <c r="M19" s="149" t="s">
        <v>268</v>
      </c>
      <c r="N19" s="150"/>
      <c r="O19" s="151"/>
      <c r="Q19" s="20">
        <f>Q17+28</f>
        <v>45586</v>
      </c>
      <c r="R19" s="230" t="s">
        <v>70</v>
      </c>
      <c r="S19" s="230"/>
      <c r="T19" s="230"/>
      <c r="U19" s="231"/>
    </row>
    <row r="20" spans="2:21" ht="20.100000000000001" customHeight="1" thickBot="1" x14ac:dyDescent="0.35">
      <c r="B20" s="208"/>
      <c r="C20" s="209"/>
      <c r="D20" s="210"/>
      <c r="E20" s="212"/>
      <c r="F20" s="215"/>
      <c r="G20" s="245"/>
      <c r="H20" s="215"/>
      <c r="I20" s="245"/>
      <c r="J20" s="215"/>
      <c r="K20"/>
      <c r="M20" s="111" t="s">
        <v>64</v>
      </c>
      <c r="N20" s="152">
        <v>3</v>
      </c>
      <c r="O20" s="153"/>
      <c r="Q20" s="21" t="s">
        <v>220</v>
      </c>
      <c r="R20" s="177" t="s">
        <v>66</v>
      </c>
      <c r="S20" s="177"/>
      <c r="T20" s="177"/>
      <c r="U20" s="178"/>
    </row>
    <row r="21" spans="2:21" ht="20.100000000000001" customHeight="1" thickBot="1" x14ac:dyDescent="0.35">
      <c r="B21" s="241"/>
      <c r="C21" s="242"/>
      <c r="D21" s="243"/>
      <c r="E21" s="213"/>
      <c r="F21" s="216"/>
      <c r="G21" s="246"/>
      <c r="H21" s="216"/>
      <c r="I21" s="246"/>
      <c r="J21" s="216"/>
      <c r="K21"/>
      <c r="M21" s="112" t="s">
        <v>8</v>
      </c>
      <c r="N21" s="154">
        <v>3</v>
      </c>
      <c r="O21" s="155"/>
      <c r="Q21" s="20">
        <f>Q19+7</f>
        <v>45593</v>
      </c>
      <c r="R21" s="172" t="s">
        <v>69</v>
      </c>
      <c r="S21" s="172"/>
      <c r="T21" s="172"/>
      <c r="U21" s="173"/>
    </row>
    <row r="22" spans="2:21" ht="19.5" customHeight="1" thickBot="1" x14ac:dyDescent="0.35">
      <c r="M22" s="112" t="s">
        <v>9</v>
      </c>
      <c r="N22" s="154">
        <v>2</v>
      </c>
      <c r="O22" s="155"/>
      <c r="Q22" s="21" t="s">
        <v>148</v>
      </c>
      <c r="R22" s="177" t="s">
        <v>65</v>
      </c>
      <c r="S22" s="177"/>
      <c r="T22" s="177"/>
      <c r="U22" s="178"/>
    </row>
    <row r="23" spans="2:21" ht="20.100000000000001" customHeight="1" thickBot="1" x14ac:dyDescent="0.35">
      <c r="B23" s="222" t="s">
        <v>15</v>
      </c>
      <c r="C23" s="234"/>
      <c r="D23" s="235"/>
      <c r="E23" s="228" t="s">
        <v>30</v>
      </c>
      <c r="F23" s="229"/>
      <c r="G23" s="239" t="s">
        <v>31</v>
      </c>
      <c r="H23" s="240"/>
      <c r="J23" s="40"/>
      <c r="K23" s="40"/>
      <c r="L23" s="7"/>
      <c r="M23" s="113" t="s">
        <v>269</v>
      </c>
      <c r="N23" s="156">
        <f>SUM(N20:O22)</f>
        <v>8</v>
      </c>
      <c r="O23" s="157"/>
      <c r="Q23" s="20">
        <f>Q21+7</f>
        <v>45600</v>
      </c>
      <c r="R23" s="172" t="s">
        <v>69</v>
      </c>
      <c r="S23" s="172"/>
      <c r="T23" s="172"/>
      <c r="U23" s="173"/>
    </row>
    <row r="24" spans="2:21" ht="20.100000000000001" customHeight="1" thickBot="1" x14ac:dyDescent="0.35">
      <c r="B24" s="236"/>
      <c r="C24" s="237"/>
      <c r="D24" s="238"/>
      <c r="E24" s="232" t="s">
        <v>61</v>
      </c>
      <c r="F24" s="247"/>
      <c r="G24" s="232" t="s">
        <v>62</v>
      </c>
      <c r="H24" s="233"/>
      <c r="J24" s="13"/>
      <c r="K24" s="13"/>
      <c r="Q24" s="21" t="s">
        <v>148</v>
      </c>
      <c r="R24" s="177" t="s">
        <v>65</v>
      </c>
      <c r="S24" s="177"/>
      <c r="T24" s="177"/>
      <c r="U24" s="178"/>
    </row>
    <row r="25" spans="2:21" s="7" customFormat="1" ht="20.100000000000001" customHeight="1" x14ac:dyDescent="0.3">
      <c r="B25" s="205" t="s">
        <v>19</v>
      </c>
      <c r="C25" s="248"/>
      <c r="D25" s="249"/>
      <c r="E25" s="211" t="s">
        <v>20</v>
      </c>
      <c r="F25" s="214" t="s">
        <v>21</v>
      </c>
      <c r="G25" s="256" t="s">
        <v>32</v>
      </c>
      <c r="H25" s="257"/>
      <c r="K25" s="13"/>
      <c r="L25" s="10"/>
      <c r="M25" s="114" t="s">
        <v>270</v>
      </c>
      <c r="N25" s="115"/>
      <c r="O25" s="116"/>
      <c r="Q25" s="20">
        <f>Q23+7</f>
        <v>45607</v>
      </c>
      <c r="R25" s="172" t="s">
        <v>69</v>
      </c>
      <c r="S25" s="172"/>
      <c r="T25" s="172"/>
      <c r="U25" s="173"/>
    </row>
    <row r="26" spans="2:21" s="7" customFormat="1" ht="20.100000000000001" customHeight="1" thickBot="1" x14ac:dyDescent="0.35">
      <c r="B26" s="250"/>
      <c r="C26" s="251"/>
      <c r="D26" s="252"/>
      <c r="E26" s="253"/>
      <c r="F26" s="215"/>
      <c r="G26" s="258"/>
      <c r="H26" s="259"/>
      <c r="J26" s="84"/>
      <c r="K26" s="13"/>
      <c r="L26" s="10"/>
      <c r="M26" s="117" t="s">
        <v>16</v>
      </c>
      <c r="N26" s="271"/>
      <c r="O26" s="272"/>
      <c r="Q26" s="21" t="s">
        <v>148</v>
      </c>
      <c r="R26" s="177" t="s">
        <v>65</v>
      </c>
      <c r="S26" s="177"/>
      <c r="T26" s="177"/>
      <c r="U26" s="178"/>
    </row>
    <row r="27" spans="2:21" s="7" customFormat="1" ht="20.100000000000001" customHeight="1" x14ac:dyDescent="0.3">
      <c r="B27" s="250"/>
      <c r="C27" s="251"/>
      <c r="D27" s="252"/>
      <c r="E27" s="253"/>
      <c r="F27" s="215"/>
      <c r="G27" s="260"/>
      <c r="H27" s="261"/>
      <c r="J27" s="85"/>
      <c r="K27" s="13"/>
      <c r="L27" s="10"/>
      <c r="M27" s="118" t="s">
        <v>17</v>
      </c>
      <c r="N27" s="273"/>
      <c r="O27" s="274"/>
      <c r="Q27" s="20">
        <f>Q25+7</f>
        <v>45614</v>
      </c>
      <c r="R27" s="172" t="s">
        <v>69</v>
      </c>
      <c r="S27" s="172"/>
      <c r="T27" s="172"/>
      <c r="U27" s="173"/>
    </row>
    <row r="28" spans="2:21" s="7" customFormat="1" ht="20.100000000000001" customHeight="1" thickBot="1" x14ac:dyDescent="0.35">
      <c r="B28" s="208" t="s">
        <v>26</v>
      </c>
      <c r="C28" s="251"/>
      <c r="D28" s="252"/>
      <c r="E28" s="254"/>
      <c r="F28" s="215"/>
      <c r="G28" s="260"/>
      <c r="H28" s="261"/>
      <c r="J28" s="86"/>
      <c r="K28" s="13"/>
      <c r="L28" s="10"/>
      <c r="M28" s="118" t="s">
        <v>18</v>
      </c>
      <c r="N28" s="273"/>
      <c r="O28" s="274"/>
      <c r="Q28" s="21" t="s">
        <v>148</v>
      </c>
      <c r="R28" s="177" t="s">
        <v>65</v>
      </c>
      <c r="S28" s="177"/>
      <c r="T28" s="177"/>
      <c r="U28" s="178"/>
    </row>
    <row r="29" spans="2:21" s="7" customFormat="1" ht="20.100000000000001" customHeight="1" x14ac:dyDescent="0.3">
      <c r="B29" s="250"/>
      <c r="C29" s="251"/>
      <c r="D29" s="252"/>
      <c r="E29" s="254"/>
      <c r="F29" s="215"/>
      <c r="G29" s="260"/>
      <c r="H29" s="261"/>
      <c r="J29" s="13"/>
      <c r="K29" s="13"/>
      <c r="L29" s="10"/>
      <c r="M29" s="118" t="s">
        <v>30</v>
      </c>
      <c r="N29" s="273"/>
      <c r="O29" s="274"/>
      <c r="Q29" s="20">
        <f>Q27+7</f>
        <v>45621</v>
      </c>
      <c r="R29" s="230" t="s">
        <v>71</v>
      </c>
      <c r="S29" s="230"/>
      <c r="T29" s="230"/>
      <c r="U29" s="231"/>
    </row>
    <row r="30" spans="2:21" s="7" customFormat="1" ht="20.100000000000001" customHeight="1" thickBot="1" x14ac:dyDescent="0.35">
      <c r="B30" s="268"/>
      <c r="C30" s="269"/>
      <c r="D30" s="270"/>
      <c r="E30" s="255"/>
      <c r="F30" s="216"/>
      <c r="G30" s="262"/>
      <c r="H30" s="263"/>
      <c r="J30" s="13"/>
      <c r="K30" s="13"/>
      <c r="L30" s="10"/>
      <c r="M30" s="119" t="s">
        <v>31</v>
      </c>
      <c r="N30" s="275"/>
      <c r="O30" s="276"/>
      <c r="Q30" s="21" t="s">
        <v>60</v>
      </c>
      <c r="R30" s="177" t="s">
        <v>65</v>
      </c>
      <c r="S30" s="177"/>
      <c r="T30" s="177"/>
      <c r="U30" s="178"/>
    </row>
    <row r="31" spans="2:21" s="7" customFormat="1" ht="19.5" customHeight="1" thickBot="1" x14ac:dyDescent="0.35">
      <c r="M31" s="120" t="s">
        <v>269</v>
      </c>
      <c r="N31" s="122">
        <f>SUM(N26:O30)</f>
        <v>0</v>
      </c>
      <c r="O31" s="123"/>
      <c r="Q31" s="20">
        <f>Q29+7</f>
        <v>45628</v>
      </c>
      <c r="R31" s="230" t="s">
        <v>71</v>
      </c>
      <c r="S31" s="230"/>
      <c r="T31" s="230"/>
      <c r="U31" s="231"/>
    </row>
    <row r="32" spans="2:21" s="7" customFormat="1" ht="20.100000000000001" customHeight="1" thickBot="1" x14ac:dyDescent="0.35">
      <c r="B32" s="222" t="s">
        <v>34</v>
      </c>
      <c r="C32" s="234"/>
      <c r="D32" s="235"/>
      <c r="E32" s="228" t="s">
        <v>50</v>
      </c>
      <c r="F32" s="264"/>
      <c r="G32" s="229"/>
      <c r="H32" s="228" t="s">
        <v>35</v>
      </c>
      <c r="I32" s="264"/>
      <c r="J32" s="229"/>
      <c r="K32" s="40"/>
      <c r="L32"/>
      <c r="M32" s="121"/>
      <c r="N32" s="121"/>
      <c r="O32" s="121"/>
      <c r="Q32" s="21" t="s">
        <v>221</v>
      </c>
      <c r="R32" s="177" t="s">
        <v>65</v>
      </c>
      <c r="S32" s="177"/>
      <c r="T32" s="177"/>
      <c r="U32" s="178"/>
    </row>
    <row r="33" spans="2:21" ht="20.100000000000001" customHeight="1" x14ac:dyDescent="0.3">
      <c r="B33" s="236"/>
      <c r="C33" s="237"/>
      <c r="D33" s="238"/>
      <c r="E33" s="265" t="s">
        <v>63</v>
      </c>
      <c r="F33" s="266"/>
      <c r="G33" s="267"/>
      <c r="H33" s="265" t="s">
        <v>63</v>
      </c>
      <c r="I33" s="266"/>
      <c r="J33" s="267"/>
      <c r="K33" s="13"/>
      <c r="L33" s="16"/>
      <c r="M33" s="121"/>
      <c r="N33" s="121"/>
      <c r="O33" s="121"/>
      <c r="Q33" s="20">
        <f>Q31+7</f>
        <v>45635</v>
      </c>
      <c r="R33" s="230" t="s">
        <v>187</v>
      </c>
      <c r="S33" s="230"/>
      <c r="T33" s="230"/>
      <c r="U33" s="231"/>
    </row>
    <row r="34" spans="2:21" ht="20.100000000000001" customHeight="1" thickBot="1" x14ac:dyDescent="0.35">
      <c r="B34" s="280" t="s">
        <v>36</v>
      </c>
      <c r="C34" s="281"/>
      <c r="D34" s="282"/>
      <c r="E34" s="293" t="s">
        <v>37</v>
      </c>
      <c r="F34" s="296" t="s">
        <v>38</v>
      </c>
      <c r="G34" s="300" t="s">
        <v>51</v>
      </c>
      <c r="H34" s="303" t="s">
        <v>48</v>
      </c>
      <c r="I34" s="304" t="s">
        <v>49</v>
      </c>
      <c r="J34" s="286" t="s">
        <v>41</v>
      </c>
      <c r="K34" s="13"/>
      <c r="L34" s="17"/>
      <c r="M34" s="121"/>
      <c r="N34" s="121"/>
      <c r="O34" s="121"/>
      <c r="Q34" s="21" t="s">
        <v>82</v>
      </c>
      <c r="R34" s="177" t="s">
        <v>65</v>
      </c>
      <c r="S34" s="177"/>
      <c r="T34" s="177"/>
      <c r="U34" s="178"/>
    </row>
    <row r="35" spans="2:21" ht="20.100000000000001" customHeight="1" x14ac:dyDescent="0.3">
      <c r="B35" s="287"/>
      <c r="C35" s="281"/>
      <c r="D35" s="282"/>
      <c r="E35" s="294"/>
      <c r="F35" s="297"/>
      <c r="G35" s="301"/>
      <c r="H35" s="291"/>
      <c r="I35" s="298"/>
      <c r="J35" s="278"/>
      <c r="K35" s="13"/>
      <c r="L35" s="17"/>
      <c r="M35" s="121"/>
      <c r="N35" s="121"/>
      <c r="O35" s="121"/>
      <c r="Q35" s="20">
        <f>Q33+21</f>
        <v>45656</v>
      </c>
      <c r="R35" s="230" t="s">
        <v>187</v>
      </c>
      <c r="S35" s="230"/>
      <c r="T35" s="230"/>
      <c r="U35" s="231"/>
    </row>
    <row r="36" spans="2:21" ht="20.100000000000001" customHeight="1" thickBot="1" x14ac:dyDescent="0.35">
      <c r="B36" s="280" t="s">
        <v>42</v>
      </c>
      <c r="C36" s="281"/>
      <c r="D36" s="282"/>
      <c r="E36" s="295"/>
      <c r="F36" s="297"/>
      <c r="G36" s="301"/>
      <c r="H36" s="291"/>
      <c r="I36" s="298"/>
      <c r="J36" s="278"/>
      <c r="K36" s="13"/>
      <c r="L36" s="17"/>
      <c r="M36" s="121"/>
      <c r="N36" s="121"/>
      <c r="O36" s="121"/>
      <c r="Q36" s="21" t="s">
        <v>82</v>
      </c>
      <c r="R36" s="177" t="s">
        <v>65</v>
      </c>
      <c r="S36" s="177"/>
      <c r="T36" s="177"/>
      <c r="U36" s="178"/>
    </row>
    <row r="37" spans="2:21" ht="20.100000000000001" customHeight="1" x14ac:dyDescent="0.3">
      <c r="B37" s="287"/>
      <c r="C37" s="281"/>
      <c r="D37" s="282"/>
      <c r="E37" s="288" t="s">
        <v>43</v>
      </c>
      <c r="F37" s="298"/>
      <c r="G37" s="301"/>
      <c r="H37" s="290" t="s">
        <v>39</v>
      </c>
      <c r="I37" s="305" t="s">
        <v>40</v>
      </c>
      <c r="J37" s="277" t="s">
        <v>44</v>
      </c>
      <c r="K37" s="13"/>
      <c r="L37" s="17"/>
      <c r="M37" s="121"/>
      <c r="N37" s="121"/>
      <c r="O37" s="121"/>
      <c r="Q37" s="20">
        <f>Q35+7</f>
        <v>45663</v>
      </c>
      <c r="R37" s="230" t="s">
        <v>72</v>
      </c>
      <c r="S37" s="230"/>
      <c r="T37" s="230"/>
      <c r="U37" s="231"/>
    </row>
    <row r="38" spans="2:21" ht="20.100000000000001" customHeight="1" thickBot="1" x14ac:dyDescent="0.35">
      <c r="B38" s="280" t="s">
        <v>45</v>
      </c>
      <c r="C38" s="281"/>
      <c r="D38" s="282"/>
      <c r="E38" s="288"/>
      <c r="F38" s="298"/>
      <c r="G38" s="301"/>
      <c r="H38" s="291"/>
      <c r="I38" s="298"/>
      <c r="J38" s="278"/>
      <c r="K38" s="13"/>
      <c r="L38" s="17"/>
      <c r="M38" s="121"/>
      <c r="N38" s="121"/>
      <c r="O38" s="121"/>
      <c r="Q38" s="21" t="s">
        <v>83</v>
      </c>
      <c r="R38" s="177" t="s">
        <v>65</v>
      </c>
      <c r="S38" s="177"/>
      <c r="T38" s="177"/>
      <c r="U38" s="178"/>
    </row>
    <row r="39" spans="2:21" ht="20.100000000000001" customHeight="1" thickBot="1" x14ac:dyDescent="0.35">
      <c r="B39" s="283"/>
      <c r="C39" s="284"/>
      <c r="D39" s="285"/>
      <c r="E39" s="289"/>
      <c r="F39" s="299"/>
      <c r="G39" s="302"/>
      <c r="H39" s="292"/>
      <c r="I39" s="299"/>
      <c r="J39" s="279"/>
      <c r="K39" s="13"/>
      <c r="L39"/>
      <c r="M39" s="13"/>
      <c r="N39" s="13"/>
      <c r="O39" s="13"/>
      <c r="Q39" s="41">
        <f>Q37+7</f>
        <v>45670</v>
      </c>
      <c r="R39" s="42" t="s">
        <v>73</v>
      </c>
      <c r="S39" s="43"/>
      <c r="T39" s="43"/>
      <c r="U39" s="44"/>
    </row>
    <row r="40" spans="2:21" ht="5.0999999999999996" customHeight="1" thickBot="1" x14ac:dyDescent="0.35"/>
    <row r="41" spans="2:21" s="15" customFormat="1" ht="12.6" customHeight="1" thickBot="1" x14ac:dyDescent="0.3">
      <c r="B41" s="28" t="s">
        <v>46</v>
      </c>
      <c r="C41" s="29"/>
      <c r="D41" s="29"/>
      <c r="E41" s="29"/>
      <c r="F41" s="29"/>
      <c r="G41" s="30"/>
      <c r="H41" s="29"/>
      <c r="I41" s="29"/>
      <c r="J41" s="31"/>
      <c r="K41" s="29" t="s">
        <v>47</v>
      </c>
      <c r="L41" s="30"/>
      <c r="M41" s="29"/>
      <c r="N41" s="29"/>
      <c r="O41" s="29"/>
      <c r="P41" s="29"/>
      <c r="Q41" s="31"/>
      <c r="R41" s="30"/>
      <c r="S41" s="30"/>
      <c r="T41" s="30"/>
      <c r="U41" s="37"/>
    </row>
    <row r="42" spans="2:21" s="7" customFormat="1" ht="20.100000000000001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 s="13"/>
      <c r="R42" s="38"/>
      <c r="S42" s="38"/>
      <c r="T42" s="38"/>
      <c r="U42" s="39"/>
    </row>
    <row r="43" spans="2:21" s="7" customFormat="1" ht="20.100000000000001" customHeight="1" x14ac:dyDescent="0.25">
      <c r="B43"/>
      <c r="C43"/>
      <c r="D43"/>
      <c r="E43"/>
      <c r="F43"/>
      <c r="G43"/>
      <c r="H43"/>
      <c r="J43"/>
      <c r="K43"/>
      <c r="L43"/>
      <c r="M43"/>
      <c r="N43"/>
      <c r="O43"/>
      <c r="P43"/>
      <c r="Q43" s="13"/>
      <c r="R43" s="38"/>
      <c r="S43" s="38"/>
      <c r="T43" s="38"/>
      <c r="U43" s="39"/>
    </row>
    <row r="44" spans="2:21" ht="15" customHeight="1" x14ac:dyDescent="0.3">
      <c r="U44" s="1"/>
    </row>
    <row r="45" spans="2:21" ht="15" customHeight="1" x14ac:dyDescent="0.3">
      <c r="K45" s="12"/>
      <c r="L45" s="33"/>
      <c r="M45" s="33"/>
      <c r="N45" s="33"/>
      <c r="O45" s="33"/>
      <c r="Q45" s="1"/>
      <c r="R45" s="1"/>
      <c r="S45" s="1"/>
      <c r="T45" s="1"/>
      <c r="U45" s="1"/>
    </row>
    <row r="46" spans="2:21" ht="15" customHeight="1" x14ac:dyDescent="0.3">
      <c r="K46" s="12"/>
      <c r="L46" s="33"/>
      <c r="M46" s="33"/>
      <c r="N46" s="33"/>
      <c r="O46" s="33"/>
      <c r="Q46" s="1"/>
      <c r="R46" s="1"/>
      <c r="S46" s="1"/>
      <c r="T46" s="1"/>
      <c r="U46" s="1"/>
    </row>
    <row r="47" spans="2:21" ht="15" customHeight="1" x14ac:dyDescent="0.3">
      <c r="K47" s="12"/>
      <c r="L47" s="33"/>
      <c r="M47" s="33"/>
      <c r="N47" s="33"/>
      <c r="O47" s="33"/>
      <c r="Q47" s="1"/>
      <c r="R47" s="1"/>
      <c r="S47" s="1"/>
      <c r="T47" s="1"/>
      <c r="U47" s="1"/>
    </row>
    <row r="48" spans="2:21" ht="15" customHeight="1" x14ac:dyDescent="0.3">
      <c r="K48" s="12"/>
      <c r="L48" s="33"/>
      <c r="M48" s="33"/>
      <c r="N48" s="33"/>
      <c r="O48" s="33"/>
      <c r="Q48" s="1"/>
      <c r="R48" s="1"/>
      <c r="S48" s="1"/>
      <c r="T48" s="1"/>
      <c r="U48" s="1"/>
    </row>
    <row r="49" spans="11:21" ht="15" customHeight="1" x14ac:dyDescent="0.3">
      <c r="K49" s="12"/>
      <c r="L49" s="33"/>
      <c r="M49" s="33"/>
      <c r="N49" s="33"/>
      <c r="O49" s="33"/>
      <c r="Q49" s="1"/>
      <c r="R49" s="1"/>
      <c r="S49" s="1"/>
      <c r="T49" s="1"/>
      <c r="U49" s="1"/>
    </row>
    <row r="50" spans="11:21" ht="15" customHeight="1" x14ac:dyDescent="0.3">
      <c r="K50" s="12"/>
      <c r="L50" s="33"/>
      <c r="M50" s="33"/>
      <c r="N50" s="33"/>
      <c r="O50" s="33"/>
      <c r="Q50" s="1"/>
      <c r="R50" s="1"/>
      <c r="S50" s="1"/>
      <c r="T50" s="1"/>
      <c r="U50" s="1"/>
    </row>
    <row r="51" spans="11:21" ht="15" customHeight="1" x14ac:dyDescent="0.3">
      <c r="K51" s="12"/>
      <c r="L51" s="33"/>
      <c r="M51" s="33"/>
      <c r="N51" s="33"/>
      <c r="O51" s="33"/>
      <c r="Q51" s="1"/>
      <c r="R51" s="1"/>
      <c r="S51" s="1"/>
      <c r="T51" s="1"/>
      <c r="U51" s="1"/>
    </row>
    <row r="52" spans="11:21" ht="15" customHeight="1" x14ac:dyDescent="0.3">
      <c r="K52" s="12"/>
      <c r="L52" s="33"/>
      <c r="M52" s="33"/>
      <c r="N52" s="33"/>
      <c r="O52" s="33"/>
      <c r="Q52" s="1"/>
      <c r="R52" s="1"/>
      <c r="S52" s="1"/>
      <c r="T52" s="1"/>
      <c r="U52" s="1"/>
    </row>
    <row r="53" spans="11:21" ht="15" customHeight="1" x14ac:dyDescent="0.3">
      <c r="K53" s="12"/>
      <c r="L53" s="33"/>
      <c r="M53" s="33"/>
      <c r="N53" s="33"/>
      <c r="O53" s="33"/>
      <c r="Q53" s="1"/>
      <c r="R53" s="1"/>
      <c r="S53" s="1"/>
      <c r="T53" s="1"/>
      <c r="U53" s="1"/>
    </row>
    <row r="54" spans="11:21" ht="15" customHeight="1" x14ac:dyDescent="0.3">
      <c r="K54" s="12"/>
      <c r="L54" s="33"/>
      <c r="M54" s="33"/>
      <c r="N54" s="33"/>
      <c r="O54" s="33"/>
      <c r="Q54" s="1"/>
      <c r="R54" s="1"/>
      <c r="S54" s="1"/>
      <c r="T54" s="1"/>
      <c r="U54" s="1"/>
    </row>
    <row r="55" spans="11:21" ht="15" customHeight="1" x14ac:dyDescent="0.3">
      <c r="K55" s="12"/>
      <c r="L55" s="33"/>
      <c r="M55" s="33"/>
      <c r="N55" s="33"/>
      <c r="O55" s="33"/>
      <c r="Q55" s="1"/>
      <c r="R55" s="7"/>
      <c r="S55" s="7"/>
      <c r="T55" s="1"/>
      <c r="U55" s="1"/>
    </row>
    <row r="56" spans="11:21" ht="15" customHeight="1" x14ac:dyDescent="0.3">
      <c r="K56" s="12"/>
      <c r="L56" s="33"/>
      <c r="M56" s="33"/>
      <c r="N56" s="33"/>
      <c r="O56" s="33"/>
      <c r="Q56" s="1"/>
      <c r="R56" s="7"/>
      <c r="S56" s="7"/>
      <c r="T56" s="1"/>
      <c r="U56" s="1"/>
    </row>
    <row r="57" spans="11:21" ht="15" customHeight="1" x14ac:dyDescent="0.3">
      <c r="K57" s="12"/>
      <c r="L57" s="33"/>
      <c r="M57" s="33"/>
      <c r="N57" s="33"/>
      <c r="O57" s="33"/>
      <c r="Q57" s="1"/>
      <c r="R57" s="7"/>
      <c r="S57" s="7"/>
      <c r="T57" s="1"/>
      <c r="U57" s="1"/>
    </row>
  </sheetData>
  <mergeCells count="115">
    <mergeCell ref="J37:J39"/>
    <mergeCell ref="R37:U37"/>
    <mergeCell ref="B38:D39"/>
    <mergeCell ref="R38:U38"/>
    <mergeCell ref="J34:J36"/>
    <mergeCell ref="R34:U34"/>
    <mergeCell ref="R35:U35"/>
    <mergeCell ref="B36:D37"/>
    <mergeCell ref="R36:U36"/>
    <mergeCell ref="E37:E39"/>
    <mergeCell ref="H37:H39"/>
    <mergeCell ref="B34:D35"/>
    <mergeCell ref="E34:E36"/>
    <mergeCell ref="F34:F39"/>
    <mergeCell ref="G34:G39"/>
    <mergeCell ref="H34:H36"/>
    <mergeCell ref="I34:I36"/>
    <mergeCell ref="I37:I39"/>
    <mergeCell ref="B25:D27"/>
    <mergeCell ref="E25:E30"/>
    <mergeCell ref="F25:F30"/>
    <mergeCell ref="G25:H30"/>
    <mergeCell ref="R25:U25"/>
    <mergeCell ref="R26:U26"/>
    <mergeCell ref="B32:D33"/>
    <mergeCell ref="E32:G32"/>
    <mergeCell ref="H32:J32"/>
    <mergeCell ref="R32:U32"/>
    <mergeCell ref="E33:G33"/>
    <mergeCell ref="H33:J33"/>
    <mergeCell ref="R33:U33"/>
    <mergeCell ref="R27:U27"/>
    <mergeCell ref="B28:D30"/>
    <mergeCell ref="R28:U28"/>
    <mergeCell ref="R29:U29"/>
    <mergeCell ref="R30:U30"/>
    <mergeCell ref="R31:U31"/>
    <mergeCell ref="N26:O26"/>
    <mergeCell ref="N27:O27"/>
    <mergeCell ref="N28:O28"/>
    <mergeCell ref="N29:O29"/>
    <mergeCell ref="N30:O30"/>
    <mergeCell ref="R21:U21"/>
    <mergeCell ref="R22:U22"/>
    <mergeCell ref="B23:D24"/>
    <mergeCell ref="E23:F23"/>
    <mergeCell ref="G23:H23"/>
    <mergeCell ref="R23:U23"/>
    <mergeCell ref="B19:D21"/>
    <mergeCell ref="G19:G21"/>
    <mergeCell ref="H19:H21"/>
    <mergeCell ref="I19:I21"/>
    <mergeCell ref="J19:J21"/>
    <mergeCell ref="E24:F24"/>
    <mergeCell ref="G24:H24"/>
    <mergeCell ref="R24:U24"/>
    <mergeCell ref="B16:D18"/>
    <mergeCell ref="E16:E21"/>
    <mergeCell ref="F16:F21"/>
    <mergeCell ref="G16:G18"/>
    <mergeCell ref="H16:H18"/>
    <mergeCell ref="E13:G13"/>
    <mergeCell ref="H13:I13"/>
    <mergeCell ref="R13:U13"/>
    <mergeCell ref="B14:D15"/>
    <mergeCell ref="E14:F14"/>
    <mergeCell ref="G14:H14"/>
    <mergeCell ref="I14:J14"/>
    <mergeCell ref="R14:U14"/>
    <mergeCell ref="I16:I18"/>
    <mergeCell ref="J16:J18"/>
    <mergeCell ref="R16:U16"/>
    <mergeCell ref="R17:U17"/>
    <mergeCell ref="R18:U18"/>
    <mergeCell ref="E15:F15"/>
    <mergeCell ref="G15:H15"/>
    <mergeCell ref="I15:J15"/>
    <mergeCell ref="R15:U15"/>
    <mergeCell ref="R19:U19"/>
    <mergeCell ref="R20:U20"/>
    <mergeCell ref="B7:D12"/>
    <mergeCell ref="E7:E12"/>
    <mergeCell ref="F7:F12"/>
    <mergeCell ref="G7:H12"/>
    <mergeCell ref="I7:I12"/>
    <mergeCell ref="J7:J12"/>
    <mergeCell ref="R7:U7"/>
    <mergeCell ref="R8:U8"/>
    <mergeCell ref="R9:U9"/>
    <mergeCell ref="R10:U10"/>
    <mergeCell ref="R11:U11"/>
    <mergeCell ref="R12:U12"/>
    <mergeCell ref="Q1:T1"/>
    <mergeCell ref="B3:G3"/>
    <mergeCell ref="H3:I3"/>
    <mergeCell ref="J3:K3"/>
    <mergeCell ref="B5:D6"/>
    <mergeCell ref="E5:F5"/>
    <mergeCell ref="G5:H5"/>
    <mergeCell ref="I5:J5"/>
    <mergeCell ref="R5:U5"/>
    <mergeCell ref="E6:F6"/>
    <mergeCell ref="G6:H6"/>
    <mergeCell ref="I6:J6"/>
    <mergeCell ref="R6:U6"/>
    <mergeCell ref="N31:O31"/>
    <mergeCell ref="M5:O5"/>
    <mergeCell ref="M6:O12"/>
    <mergeCell ref="M14:O14"/>
    <mergeCell ref="M15:O17"/>
    <mergeCell ref="M19:O19"/>
    <mergeCell ref="N20:O20"/>
    <mergeCell ref="N21:O21"/>
    <mergeCell ref="N22:O22"/>
    <mergeCell ref="N23:O23"/>
  </mergeCells>
  <conditionalFormatting sqref="R5:U38 Q6:Q38">
    <cfRule type="expression" dxfId="4" priority="21">
      <formula>$Q$7=$M$38</formula>
    </cfRule>
    <cfRule type="expression" dxfId="3" priority="22">
      <formula>$Q$7=$M$37</formula>
    </cfRule>
    <cfRule type="expression" dxfId="2" priority="23">
      <formula>$Q$7=$M$36</formula>
    </cfRule>
    <cfRule type="expression" dxfId="1" priority="24">
      <formula>$Q$7=$M$35</formula>
    </cfRule>
    <cfRule type="expression" dxfId="0" priority="25">
      <formula>$Q$7=$M$34</formula>
    </cfRule>
  </conditionalFormatting>
  <pageMargins left="0.23622047244094491" right="0.23622047244094491" top="0.31496062992125984" bottom="0.74803149606299213" header="0.31496062992125984" footer="0.31496062992125984"/>
  <pageSetup paperSize="8" orientation="landscape" r:id="rId1"/>
  <headerFooter>
    <oddHeader xml:space="preserve">&amp;L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5CC2-0540-4FE4-B4D2-363E016D0F38}">
  <dimension ref="B1:L110"/>
  <sheetViews>
    <sheetView topLeftCell="A81" zoomScaleNormal="100" workbookViewId="0">
      <selection activeCell="P83" sqref="P83"/>
    </sheetView>
  </sheetViews>
  <sheetFormatPr baseColWidth="10" defaultColWidth="11.42578125" defaultRowHeight="15" x14ac:dyDescent="0.25"/>
  <cols>
    <col min="1" max="1" width="2.85546875" customWidth="1"/>
    <col min="2" max="2" width="14.85546875" customWidth="1"/>
    <col min="3" max="5" width="16.28515625" customWidth="1"/>
    <col min="6" max="6" width="27.140625" customWidth="1"/>
    <col min="7" max="7" width="2.85546875" customWidth="1"/>
  </cols>
  <sheetData>
    <row r="1" spans="2:6" x14ac:dyDescent="0.25">
      <c r="B1" s="322" t="s">
        <v>252</v>
      </c>
      <c r="C1" s="323"/>
      <c r="D1" s="323"/>
      <c r="E1" s="324"/>
      <c r="F1" s="325"/>
    </row>
    <row r="2" spans="2:6" x14ac:dyDescent="0.25">
      <c r="B2" s="326"/>
      <c r="C2" s="327"/>
      <c r="D2" s="327"/>
      <c r="E2" s="328"/>
      <c r="F2" s="329"/>
    </row>
    <row r="3" spans="2:6" ht="12.75" customHeight="1" x14ac:dyDescent="0.25">
      <c r="C3" s="103"/>
      <c r="D3" s="103"/>
      <c r="E3" s="103"/>
      <c r="F3" s="103"/>
    </row>
    <row r="4" spans="2:6" x14ac:dyDescent="0.25">
      <c r="B4" s="317" t="s">
        <v>7</v>
      </c>
      <c r="C4" s="306" t="s">
        <v>263</v>
      </c>
      <c r="D4" s="307"/>
      <c r="E4" s="307"/>
      <c r="F4" s="308"/>
    </row>
    <row r="5" spans="2:6" ht="15.75" customHeight="1" x14ac:dyDescent="0.25">
      <c r="B5" s="318"/>
      <c r="C5" s="309"/>
      <c r="D5" s="310"/>
      <c r="E5" s="310"/>
      <c r="F5" s="311"/>
    </row>
    <row r="6" spans="2:6" x14ac:dyDescent="0.25">
      <c r="B6" s="104" t="s">
        <v>253</v>
      </c>
      <c r="C6" s="309"/>
      <c r="D6" s="310"/>
      <c r="E6" s="310"/>
      <c r="F6" s="311"/>
    </row>
    <row r="7" spans="2:6" x14ac:dyDescent="0.25">
      <c r="B7" s="105">
        <v>3</v>
      </c>
      <c r="C7" s="309"/>
      <c r="D7" s="310"/>
      <c r="E7" s="310"/>
      <c r="F7" s="311"/>
    </row>
    <row r="8" spans="2:6" ht="15.75" customHeight="1" x14ac:dyDescent="0.25">
      <c r="B8" s="321"/>
      <c r="C8" s="309"/>
      <c r="D8" s="310"/>
      <c r="E8" s="310"/>
      <c r="F8" s="311"/>
    </row>
    <row r="9" spans="2:6" ht="15.75" customHeight="1" x14ac:dyDescent="0.25">
      <c r="B9" s="320"/>
      <c r="C9" s="309"/>
      <c r="D9" s="310"/>
      <c r="E9" s="310"/>
      <c r="F9" s="311"/>
    </row>
    <row r="10" spans="2:6" ht="15.75" customHeight="1" x14ac:dyDescent="0.25">
      <c r="B10" s="320"/>
      <c r="C10" s="309"/>
      <c r="D10" s="310"/>
      <c r="E10" s="310"/>
      <c r="F10" s="311"/>
    </row>
    <row r="11" spans="2:6" ht="15.75" customHeight="1" x14ac:dyDescent="0.25">
      <c r="B11" s="320"/>
      <c r="C11" s="309"/>
      <c r="D11" s="310"/>
      <c r="E11" s="310"/>
      <c r="F11" s="311"/>
    </row>
    <row r="12" spans="2:6" ht="15.75" customHeight="1" x14ac:dyDescent="0.25">
      <c r="B12" s="320"/>
      <c r="C12" s="309"/>
      <c r="D12" s="310"/>
      <c r="E12" s="310"/>
      <c r="F12" s="311"/>
    </row>
    <row r="13" spans="2:6" x14ac:dyDescent="0.25">
      <c r="B13" s="320"/>
      <c r="C13" s="309"/>
      <c r="D13" s="310"/>
      <c r="E13" s="310"/>
      <c r="F13" s="311"/>
    </row>
    <row r="14" spans="2:6" x14ac:dyDescent="0.25">
      <c r="B14" s="320"/>
      <c r="C14" s="309"/>
      <c r="D14" s="310"/>
      <c r="E14" s="310"/>
      <c r="F14" s="311"/>
    </row>
    <row r="15" spans="2:6" ht="15.75" customHeight="1" x14ac:dyDescent="0.25">
      <c r="B15" s="316"/>
      <c r="C15" s="312"/>
      <c r="D15" s="313"/>
      <c r="E15" s="313"/>
      <c r="F15" s="314"/>
    </row>
    <row r="16" spans="2:6" ht="15" customHeight="1" x14ac:dyDescent="0.25">
      <c r="B16" s="317" t="s">
        <v>8</v>
      </c>
      <c r="C16" s="306" t="s">
        <v>262</v>
      </c>
      <c r="D16" s="307"/>
      <c r="E16" s="307"/>
      <c r="F16" s="308"/>
    </row>
    <row r="17" spans="2:6" x14ac:dyDescent="0.25">
      <c r="B17" s="318"/>
      <c r="C17" s="309"/>
      <c r="D17" s="310"/>
      <c r="E17" s="310"/>
      <c r="F17" s="311"/>
    </row>
    <row r="18" spans="2:6" x14ac:dyDescent="0.25">
      <c r="B18" s="104" t="s">
        <v>253</v>
      </c>
      <c r="C18" s="309"/>
      <c r="D18" s="310"/>
      <c r="E18" s="310"/>
      <c r="F18" s="311"/>
    </row>
    <row r="19" spans="2:6" x14ac:dyDescent="0.25">
      <c r="B19" s="105">
        <v>3</v>
      </c>
      <c r="C19" s="309"/>
      <c r="D19" s="310"/>
      <c r="E19" s="310"/>
      <c r="F19" s="311"/>
    </row>
    <row r="20" spans="2:6" x14ac:dyDescent="0.25">
      <c r="B20" s="321"/>
      <c r="C20" s="309"/>
      <c r="D20" s="310"/>
      <c r="E20" s="310"/>
      <c r="F20" s="311"/>
    </row>
    <row r="21" spans="2:6" x14ac:dyDescent="0.25">
      <c r="B21" s="320"/>
      <c r="C21" s="309"/>
      <c r="D21" s="310"/>
      <c r="E21" s="310"/>
      <c r="F21" s="311"/>
    </row>
    <row r="22" spans="2:6" x14ac:dyDescent="0.25">
      <c r="B22" s="316"/>
      <c r="C22" s="312"/>
      <c r="D22" s="313"/>
      <c r="E22" s="313"/>
      <c r="F22" s="314"/>
    </row>
    <row r="23" spans="2:6" ht="15" customHeight="1" x14ac:dyDescent="0.25">
      <c r="B23" s="317" t="s">
        <v>9</v>
      </c>
      <c r="C23" s="306" t="s">
        <v>261</v>
      </c>
      <c r="D23" s="307"/>
      <c r="E23" s="307"/>
      <c r="F23" s="308"/>
    </row>
    <row r="24" spans="2:6" x14ac:dyDescent="0.25">
      <c r="B24" s="318"/>
      <c r="C24" s="309"/>
      <c r="D24" s="310"/>
      <c r="E24" s="310"/>
      <c r="F24" s="311"/>
    </row>
    <row r="25" spans="2:6" x14ac:dyDescent="0.25">
      <c r="B25" s="104" t="s">
        <v>253</v>
      </c>
      <c r="C25" s="309"/>
      <c r="D25" s="310"/>
      <c r="E25" s="310"/>
      <c r="F25" s="311"/>
    </row>
    <row r="26" spans="2:6" x14ac:dyDescent="0.25">
      <c r="B26" s="105">
        <v>1</v>
      </c>
      <c r="C26" s="309"/>
      <c r="D26" s="310"/>
      <c r="E26" s="310"/>
      <c r="F26" s="311"/>
    </row>
    <row r="27" spans="2:6" x14ac:dyDescent="0.25">
      <c r="B27" s="321"/>
      <c r="C27" s="309"/>
      <c r="D27" s="310"/>
      <c r="E27" s="310"/>
      <c r="F27" s="311"/>
    </row>
    <row r="28" spans="2:6" x14ac:dyDescent="0.25">
      <c r="B28" s="320"/>
      <c r="C28" s="309"/>
      <c r="D28" s="310"/>
      <c r="E28" s="310"/>
      <c r="F28" s="311"/>
    </row>
    <row r="29" spans="2:6" x14ac:dyDescent="0.25">
      <c r="B29" s="320"/>
      <c r="C29" s="309"/>
      <c r="D29" s="310"/>
      <c r="E29" s="310"/>
      <c r="F29" s="311"/>
    </row>
    <row r="30" spans="2:6" x14ac:dyDescent="0.25">
      <c r="B30" s="320"/>
      <c r="C30" s="309"/>
      <c r="D30" s="310"/>
      <c r="E30" s="310"/>
      <c r="F30" s="311"/>
    </row>
    <row r="31" spans="2:6" x14ac:dyDescent="0.25">
      <c r="B31" s="316"/>
      <c r="C31" s="312"/>
      <c r="D31" s="313"/>
      <c r="E31" s="313"/>
      <c r="F31" s="314"/>
    </row>
    <row r="32" spans="2:6" ht="15" customHeight="1" x14ac:dyDescent="0.25">
      <c r="B32" s="317" t="s">
        <v>16</v>
      </c>
      <c r="C32" s="306" t="s">
        <v>260</v>
      </c>
      <c r="D32" s="307"/>
      <c r="E32" s="307"/>
      <c r="F32" s="308"/>
    </row>
    <row r="33" spans="2:6" x14ac:dyDescent="0.25">
      <c r="B33" s="318"/>
      <c r="C33" s="309"/>
      <c r="D33" s="310"/>
      <c r="E33" s="310"/>
      <c r="F33" s="311"/>
    </row>
    <row r="34" spans="2:6" x14ac:dyDescent="0.25">
      <c r="B34" s="104" t="s">
        <v>253</v>
      </c>
      <c r="C34" s="309"/>
      <c r="D34" s="310"/>
      <c r="E34" s="310"/>
      <c r="F34" s="311"/>
    </row>
    <row r="35" spans="2:6" x14ac:dyDescent="0.25">
      <c r="B35" s="105">
        <v>2</v>
      </c>
      <c r="C35" s="309"/>
      <c r="D35" s="310"/>
      <c r="E35" s="310"/>
      <c r="F35" s="311"/>
    </row>
    <row r="36" spans="2:6" x14ac:dyDescent="0.25">
      <c r="B36" s="321"/>
      <c r="C36" s="309"/>
      <c r="D36" s="310"/>
      <c r="E36" s="310"/>
      <c r="F36" s="311"/>
    </row>
    <row r="37" spans="2:6" x14ac:dyDescent="0.25">
      <c r="B37" s="320"/>
      <c r="C37" s="309"/>
      <c r="D37" s="310"/>
      <c r="E37" s="310"/>
      <c r="F37" s="311"/>
    </row>
    <row r="38" spans="2:6" x14ac:dyDescent="0.25">
      <c r="B38" s="320"/>
      <c r="C38" s="309"/>
      <c r="D38" s="310"/>
      <c r="E38" s="310"/>
      <c r="F38" s="311"/>
    </row>
    <row r="39" spans="2:6" x14ac:dyDescent="0.25">
      <c r="B39" s="320"/>
      <c r="C39" s="309"/>
      <c r="D39" s="310"/>
      <c r="E39" s="310"/>
      <c r="F39" s="311"/>
    </row>
    <row r="40" spans="2:6" x14ac:dyDescent="0.25">
      <c r="B40" s="316"/>
      <c r="C40" s="312"/>
      <c r="D40" s="313"/>
      <c r="E40" s="313"/>
      <c r="F40" s="314"/>
    </row>
    <row r="41" spans="2:6" x14ac:dyDescent="0.25">
      <c r="B41" s="317" t="s">
        <v>17</v>
      </c>
      <c r="C41" s="306" t="s">
        <v>259</v>
      </c>
      <c r="D41" s="307"/>
      <c r="E41" s="307"/>
      <c r="F41" s="308"/>
    </row>
    <row r="42" spans="2:6" x14ac:dyDescent="0.25">
      <c r="B42" s="318"/>
      <c r="C42" s="309"/>
      <c r="D42" s="310"/>
      <c r="E42" s="310"/>
      <c r="F42" s="311"/>
    </row>
    <row r="43" spans="2:6" x14ac:dyDescent="0.25">
      <c r="B43" s="104" t="s">
        <v>253</v>
      </c>
      <c r="C43" s="309"/>
      <c r="D43" s="310"/>
      <c r="E43" s="310"/>
      <c r="F43" s="311"/>
    </row>
    <row r="44" spans="2:6" x14ac:dyDescent="0.25">
      <c r="B44" s="105">
        <v>3</v>
      </c>
      <c r="C44" s="309"/>
      <c r="D44" s="310"/>
      <c r="E44" s="310"/>
      <c r="F44" s="311"/>
    </row>
    <row r="45" spans="2:6" x14ac:dyDescent="0.25">
      <c r="B45" s="321"/>
      <c r="C45" s="309"/>
      <c r="D45" s="310"/>
      <c r="E45" s="310"/>
      <c r="F45" s="311"/>
    </row>
    <row r="46" spans="2:6" x14ac:dyDescent="0.25">
      <c r="B46" s="320"/>
      <c r="C46" s="309"/>
      <c r="D46" s="310"/>
      <c r="E46" s="310"/>
      <c r="F46" s="311"/>
    </row>
    <row r="47" spans="2:6" x14ac:dyDescent="0.25">
      <c r="B47" s="320"/>
      <c r="C47" s="309"/>
      <c r="D47" s="310"/>
      <c r="E47" s="310"/>
      <c r="F47" s="311"/>
    </row>
    <row r="48" spans="2:6" x14ac:dyDescent="0.25">
      <c r="B48" s="320"/>
      <c r="C48" s="309"/>
      <c r="D48" s="310"/>
      <c r="E48" s="310"/>
      <c r="F48" s="311"/>
    </row>
    <row r="49" spans="2:6" x14ac:dyDescent="0.25">
      <c r="B49" s="320"/>
      <c r="C49" s="309"/>
      <c r="D49" s="310"/>
      <c r="E49" s="310"/>
      <c r="F49" s="311"/>
    </row>
    <row r="50" spans="2:6" x14ac:dyDescent="0.25">
      <c r="B50" s="320"/>
      <c r="C50" s="309"/>
      <c r="D50" s="310"/>
      <c r="E50" s="310"/>
      <c r="F50" s="311"/>
    </row>
    <row r="51" spans="2:6" x14ac:dyDescent="0.25">
      <c r="B51" s="320"/>
      <c r="C51" s="309"/>
      <c r="D51" s="310"/>
      <c r="E51" s="310"/>
      <c r="F51" s="311"/>
    </row>
    <row r="52" spans="2:6" x14ac:dyDescent="0.25">
      <c r="B52" s="320"/>
      <c r="C52" s="309"/>
      <c r="D52" s="310"/>
      <c r="E52" s="310"/>
      <c r="F52" s="311"/>
    </row>
    <row r="53" spans="2:6" x14ac:dyDescent="0.25">
      <c r="B53" s="320"/>
      <c r="C53" s="309"/>
      <c r="D53" s="310"/>
      <c r="E53" s="310"/>
      <c r="F53" s="311"/>
    </row>
    <row r="54" spans="2:6" x14ac:dyDescent="0.25">
      <c r="B54" s="320"/>
      <c r="C54" s="309"/>
      <c r="D54" s="310"/>
      <c r="E54" s="310"/>
      <c r="F54" s="311"/>
    </row>
    <row r="55" spans="2:6" x14ac:dyDescent="0.25">
      <c r="B55" s="316"/>
      <c r="C55" s="309"/>
      <c r="D55" s="310"/>
      <c r="E55" s="310"/>
      <c r="F55" s="311"/>
    </row>
    <row r="56" spans="2:6" x14ac:dyDescent="0.25">
      <c r="B56" s="317" t="s">
        <v>18</v>
      </c>
      <c r="C56" s="306" t="s">
        <v>258</v>
      </c>
      <c r="D56" s="307"/>
      <c r="E56" s="307"/>
      <c r="F56" s="308"/>
    </row>
    <row r="57" spans="2:6" x14ac:dyDescent="0.25">
      <c r="B57" s="318"/>
      <c r="C57" s="309"/>
      <c r="D57" s="310"/>
      <c r="E57" s="310"/>
      <c r="F57" s="311"/>
    </row>
    <row r="58" spans="2:6" x14ac:dyDescent="0.25">
      <c r="B58" s="104" t="s">
        <v>253</v>
      </c>
      <c r="C58" s="309"/>
      <c r="D58" s="310"/>
      <c r="E58" s="310"/>
      <c r="F58" s="311"/>
    </row>
    <row r="59" spans="2:6" x14ac:dyDescent="0.25">
      <c r="B59" s="105">
        <v>3</v>
      </c>
      <c r="C59" s="309"/>
      <c r="D59" s="310"/>
      <c r="E59" s="310"/>
      <c r="F59" s="311"/>
    </row>
    <row r="60" spans="2:6" x14ac:dyDescent="0.25">
      <c r="B60" s="321"/>
      <c r="C60" s="309"/>
      <c r="D60" s="310"/>
      <c r="E60" s="310"/>
      <c r="F60" s="311"/>
    </row>
    <row r="61" spans="2:6" x14ac:dyDescent="0.25">
      <c r="B61" s="320"/>
      <c r="C61" s="309"/>
      <c r="D61" s="310"/>
      <c r="E61" s="310"/>
      <c r="F61" s="311"/>
    </row>
    <row r="62" spans="2:6" x14ac:dyDescent="0.25">
      <c r="B62" s="320"/>
      <c r="C62" s="309"/>
      <c r="D62" s="310"/>
      <c r="E62" s="310"/>
      <c r="F62" s="311"/>
    </row>
    <row r="63" spans="2:6" x14ac:dyDescent="0.25">
      <c r="B63" s="320"/>
      <c r="C63" s="309"/>
      <c r="D63" s="310"/>
      <c r="E63" s="310"/>
      <c r="F63" s="311"/>
    </row>
    <row r="64" spans="2:6" x14ac:dyDescent="0.25">
      <c r="B64" s="320"/>
      <c r="C64" s="309"/>
      <c r="D64" s="310"/>
      <c r="E64" s="310"/>
      <c r="F64" s="311"/>
    </row>
    <row r="65" spans="2:6" x14ac:dyDescent="0.25">
      <c r="B65" s="320"/>
      <c r="C65" s="309"/>
      <c r="D65" s="310"/>
      <c r="E65" s="310"/>
      <c r="F65" s="311"/>
    </row>
    <row r="66" spans="2:6" x14ac:dyDescent="0.25">
      <c r="B66" s="320"/>
      <c r="C66" s="309"/>
      <c r="D66" s="310"/>
      <c r="E66" s="310"/>
      <c r="F66" s="311"/>
    </row>
    <row r="67" spans="2:6" x14ac:dyDescent="0.25">
      <c r="B67" s="320"/>
      <c r="C67" s="309"/>
      <c r="D67" s="310"/>
      <c r="E67" s="310"/>
      <c r="F67" s="311"/>
    </row>
    <row r="68" spans="2:6" x14ac:dyDescent="0.25">
      <c r="B68" s="320"/>
      <c r="C68" s="309"/>
      <c r="D68" s="310"/>
      <c r="E68" s="310"/>
      <c r="F68" s="311"/>
    </row>
    <row r="69" spans="2:6" x14ac:dyDescent="0.25">
      <c r="B69" s="320"/>
      <c r="C69" s="309"/>
      <c r="D69" s="310"/>
      <c r="E69" s="310"/>
      <c r="F69" s="311"/>
    </row>
    <row r="70" spans="2:6" x14ac:dyDescent="0.25">
      <c r="B70" s="316"/>
      <c r="C70" s="309"/>
      <c r="D70" s="310"/>
      <c r="E70" s="310"/>
      <c r="F70" s="311"/>
    </row>
    <row r="71" spans="2:6" x14ac:dyDescent="0.25">
      <c r="B71" s="317" t="s">
        <v>30</v>
      </c>
      <c r="C71" s="306" t="s">
        <v>257</v>
      </c>
      <c r="D71" s="307"/>
      <c r="E71" s="307"/>
      <c r="F71" s="308"/>
    </row>
    <row r="72" spans="2:6" x14ac:dyDescent="0.25">
      <c r="B72" s="318"/>
      <c r="C72" s="309"/>
      <c r="D72" s="310"/>
      <c r="E72" s="310"/>
      <c r="F72" s="311"/>
    </row>
    <row r="73" spans="2:6" x14ac:dyDescent="0.25">
      <c r="B73" s="104" t="s">
        <v>253</v>
      </c>
      <c r="C73" s="309"/>
      <c r="D73" s="310"/>
      <c r="E73" s="310"/>
      <c r="F73" s="311"/>
    </row>
    <row r="74" spans="2:6" x14ac:dyDescent="0.25">
      <c r="B74" s="105">
        <v>2</v>
      </c>
      <c r="C74" s="309"/>
      <c r="D74" s="310"/>
      <c r="E74" s="310"/>
      <c r="F74" s="311"/>
    </row>
    <row r="75" spans="2:6" x14ac:dyDescent="0.25">
      <c r="B75" s="426"/>
      <c r="C75" s="309"/>
      <c r="D75" s="310"/>
      <c r="E75" s="310"/>
      <c r="F75" s="311"/>
    </row>
    <row r="76" spans="2:6" x14ac:dyDescent="0.25">
      <c r="B76" s="427"/>
      <c r="C76" s="309"/>
      <c r="D76" s="310"/>
      <c r="E76" s="310"/>
      <c r="F76" s="311"/>
    </row>
    <row r="77" spans="2:6" x14ac:dyDescent="0.25">
      <c r="B77" s="427"/>
      <c r="C77" s="309"/>
      <c r="D77" s="310"/>
      <c r="E77" s="310"/>
      <c r="F77" s="311"/>
    </row>
    <row r="78" spans="2:6" x14ac:dyDescent="0.25">
      <c r="B78" s="427"/>
      <c r="C78" s="309"/>
      <c r="D78" s="310"/>
      <c r="E78" s="310"/>
      <c r="F78" s="311"/>
    </row>
    <row r="79" spans="2:6" x14ac:dyDescent="0.25">
      <c r="B79" s="427"/>
      <c r="C79" s="309"/>
      <c r="D79" s="310"/>
      <c r="E79" s="310"/>
      <c r="F79" s="311"/>
    </row>
    <row r="80" spans="2:6" x14ac:dyDescent="0.25">
      <c r="B80" s="428"/>
      <c r="C80" s="312"/>
      <c r="D80" s="313"/>
      <c r="E80" s="313"/>
      <c r="F80" s="314"/>
    </row>
    <row r="81" spans="2:12" x14ac:dyDescent="0.25">
      <c r="B81" s="317" t="s">
        <v>31</v>
      </c>
      <c r="C81" s="306" t="s">
        <v>256</v>
      </c>
      <c r="D81" s="307"/>
      <c r="E81" s="307"/>
      <c r="F81" s="308"/>
    </row>
    <row r="82" spans="2:12" x14ac:dyDescent="0.25">
      <c r="B82" s="318"/>
      <c r="C82" s="309"/>
      <c r="D82" s="310"/>
      <c r="E82" s="310"/>
      <c r="F82" s="311"/>
    </row>
    <row r="83" spans="2:12" x14ac:dyDescent="0.25">
      <c r="B83" s="104" t="s">
        <v>253</v>
      </c>
      <c r="C83" s="309"/>
      <c r="D83" s="310"/>
      <c r="E83" s="310"/>
      <c r="F83" s="311"/>
    </row>
    <row r="84" spans="2:12" x14ac:dyDescent="0.25">
      <c r="B84" s="105">
        <v>2</v>
      </c>
      <c r="C84" s="309"/>
      <c r="D84" s="310"/>
      <c r="E84" s="310"/>
      <c r="F84" s="311"/>
    </row>
    <row r="85" spans="2:12" x14ac:dyDescent="0.25">
      <c r="B85" s="315"/>
      <c r="C85" s="309"/>
      <c r="D85" s="310"/>
      <c r="E85" s="310"/>
      <c r="F85" s="311"/>
    </row>
    <row r="86" spans="2:12" x14ac:dyDescent="0.25">
      <c r="B86" s="316"/>
      <c r="C86" s="312"/>
      <c r="D86" s="313"/>
      <c r="E86" s="313"/>
      <c r="F86" s="314"/>
    </row>
    <row r="87" spans="2:12" ht="15" customHeight="1" x14ac:dyDescent="0.25">
      <c r="B87" s="317" t="s">
        <v>50</v>
      </c>
      <c r="C87" s="306" t="s">
        <v>255</v>
      </c>
      <c r="D87" s="307"/>
      <c r="E87" s="307"/>
      <c r="F87" s="308"/>
    </row>
    <row r="88" spans="2:12" x14ac:dyDescent="0.25">
      <c r="B88" s="318"/>
      <c r="C88" s="309"/>
      <c r="D88" s="310"/>
      <c r="E88" s="310"/>
      <c r="F88" s="311"/>
    </row>
    <row r="89" spans="2:12" x14ac:dyDescent="0.25">
      <c r="B89" s="104" t="s">
        <v>253</v>
      </c>
      <c r="C89" s="309"/>
      <c r="D89" s="310"/>
      <c r="E89" s="310"/>
      <c r="F89" s="311"/>
      <c r="L89" s="106"/>
    </row>
    <row r="90" spans="2:12" x14ac:dyDescent="0.25">
      <c r="B90" s="105">
        <v>2</v>
      </c>
      <c r="C90" s="309"/>
      <c r="D90" s="310"/>
      <c r="E90" s="310"/>
      <c r="F90" s="311"/>
    </row>
    <row r="91" spans="2:12" x14ac:dyDescent="0.25">
      <c r="B91" s="315"/>
      <c r="C91" s="309"/>
      <c r="D91" s="310"/>
      <c r="E91" s="310"/>
      <c r="F91" s="311"/>
    </row>
    <row r="92" spans="2:12" x14ac:dyDescent="0.25">
      <c r="B92" s="319"/>
      <c r="C92" s="309"/>
      <c r="D92" s="310"/>
      <c r="E92" s="310"/>
      <c r="F92" s="311"/>
    </row>
    <row r="93" spans="2:12" x14ac:dyDescent="0.25">
      <c r="B93" s="319"/>
      <c r="C93" s="309"/>
      <c r="D93" s="310"/>
      <c r="E93" s="310"/>
      <c r="F93" s="311"/>
    </row>
    <row r="94" spans="2:12" x14ac:dyDescent="0.25">
      <c r="B94" s="319"/>
      <c r="C94" s="309"/>
      <c r="D94" s="310"/>
      <c r="E94" s="310"/>
      <c r="F94" s="311"/>
    </row>
    <row r="95" spans="2:12" x14ac:dyDescent="0.25">
      <c r="B95" s="319"/>
      <c r="C95" s="309"/>
      <c r="D95" s="310"/>
      <c r="E95" s="310"/>
      <c r="F95" s="311"/>
    </row>
    <row r="96" spans="2:12" x14ac:dyDescent="0.25">
      <c r="B96" s="319"/>
      <c r="C96" s="309"/>
      <c r="D96" s="310"/>
      <c r="E96" s="310"/>
      <c r="F96" s="311"/>
    </row>
    <row r="97" spans="2:6" x14ac:dyDescent="0.25">
      <c r="B97" s="316"/>
      <c r="C97" s="309"/>
      <c r="D97" s="310"/>
      <c r="E97" s="310"/>
      <c r="F97" s="311"/>
    </row>
    <row r="98" spans="2:6" ht="15" customHeight="1" x14ac:dyDescent="0.25">
      <c r="B98" s="317" t="s">
        <v>35</v>
      </c>
      <c r="C98" s="306" t="s">
        <v>254</v>
      </c>
      <c r="D98" s="307"/>
      <c r="E98" s="307"/>
      <c r="F98" s="308"/>
    </row>
    <row r="99" spans="2:6" x14ac:dyDescent="0.25">
      <c r="B99" s="318"/>
      <c r="C99" s="309"/>
      <c r="D99" s="310"/>
      <c r="E99" s="310"/>
      <c r="F99" s="311"/>
    </row>
    <row r="100" spans="2:6" x14ac:dyDescent="0.25">
      <c r="B100" s="104" t="s">
        <v>253</v>
      </c>
      <c r="C100" s="309"/>
      <c r="D100" s="310"/>
      <c r="E100" s="310"/>
      <c r="F100" s="311"/>
    </row>
    <row r="101" spans="2:6" x14ac:dyDescent="0.25">
      <c r="B101" s="105">
        <v>2</v>
      </c>
      <c r="C101" s="309"/>
      <c r="D101" s="310"/>
      <c r="E101" s="310"/>
      <c r="F101" s="311"/>
    </row>
    <row r="102" spans="2:6" x14ac:dyDescent="0.25">
      <c r="B102" s="315"/>
      <c r="C102" s="309"/>
      <c r="D102" s="310"/>
      <c r="E102" s="310"/>
      <c r="F102" s="311"/>
    </row>
    <row r="103" spans="2:6" x14ac:dyDescent="0.25">
      <c r="B103" s="319"/>
      <c r="C103" s="309"/>
      <c r="D103" s="310"/>
      <c r="E103" s="310"/>
      <c r="F103" s="311"/>
    </row>
    <row r="104" spans="2:6" x14ac:dyDescent="0.25">
      <c r="B104" s="319"/>
      <c r="C104" s="309"/>
      <c r="D104" s="310"/>
      <c r="E104" s="310"/>
      <c r="F104" s="311"/>
    </row>
    <row r="105" spans="2:6" x14ac:dyDescent="0.25">
      <c r="B105" s="319"/>
      <c r="C105" s="309"/>
      <c r="D105" s="310"/>
      <c r="E105" s="310"/>
      <c r="F105" s="311"/>
    </row>
    <row r="106" spans="2:6" x14ac:dyDescent="0.25">
      <c r="B106" s="319"/>
      <c r="C106" s="309"/>
      <c r="D106" s="310"/>
      <c r="E106" s="310"/>
      <c r="F106" s="311"/>
    </row>
    <row r="107" spans="2:6" x14ac:dyDescent="0.25">
      <c r="B107" s="319"/>
      <c r="C107" s="309"/>
      <c r="D107" s="310"/>
      <c r="E107" s="310"/>
      <c r="F107" s="311"/>
    </row>
    <row r="108" spans="2:6" x14ac:dyDescent="0.25">
      <c r="B108" s="320"/>
      <c r="C108" s="309"/>
      <c r="D108" s="310"/>
      <c r="E108" s="310"/>
      <c r="F108" s="311"/>
    </row>
    <row r="109" spans="2:6" x14ac:dyDescent="0.25">
      <c r="B109" s="320"/>
      <c r="C109" s="309"/>
      <c r="D109" s="310"/>
      <c r="E109" s="310"/>
      <c r="F109" s="311"/>
    </row>
    <row r="110" spans="2:6" x14ac:dyDescent="0.25">
      <c r="B110" s="316"/>
      <c r="C110" s="312"/>
      <c r="D110" s="313"/>
      <c r="E110" s="313"/>
      <c r="F110" s="314"/>
    </row>
  </sheetData>
  <mergeCells count="31">
    <mergeCell ref="B1:F2"/>
    <mergeCell ref="B4:B5"/>
    <mergeCell ref="C4:F15"/>
    <mergeCell ref="B16:B17"/>
    <mergeCell ref="C16:F22"/>
    <mergeCell ref="B8:B15"/>
    <mergeCell ref="B20:B22"/>
    <mergeCell ref="C41:F55"/>
    <mergeCell ref="B56:B57"/>
    <mergeCell ref="C56:F70"/>
    <mergeCell ref="B23:B24"/>
    <mergeCell ref="C23:F31"/>
    <mergeCell ref="B32:B33"/>
    <mergeCell ref="C32:F40"/>
    <mergeCell ref="B60:B70"/>
    <mergeCell ref="B27:B31"/>
    <mergeCell ref="B36:B40"/>
    <mergeCell ref="B45:B55"/>
    <mergeCell ref="B41:B42"/>
    <mergeCell ref="B87:B88"/>
    <mergeCell ref="C87:F97"/>
    <mergeCell ref="B98:B99"/>
    <mergeCell ref="C98:F110"/>
    <mergeCell ref="B91:B97"/>
    <mergeCell ref="B102:B110"/>
    <mergeCell ref="B71:B72"/>
    <mergeCell ref="C71:F80"/>
    <mergeCell ref="B81:B82"/>
    <mergeCell ref="C81:F86"/>
    <mergeCell ref="B85:B86"/>
    <mergeCell ref="B75:B80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8C44-DF46-4DBF-8F07-164BD6786858}">
  <sheetPr codeName="Tabelle2"/>
  <dimension ref="B1:K48"/>
  <sheetViews>
    <sheetView workbookViewId="0">
      <selection activeCell="C22" sqref="C22:G28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v>44063</v>
      </c>
      <c r="F1" s="335"/>
      <c r="G1" s="338">
        <v>1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67</v>
      </c>
      <c r="C3" s="343"/>
      <c r="D3" s="343"/>
      <c r="E3" s="343"/>
      <c r="F3" s="346">
        <v>3.4</v>
      </c>
      <c r="G3" s="340" t="s">
        <v>76</v>
      </c>
    </row>
    <row r="4" spans="2:7" ht="14.25" customHeight="1" x14ac:dyDescent="0.25">
      <c r="B4" s="344"/>
      <c r="C4" s="345"/>
      <c r="D4" s="345"/>
      <c r="E4" s="345"/>
      <c r="F4" s="347"/>
      <c r="G4" s="341"/>
    </row>
    <row r="5" spans="2:7" ht="15.75" customHeight="1" x14ac:dyDescent="0.3">
      <c r="B5" s="359" t="s">
        <v>75</v>
      </c>
      <c r="C5" s="58"/>
      <c r="D5" s="46"/>
      <c r="E5" s="47"/>
      <c r="F5" s="48"/>
      <c r="G5" s="66"/>
    </row>
    <row r="6" spans="2:7" x14ac:dyDescent="0.25">
      <c r="B6" s="360"/>
      <c r="C6" s="51" t="s">
        <v>87</v>
      </c>
      <c r="F6" s="50"/>
      <c r="G6" s="50"/>
    </row>
    <row r="7" spans="2:7" ht="15.75" x14ac:dyDescent="0.3">
      <c r="B7" s="360"/>
      <c r="C7" s="49" t="s">
        <v>88</v>
      </c>
      <c r="F7" s="50"/>
      <c r="G7" s="50"/>
    </row>
    <row r="8" spans="2:7" ht="15.75" x14ac:dyDescent="0.3">
      <c r="B8" s="360"/>
      <c r="C8" s="61"/>
      <c r="F8" s="50"/>
      <c r="G8" s="56"/>
    </row>
    <row r="9" spans="2:7" x14ac:dyDescent="0.25">
      <c r="B9" s="360"/>
      <c r="C9" s="51" t="s">
        <v>89</v>
      </c>
      <c r="F9" s="50"/>
      <c r="G9" s="50"/>
    </row>
    <row r="10" spans="2:7" ht="15.75" x14ac:dyDescent="0.3">
      <c r="B10" s="360"/>
      <c r="C10" s="49" t="s">
        <v>90</v>
      </c>
      <c r="D10" s="52"/>
      <c r="E10" s="52"/>
      <c r="F10" s="50"/>
      <c r="G10" s="50"/>
    </row>
    <row r="11" spans="2:7" ht="15.75" x14ac:dyDescent="0.3">
      <c r="B11" s="360"/>
      <c r="C11" s="49" t="s">
        <v>91</v>
      </c>
      <c r="F11" s="50"/>
      <c r="G11" s="50"/>
    </row>
    <row r="12" spans="2:7" x14ac:dyDescent="0.25">
      <c r="B12" s="360"/>
      <c r="C12" s="61"/>
      <c r="F12" s="50"/>
      <c r="G12" s="50"/>
    </row>
    <row r="13" spans="2:7" x14ac:dyDescent="0.25">
      <c r="B13" s="360"/>
      <c r="C13" s="94" t="s">
        <v>96</v>
      </c>
      <c r="D13" s="54"/>
      <c r="E13" s="54"/>
      <c r="F13" s="55"/>
      <c r="G13" s="55"/>
    </row>
    <row r="14" spans="2:7" ht="15.75" customHeight="1" x14ac:dyDescent="0.25">
      <c r="B14" s="361"/>
      <c r="C14" s="350" t="s">
        <v>77</v>
      </c>
      <c r="D14" s="351"/>
      <c r="E14" s="351"/>
      <c r="F14" s="351"/>
      <c r="G14" s="352"/>
    </row>
    <row r="15" spans="2:7" ht="15" customHeight="1" x14ac:dyDescent="0.3">
      <c r="B15" s="362"/>
      <c r="C15" s="62" t="s">
        <v>97</v>
      </c>
      <c r="D15" s="47"/>
      <c r="E15" s="47"/>
      <c r="F15" s="47"/>
      <c r="G15" s="48"/>
    </row>
    <row r="16" spans="2:7" ht="15" customHeight="1" x14ac:dyDescent="0.3">
      <c r="B16" s="362"/>
      <c r="C16" s="49" t="s">
        <v>98</v>
      </c>
      <c r="D16" s="52"/>
      <c r="E16" s="52"/>
      <c r="F16" s="52"/>
      <c r="G16" s="56"/>
    </row>
    <row r="17" spans="2:11" ht="15.75" customHeight="1" x14ac:dyDescent="0.25">
      <c r="B17" s="363"/>
      <c r="C17" s="53"/>
      <c r="D17" s="54"/>
      <c r="E17" s="54"/>
      <c r="F17" s="54"/>
      <c r="G17" s="55"/>
    </row>
    <row r="18" spans="2:11" ht="15" customHeight="1" x14ac:dyDescent="0.25">
      <c r="B18" s="364" t="s">
        <v>78</v>
      </c>
      <c r="C18" s="365"/>
      <c r="D18" s="365"/>
      <c r="E18" s="365"/>
      <c r="F18" s="365"/>
      <c r="G18" s="366"/>
    </row>
    <row r="19" spans="2:11" ht="15.75" customHeight="1" x14ac:dyDescent="0.25">
      <c r="B19" s="367"/>
      <c r="C19" s="368"/>
      <c r="D19" s="368"/>
      <c r="E19" s="368"/>
      <c r="F19" s="368"/>
      <c r="G19" s="369"/>
    </row>
    <row r="20" spans="2:11" ht="15" customHeight="1" x14ac:dyDescent="0.25">
      <c r="B20" s="370" t="s">
        <v>99</v>
      </c>
      <c r="C20" s="343"/>
      <c r="D20" s="343"/>
      <c r="E20" s="343"/>
      <c r="F20" s="371">
        <v>3.1</v>
      </c>
      <c r="G20" s="373" t="s">
        <v>76</v>
      </c>
    </row>
    <row r="21" spans="2:11" ht="16.5" customHeight="1" x14ac:dyDescent="0.25">
      <c r="B21" s="344"/>
      <c r="C21" s="168"/>
      <c r="D21" s="168"/>
      <c r="E21" s="168"/>
      <c r="F21" s="372"/>
      <c r="G21" s="374"/>
      <c r="K21" s="63"/>
    </row>
    <row r="22" spans="2:11" ht="15.75" customHeight="1" x14ac:dyDescent="0.3">
      <c r="B22" s="348" t="s">
        <v>79</v>
      </c>
      <c r="C22" s="58"/>
      <c r="D22" s="46"/>
      <c r="E22" s="47"/>
      <c r="F22" s="48"/>
      <c r="G22" s="66"/>
    </row>
    <row r="23" spans="2:11" x14ac:dyDescent="0.25">
      <c r="B23" s="349"/>
      <c r="C23" s="51" t="s">
        <v>87</v>
      </c>
      <c r="F23" s="50"/>
      <c r="G23" s="50"/>
    </row>
    <row r="24" spans="2:11" ht="15.75" x14ac:dyDescent="0.3">
      <c r="B24" s="349"/>
      <c r="C24" s="49" t="s">
        <v>92</v>
      </c>
      <c r="D24" s="52"/>
      <c r="E24" s="52"/>
      <c r="F24" s="56"/>
      <c r="G24" s="50"/>
    </row>
    <row r="25" spans="2:11" ht="15.75" x14ac:dyDescent="0.3">
      <c r="B25" s="349"/>
      <c r="C25" s="49" t="s">
        <v>93</v>
      </c>
      <c r="F25" s="50"/>
      <c r="G25" s="50"/>
    </row>
    <row r="26" spans="2:11" ht="15.75" customHeight="1" x14ac:dyDescent="0.25">
      <c r="B26" s="349"/>
      <c r="C26" s="61"/>
      <c r="F26" s="50"/>
      <c r="G26" s="50"/>
    </row>
    <row r="27" spans="2:11" x14ac:dyDescent="0.25">
      <c r="B27" s="349"/>
      <c r="C27" s="51" t="s">
        <v>89</v>
      </c>
      <c r="F27" s="50"/>
      <c r="G27" s="50"/>
    </row>
    <row r="28" spans="2:11" ht="15.75" x14ac:dyDescent="0.3">
      <c r="B28" s="349"/>
      <c r="C28" s="49" t="s">
        <v>94</v>
      </c>
      <c r="D28" s="52"/>
      <c r="E28" s="52"/>
      <c r="F28" s="56"/>
      <c r="G28" s="56"/>
    </row>
    <row r="29" spans="2:11" ht="15.75" customHeight="1" x14ac:dyDescent="0.25">
      <c r="B29" s="349"/>
      <c r="C29" s="61"/>
      <c r="F29" s="50"/>
      <c r="G29" s="50"/>
    </row>
    <row r="30" spans="2:11" ht="15.75" customHeight="1" x14ac:dyDescent="0.25">
      <c r="B30" s="349"/>
      <c r="C30" s="53"/>
      <c r="D30" s="54"/>
      <c r="E30" s="54"/>
      <c r="F30" s="55"/>
      <c r="G30" s="50"/>
    </row>
    <row r="31" spans="2:11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1" ht="15.75" x14ac:dyDescent="0.3">
      <c r="B32" s="349"/>
      <c r="C32" s="49" t="s">
        <v>100</v>
      </c>
      <c r="D32" s="52"/>
      <c r="E32" s="52"/>
      <c r="F32" s="52"/>
      <c r="G32" s="56"/>
    </row>
    <row r="33" spans="2:7" ht="15.75" x14ac:dyDescent="0.3">
      <c r="B33" s="320"/>
      <c r="C33" s="49" t="s">
        <v>101</v>
      </c>
      <c r="G33" s="50"/>
    </row>
    <row r="34" spans="2:7" ht="15.75" x14ac:dyDescent="0.3">
      <c r="B34" s="316"/>
      <c r="C34" s="57" t="s">
        <v>102</v>
      </c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G3:G4"/>
    <mergeCell ref="B3:E4"/>
    <mergeCell ref="F3:F4"/>
  </mergeCells>
  <pageMargins left="0.25" right="0.25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65249-0FF3-45AF-B44F-AD2429D2AD69}">
  <sheetPr codeName="Tabelle3"/>
  <dimension ref="B1:K48"/>
  <sheetViews>
    <sheetView workbookViewId="0">
      <selection activeCell="M9" sqref="M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Kompetenzraster!Q7</f>
        <v>45523</v>
      </c>
      <c r="F1" s="335"/>
      <c r="G1" s="338">
        <v>2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111</v>
      </c>
      <c r="C3" s="343"/>
      <c r="D3" s="343"/>
      <c r="E3" s="343"/>
      <c r="F3" s="346">
        <v>3.5</v>
      </c>
      <c r="G3" s="340" t="s">
        <v>76</v>
      </c>
    </row>
    <row r="4" spans="2:7" ht="14.25" customHeight="1" x14ac:dyDescent="0.25">
      <c r="B4" s="344"/>
      <c r="C4" s="345"/>
      <c r="D4" s="345"/>
      <c r="E4" s="345"/>
      <c r="F4" s="347"/>
      <c r="G4" s="341"/>
    </row>
    <row r="5" spans="2:7" ht="15.75" customHeight="1" x14ac:dyDescent="0.3">
      <c r="B5" s="359" t="s">
        <v>75</v>
      </c>
      <c r="C5" s="58"/>
      <c r="D5" s="46"/>
      <c r="E5" s="47"/>
      <c r="F5" s="48"/>
      <c r="G5" s="66"/>
    </row>
    <row r="6" spans="2:7" x14ac:dyDescent="0.25">
      <c r="B6" s="360"/>
      <c r="C6" s="51" t="s">
        <v>103</v>
      </c>
      <c r="F6" s="50"/>
      <c r="G6" s="50"/>
    </row>
    <row r="7" spans="2:7" ht="15.75" x14ac:dyDescent="0.3">
      <c r="B7" s="360"/>
      <c r="C7" s="49" t="s">
        <v>104</v>
      </c>
      <c r="F7" s="50"/>
      <c r="G7" s="50"/>
    </row>
    <row r="8" spans="2:7" ht="15.75" x14ac:dyDescent="0.3">
      <c r="B8" s="360"/>
      <c r="C8" s="49" t="s">
        <v>105</v>
      </c>
      <c r="F8" s="50"/>
      <c r="G8" s="56"/>
    </row>
    <row r="9" spans="2:7" ht="15.75" x14ac:dyDescent="0.3">
      <c r="B9" s="360"/>
      <c r="C9" s="49" t="s">
        <v>106</v>
      </c>
      <c r="F9" s="50"/>
      <c r="G9" s="50"/>
    </row>
    <row r="10" spans="2:7" x14ac:dyDescent="0.25">
      <c r="B10" s="360"/>
      <c r="C10" s="61"/>
      <c r="F10" s="50"/>
      <c r="G10" s="50"/>
    </row>
    <row r="11" spans="2:7" ht="15.75" x14ac:dyDescent="0.3">
      <c r="B11" s="360"/>
      <c r="C11" s="51" t="s">
        <v>89</v>
      </c>
      <c r="D11" s="52"/>
      <c r="E11" s="52"/>
      <c r="F11" s="50"/>
      <c r="G11" s="68" t="s">
        <v>126</v>
      </c>
    </row>
    <row r="12" spans="2:7" ht="15.75" x14ac:dyDescent="0.3">
      <c r="B12" s="360"/>
      <c r="C12" s="49" t="s">
        <v>107</v>
      </c>
      <c r="F12" s="50"/>
      <c r="G12" s="50"/>
    </row>
    <row r="13" spans="2:7" ht="15.75" x14ac:dyDescent="0.3">
      <c r="B13" s="360"/>
      <c r="C13" s="57"/>
      <c r="D13" s="54"/>
      <c r="E13" s="54"/>
      <c r="F13" s="55"/>
      <c r="G13" s="55"/>
    </row>
    <row r="14" spans="2:7" ht="15.75" customHeight="1" x14ac:dyDescent="0.25">
      <c r="B14" s="361"/>
      <c r="C14" s="350" t="s">
        <v>77</v>
      </c>
      <c r="D14" s="351"/>
      <c r="E14" s="351"/>
      <c r="F14" s="351"/>
      <c r="G14" s="352"/>
    </row>
    <row r="15" spans="2:7" ht="15" customHeight="1" x14ac:dyDescent="0.3">
      <c r="B15" s="362"/>
      <c r="C15" s="62" t="s">
        <v>112</v>
      </c>
      <c r="D15" s="47"/>
      <c r="E15" s="47"/>
      <c r="F15" s="47"/>
      <c r="G15" s="48"/>
    </row>
    <row r="16" spans="2:7" ht="15" customHeight="1" x14ac:dyDescent="0.3">
      <c r="B16" s="362"/>
      <c r="C16" s="49" t="s">
        <v>110</v>
      </c>
      <c r="D16" s="52"/>
      <c r="E16" s="52"/>
      <c r="F16" s="52"/>
      <c r="G16" s="56"/>
    </row>
    <row r="17" spans="2:11" ht="15.75" customHeight="1" x14ac:dyDescent="0.25">
      <c r="B17" s="363"/>
      <c r="C17" s="53"/>
      <c r="D17" s="54"/>
      <c r="E17" s="54"/>
      <c r="F17" s="54"/>
      <c r="G17" s="55"/>
    </row>
    <row r="18" spans="2:11" ht="15" customHeight="1" x14ac:dyDescent="0.25">
      <c r="B18" s="364" t="s">
        <v>78</v>
      </c>
      <c r="C18" s="365"/>
      <c r="D18" s="365"/>
      <c r="E18" s="365"/>
      <c r="F18" s="365"/>
      <c r="G18" s="366"/>
    </row>
    <row r="19" spans="2:11" ht="15.75" customHeight="1" x14ac:dyDescent="0.25">
      <c r="B19" s="367"/>
      <c r="C19" s="368"/>
      <c r="D19" s="368"/>
      <c r="E19" s="368"/>
      <c r="F19" s="368"/>
      <c r="G19" s="369"/>
      <c r="J19" s="67"/>
    </row>
    <row r="20" spans="2:11" x14ac:dyDescent="0.25">
      <c r="B20" s="370" t="s">
        <v>99</v>
      </c>
      <c r="C20" s="343"/>
      <c r="D20" s="343"/>
      <c r="E20" s="343"/>
      <c r="F20" s="371">
        <v>3.1</v>
      </c>
      <c r="G20" s="373" t="s">
        <v>76</v>
      </c>
    </row>
    <row r="21" spans="2:11" ht="16.5" x14ac:dyDescent="0.25">
      <c r="B21" s="344"/>
      <c r="C21" s="168"/>
      <c r="D21" s="168"/>
      <c r="E21" s="168"/>
      <c r="F21" s="372"/>
      <c r="G21" s="374"/>
      <c r="K21" s="63"/>
    </row>
    <row r="22" spans="2:11" ht="15.75" x14ac:dyDescent="0.3">
      <c r="B22" s="348" t="s">
        <v>79</v>
      </c>
      <c r="C22" s="58"/>
      <c r="D22" s="46"/>
      <c r="E22" s="47"/>
      <c r="F22" s="48"/>
      <c r="G22" s="66"/>
    </row>
    <row r="23" spans="2:11" x14ac:dyDescent="0.25">
      <c r="B23" s="349"/>
      <c r="C23" s="51" t="s">
        <v>89</v>
      </c>
      <c r="F23" s="50"/>
      <c r="G23" s="50"/>
    </row>
    <row r="24" spans="2:11" ht="15.75" x14ac:dyDescent="0.3">
      <c r="B24" s="349"/>
      <c r="C24" s="49" t="s">
        <v>108</v>
      </c>
      <c r="D24" s="52"/>
      <c r="E24" s="52"/>
      <c r="F24" s="56"/>
      <c r="G24" s="50"/>
    </row>
    <row r="25" spans="2:11" ht="15.75" x14ac:dyDescent="0.3">
      <c r="B25" s="349"/>
      <c r="C25" s="49" t="s">
        <v>109</v>
      </c>
      <c r="F25" s="50"/>
      <c r="G25" s="50"/>
    </row>
    <row r="26" spans="2:11" ht="15.75" customHeight="1" x14ac:dyDescent="0.25">
      <c r="B26" s="349"/>
      <c r="C26" s="61"/>
      <c r="F26" s="50"/>
      <c r="G26" s="50"/>
    </row>
    <row r="27" spans="2:11" x14ac:dyDescent="0.25">
      <c r="B27" s="349"/>
      <c r="F27" s="50"/>
      <c r="G27" s="50"/>
    </row>
    <row r="28" spans="2:11" ht="15.75" x14ac:dyDescent="0.3">
      <c r="B28" s="349"/>
      <c r="D28" s="52"/>
      <c r="E28" s="52"/>
      <c r="F28" s="56"/>
      <c r="G28" s="56"/>
    </row>
    <row r="29" spans="2:11" ht="15.75" customHeight="1" x14ac:dyDescent="0.25">
      <c r="B29" s="349"/>
      <c r="C29" s="61"/>
      <c r="F29" s="50"/>
      <c r="G29" s="50"/>
    </row>
    <row r="30" spans="2:11" ht="15.75" customHeight="1" x14ac:dyDescent="0.25">
      <c r="B30" s="349"/>
      <c r="C30" s="53"/>
      <c r="D30" s="54"/>
      <c r="E30" s="54"/>
      <c r="F30" s="55"/>
      <c r="G30" s="50"/>
    </row>
    <row r="31" spans="2:11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1" ht="15.75" customHeight="1" x14ac:dyDescent="0.3">
      <c r="B32" s="349"/>
      <c r="C32" s="49" t="s">
        <v>100</v>
      </c>
      <c r="D32" s="52"/>
      <c r="E32" s="52"/>
      <c r="F32" s="52"/>
      <c r="G32" s="56"/>
    </row>
    <row r="33" spans="2:7" ht="15.75" x14ac:dyDescent="0.3">
      <c r="B33" s="320"/>
      <c r="C33" s="49" t="s">
        <v>101</v>
      </c>
      <c r="G33" s="50"/>
    </row>
    <row r="34" spans="2:7" ht="15.75" customHeight="1" x14ac:dyDescent="0.3">
      <c r="B34" s="316"/>
      <c r="C34" s="57" t="s">
        <v>102</v>
      </c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89FAD-EE90-40B3-9BF0-2CE2A8CB4ECC}">
  <sheetPr codeName="Tabelle4"/>
  <dimension ref="B1:K49"/>
  <sheetViews>
    <sheetView workbookViewId="0">
      <selection activeCell="F9" sqref="F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Kompetenzraster!Q9</f>
        <v>45530</v>
      </c>
      <c r="F1" s="335"/>
      <c r="G1" s="338">
        <v>3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111</v>
      </c>
      <c r="C3" s="343"/>
      <c r="D3" s="343"/>
      <c r="E3" s="343"/>
      <c r="F3" s="346">
        <v>3.5</v>
      </c>
      <c r="G3" s="340" t="s">
        <v>76</v>
      </c>
    </row>
    <row r="4" spans="2:7" ht="14.25" customHeight="1" x14ac:dyDescent="0.25">
      <c r="B4" s="344"/>
      <c r="C4" s="345"/>
      <c r="D4" s="345"/>
      <c r="E4" s="345"/>
      <c r="F4" s="347"/>
      <c r="G4" s="341"/>
    </row>
    <row r="5" spans="2:7" ht="15.75" customHeight="1" x14ac:dyDescent="0.25">
      <c r="B5" s="359" t="s">
        <v>75</v>
      </c>
      <c r="C5" s="69" t="s">
        <v>225</v>
      </c>
      <c r="D5" s="70"/>
      <c r="E5" s="70"/>
      <c r="F5" s="95" t="s">
        <v>226</v>
      </c>
      <c r="G5" s="66"/>
    </row>
    <row r="6" spans="2:7" x14ac:dyDescent="0.25">
      <c r="B6" s="360"/>
      <c r="C6" s="76" t="s">
        <v>89</v>
      </c>
      <c r="D6" s="59"/>
      <c r="E6" s="59"/>
      <c r="F6" s="60"/>
      <c r="G6" s="50"/>
    </row>
    <row r="7" spans="2:7" ht="15.75" x14ac:dyDescent="0.3">
      <c r="B7" s="360"/>
      <c r="C7" s="49" t="s">
        <v>245</v>
      </c>
      <c r="F7" s="50"/>
      <c r="G7" s="50"/>
    </row>
    <row r="8" spans="2:7" ht="15.75" x14ac:dyDescent="0.3">
      <c r="B8" s="360"/>
      <c r="C8" s="49" t="s">
        <v>117</v>
      </c>
      <c r="F8" s="50"/>
      <c r="G8" s="56"/>
    </row>
    <row r="9" spans="2:7" ht="15.75" x14ac:dyDescent="0.3">
      <c r="B9" s="360"/>
      <c r="C9" s="49"/>
      <c r="F9" s="50"/>
      <c r="G9" s="56"/>
    </row>
    <row r="10" spans="2:7" x14ac:dyDescent="0.25">
      <c r="B10" s="360"/>
      <c r="C10" s="51" t="s">
        <v>116</v>
      </c>
      <c r="F10" s="50"/>
      <c r="G10" s="50"/>
    </row>
    <row r="11" spans="2:7" ht="15.75" x14ac:dyDescent="0.3">
      <c r="B11" s="360"/>
      <c r="C11" s="49" t="s">
        <v>264</v>
      </c>
      <c r="F11" s="50"/>
      <c r="G11" s="50"/>
    </row>
    <row r="12" spans="2:7" ht="15.75" x14ac:dyDescent="0.3">
      <c r="B12" s="360"/>
      <c r="C12" s="49" t="s">
        <v>115</v>
      </c>
      <c r="E12" s="52"/>
      <c r="F12" s="50"/>
      <c r="G12" s="50"/>
    </row>
    <row r="13" spans="2:7" x14ac:dyDescent="0.25">
      <c r="B13" s="360"/>
      <c r="C13" s="61"/>
      <c r="F13" s="50"/>
      <c r="G13" s="50"/>
    </row>
    <row r="14" spans="2:7" ht="15.75" x14ac:dyDescent="0.3">
      <c r="B14" s="360"/>
      <c r="C14" s="57"/>
      <c r="D14" s="54"/>
      <c r="E14" s="54"/>
      <c r="F14" s="55"/>
      <c r="G14" s="55"/>
    </row>
    <row r="15" spans="2:7" ht="15.75" customHeight="1" x14ac:dyDescent="0.25">
      <c r="B15" s="361"/>
      <c r="C15" s="350" t="s">
        <v>77</v>
      </c>
      <c r="D15" s="351"/>
      <c r="E15" s="351"/>
      <c r="F15" s="351"/>
      <c r="G15" s="352"/>
    </row>
    <row r="16" spans="2:7" ht="15" customHeight="1" x14ac:dyDescent="0.3">
      <c r="B16" s="362"/>
      <c r="C16" s="62" t="s">
        <v>112</v>
      </c>
      <c r="D16" s="47"/>
      <c r="E16" s="47"/>
      <c r="F16" s="47"/>
      <c r="G16" s="48"/>
    </row>
    <row r="17" spans="2:11" ht="15" customHeight="1" x14ac:dyDescent="0.3">
      <c r="B17" s="362"/>
      <c r="C17" s="49" t="s">
        <v>110</v>
      </c>
      <c r="D17" s="52"/>
      <c r="E17" s="52"/>
      <c r="F17" s="52"/>
      <c r="G17" s="56"/>
    </row>
    <row r="18" spans="2:11" ht="15.75" customHeight="1" x14ac:dyDescent="0.25">
      <c r="B18" s="363"/>
      <c r="C18" s="53"/>
      <c r="D18" s="54"/>
      <c r="E18" s="54"/>
      <c r="F18" s="54"/>
      <c r="G18" s="55"/>
    </row>
    <row r="19" spans="2:11" ht="15" customHeight="1" x14ac:dyDescent="0.25">
      <c r="B19" s="364" t="s">
        <v>78</v>
      </c>
      <c r="C19" s="365"/>
      <c r="D19" s="365"/>
      <c r="E19" s="365"/>
      <c r="F19" s="365"/>
      <c r="G19" s="366"/>
    </row>
    <row r="20" spans="2:11" ht="15.75" customHeight="1" x14ac:dyDescent="0.25">
      <c r="B20" s="367"/>
      <c r="C20" s="368"/>
      <c r="D20" s="368"/>
      <c r="E20" s="368"/>
      <c r="F20" s="368"/>
      <c r="G20" s="369"/>
      <c r="J20" s="67"/>
    </row>
    <row r="21" spans="2:11" x14ac:dyDescent="0.25">
      <c r="B21" s="370" t="s">
        <v>99</v>
      </c>
      <c r="C21" s="343"/>
      <c r="D21" s="343"/>
      <c r="E21" s="343"/>
      <c r="F21" s="371">
        <v>3.1</v>
      </c>
      <c r="G21" s="373" t="s">
        <v>76</v>
      </c>
    </row>
    <row r="22" spans="2:11" ht="16.5" x14ac:dyDescent="0.25">
      <c r="B22" s="344"/>
      <c r="C22" s="168"/>
      <c r="D22" s="168"/>
      <c r="E22" s="168"/>
      <c r="F22" s="372"/>
      <c r="G22" s="374"/>
      <c r="K22" s="63"/>
    </row>
    <row r="23" spans="2:11" ht="15.75" x14ac:dyDescent="0.3">
      <c r="B23" s="348" t="s">
        <v>79</v>
      </c>
      <c r="C23" s="58"/>
      <c r="D23" s="46"/>
      <c r="E23" s="47"/>
      <c r="F23" s="48"/>
      <c r="G23" s="66"/>
    </row>
    <row r="24" spans="2:11" x14ac:dyDescent="0.25">
      <c r="B24" s="349"/>
      <c r="C24" s="51" t="s">
        <v>89</v>
      </c>
      <c r="F24" s="50"/>
      <c r="G24" s="50"/>
    </row>
    <row r="25" spans="2:11" ht="15.75" x14ac:dyDescent="0.3">
      <c r="B25" s="349"/>
      <c r="C25" s="49" t="s">
        <v>114</v>
      </c>
      <c r="D25" s="52"/>
      <c r="E25" s="52"/>
      <c r="F25" s="56"/>
      <c r="G25" s="50"/>
    </row>
    <row r="26" spans="2:11" ht="15.75" x14ac:dyDescent="0.3">
      <c r="B26" s="349"/>
      <c r="C26" s="49" t="s">
        <v>113</v>
      </c>
      <c r="F26" s="50"/>
      <c r="G26" s="50"/>
    </row>
    <row r="27" spans="2:11" ht="15.75" customHeight="1" x14ac:dyDescent="0.25">
      <c r="B27" s="349"/>
      <c r="C27" s="61"/>
      <c r="F27" s="50"/>
      <c r="G27" s="50"/>
    </row>
    <row r="28" spans="2:11" x14ac:dyDescent="0.25">
      <c r="B28" s="349"/>
      <c r="F28" s="50"/>
      <c r="G28" s="50"/>
    </row>
    <row r="29" spans="2:11" ht="15.75" x14ac:dyDescent="0.3">
      <c r="B29" s="349"/>
      <c r="D29" s="52"/>
      <c r="E29" s="52"/>
      <c r="F29" s="56"/>
      <c r="G29" s="56"/>
    </row>
    <row r="30" spans="2:11" ht="15.75" customHeight="1" x14ac:dyDescent="0.25">
      <c r="B30" s="349"/>
      <c r="C30" s="61"/>
      <c r="F30" s="50"/>
      <c r="G30" s="50"/>
    </row>
    <row r="31" spans="2:11" ht="15.75" customHeight="1" x14ac:dyDescent="0.25">
      <c r="B31" s="349"/>
      <c r="C31" s="53"/>
      <c r="D31" s="54"/>
      <c r="E31" s="54"/>
      <c r="F31" s="55"/>
      <c r="G31" s="50"/>
    </row>
    <row r="32" spans="2:11" ht="15.75" customHeight="1" x14ac:dyDescent="0.25">
      <c r="B32" s="349"/>
      <c r="C32" s="350" t="s">
        <v>77</v>
      </c>
      <c r="D32" s="351"/>
      <c r="E32" s="351"/>
      <c r="F32" s="351"/>
      <c r="G32" s="352"/>
    </row>
    <row r="33" spans="2:7" ht="15.75" customHeight="1" x14ac:dyDescent="0.3">
      <c r="B33" s="349"/>
      <c r="C33" s="49" t="s">
        <v>100</v>
      </c>
      <c r="D33" s="52"/>
      <c r="E33" s="52"/>
      <c r="F33" s="52"/>
      <c r="G33" s="56"/>
    </row>
    <row r="34" spans="2:7" ht="15.75" x14ac:dyDescent="0.3">
      <c r="B34" s="320"/>
      <c r="C34" s="49" t="s">
        <v>101</v>
      </c>
      <c r="G34" s="50"/>
    </row>
    <row r="35" spans="2:7" ht="15.75" customHeight="1" x14ac:dyDescent="0.3">
      <c r="B35" s="316"/>
      <c r="C35" s="57" t="s">
        <v>102</v>
      </c>
      <c r="D35" s="54"/>
      <c r="E35" s="54"/>
      <c r="F35" s="54"/>
      <c r="G35" s="55"/>
    </row>
    <row r="36" spans="2:7" ht="15.75" customHeight="1" x14ac:dyDescent="0.25">
      <c r="B36" s="353" t="s">
        <v>80</v>
      </c>
      <c r="C36" s="354"/>
      <c r="D36" s="354"/>
      <c r="E36" s="353" t="s">
        <v>81</v>
      </c>
      <c r="F36" s="354"/>
      <c r="G36" s="357"/>
    </row>
    <row r="37" spans="2:7" ht="15.75" customHeight="1" x14ac:dyDescent="0.25">
      <c r="B37" s="355"/>
      <c r="C37" s="356"/>
      <c r="D37" s="356"/>
      <c r="E37" s="355"/>
      <c r="F37" s="356"/>
      <c r="G37" s="358"/>
    </row>
    <row r="38" spans="2:7" ht="15.75" customHeight="1" x14ac:dyDescent="0.25">
      <c r="B38" s="58"/>
      <c r="C38" s="59"/>
      <c r="D38" s="60"/>
      <c r="E38" s="58"/>
      <c r="F38" s="59"/>
      <c r="G38" s="6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ht="15.75" customHeight="1" x14ac:dyDescent="0.25">
      <c r="B47" s="61"/>
      <c r="D47" s="50"/>
      <c r="E47" s="61"/>
      <c r="G47" s="50"/>
    </row>
    <row r="48" spans="2:7" x14ac:dyDescent="0.25">
      <c r="B48" s="61"/>
      <c r="D48" s="50"/>
      <c r="E48" s="61"/>
      <c r="G48" s="50"/>
    </row>
    <row r="49" spans="2:7" x14ac:dyDescent="0.25">
      <c r="B49" s="53"/>
      <c r="C49" s="54"/>
      <c r="D49" s="55"/>
      <c r="E49" s="53"/>
      <c r="F49" s="54"/>
      <c r="G49" s="55"/>
    </row>
  </sheetData>
  <mergeCells count="16">
    <mergeCell ref="B1:D2"/>
    <mergeCell ref="E1:F2"/>
    <mergeCell ref="G1:G2"/>
    <mergeCell ref="B3:E4"/>
    <mergeCell ref="F3:F4"/>
    <mergeCell ref="G3:G4"/>
    <mergeCell ref="B23:B35"/>
    <mergeCell ref="C32:G32"/>
    <mergeCell ref="B36:D37"/>
    <mergeCell ref="E36:G37"/>
    <mergeCell ref="B5:B18"/>
    <mergeCell ref="C15:G15"/>
    <mergeCell ref="B19:G20"/>
    <mergeCell ref="B21:E22"/>
    <mergeCell ref="F21:F22"/>
    <mergeCell ref="G21:G22"/>
  </mergeCells>
  <pageMargins left="0.25" right="0.25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87A4-3A02-4A12-A86C-AAE15379521C}">
  <sheetPr codeName="Tabelle5"/>
  <dimension ref="B1:K48"/>
  <sheetViews>
    <sheetView workbookViewId="0">
      <selection activeCell="C6" sqref="C6:C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Kompetenzraster!Q11</f>
        <v>45537</v>
      </c>
      <c r="F1" s="335"/>
      <c r="G1" s="338">
        <v>4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111</v>
      </c>
      <c r="C3" s="343"/>
      <c r="D3" s="343"/>
      <c r="E3" s="343"/>
      <c r="F3" s="346">
        <v>3.5</v>
      </c>
      <c r="G3" s="340" t="s">
        <v>76</v>
      </c>
    </row>
    <row r="4" spans="2:7" ht="14.25" customHeight="1" x14ac:dyDescent="0.25">
      <c r="B4" s="344"/>
      <c r="C4" s="345"/>
      <c r="D4" s="345"/>
      <c r="E4" s="345"/>
      <c r="F4" s="347"/>
      <c r="G4" s="341"/>
    </row>
    <row r="5" spans="2:7" ht="15.75" customHeight="1" x14ac:dyDescent="0.3">
      <c r="B5" s="359" t="s">
        <v>75</v>
      </c>
      <c r="C5" s="58"/>
      <c r="D5" s="46"/>
      <c r="E5" s="47"/>
      <c r="F5" s="48"/>
      <c r="G5" s="66"/>
    </row>
    <row r="6" spans="2:7" x14ac:dyDescent="0.25">
      <c r="B6" s="360"/>
      <c r="C6" s="51" t="s">
        <v>119</v>
      </c>
      <c r="F6" s="50"/>
      <c r="G6" s="50"/>
    </row>
    <row r="7" spans="2:7" ht="15.75" x14ac:dyDescent="0.3">
      <c r="B7" s="360"/>
      <c r="C7" s="49" t="s">
        <v>120</v>
      </c>
      <c r="F7" s="50"/>
      <c r="G7" s="50"/>
    </row>
    <row r="8" spans="2:7" ht="15.75" x14ac:dyDescent="0.3">
      <c r="B8" s="360"/>
      <c r="C8" s="49" t="s">
        <v>121</v>
      </c>
      <c r="F8" s="50"/>
      <c r="G8" s="56"/>
    </row>
    <row r="9" spans="2:7" ht="15.75" x14ac:dyDescent="0.3">
      <c r="B9" s="360"/>
      <c r="C9" s="49" t="s">
        <v>124</v>
      </c>
      <c r="F9" s="50"/>
      <c r="G9" s="50"/>
    </row>
    <row r="10" spans="2:7" x14ac:dyDescent="0.25">
      <c r="B10" s="360"/>
      <c r="C10" s="61"/>
      <c r="F10" s="50"/>
      <c r="G10" s="50"/>
    </row>
    <row r="11" spans="2:7" ht="15.75" x14ac:dyDescent="0.3">
      <c r="B11" s="360"/>
      <c r="C11" s="51" t="s">
        <v>222</v>
      </c>
      <c r="D11" s="52"/>
      <c r="E11" s="52"/>
      <c r="F11" s="50"/>
      <c r="G11" s="68"/>
    </row>
    <row r="12" spans="2:7" ht="15.75" x14ac:dyDescent="0.3">
      <c r="B12" s="360"/>
      <c r="C12" s="49" t="s">
        <v>228</v>
      </c>
      <c r="F12" s="50"/>
      <c r="G12" s="50"/>
    </row>
    <row r="13" spans="2:7" ht="15.75" x14ac:dyDescent="0.3">
      <c r="B13" s="360"/>
      <c r="C13" s="57"/>
      <c r="D13" s="54"/>
      <c r="E13" s="54"/>
      <c r="F13" s="55"/>
      <c r="G13" s="55"/>
    </row>
    <row r="14" spans="2:7" ht="15.75" customHeight="1" x14ac:dyDescent="0.25">
      <c r="B14" s="361"/>
      <c r="C14" s="375" t="s">
        <v>77</v>
      </c>
      <c r="D14" s="376"/>
      <c r="E14" s="376"/>
      <c r="F14" s="376"/>
      <c r="G14" s="377"/>
    </row>
    <row r="15" spans="2:7" ht="15" customHeight="1" x14ac:dyDescent="0.3">
      <c r="B15" s="362"/>
      <c r="C15" s="62" t="s">
        <v>122</v>
      </c>
      <c r="D15" s="47"/>
      <c r="E15" s="47"/>
      <c r="F15" s="47"/>
      <c r="G15" s="48"/>
    </row>
    <row r="16" spans="2:7" ht="15" customHeight="1" x14ac:dyDescent="0.3">
      <c r="B16" s="362"/>
      <c r="C16" s="49" t="s">
        <v>123</v>
      </c>
      <c r="D16" s="52"/>
      <c r="E16" s="52"/>
      <c r="F16" s="52"/>
      <c r="G16" s="56"/>
    </row>
    <row r="17" spans="2:11" ht="15.75" customHeight="1" x14ac:dyDescent="0.3">
      <c r="B17" s="363"/>
      <c r="C17" s="57" t="s">
        <v>110</v>
      </c>
      <c r="D17" s="54"/>
      <c r="E17" s="54"/>
      <c r="F17" s="54"/>
      <c r="G17" s="55"/>
    </row>
    <row r="18" spans="2:11" ht="15" customHeight="1" x14ac:dyDescent="0.25">
      <c r="B18" s="364" t="s">
        <v>78</v>
      </c>
      <c r="C18" s="365"/>
      <c r="D18" s="365"/>
      <c r="E18" s="365"/>
      <c r="F18" s="365"/>
      <c r="G18" s="366"/>
    </row>
    <row r="19" spans="2:11" ht="15.75" customHeight="1" x14ac:dyDescent="0.25">
      <c r="B19" s="367"/>
      <c r="C19" s="368"/>
      <c r="D19" s="368"/>
      <c r="E19" s="368"/>
      <c r="F19" s="368"/>
      <c r="G19" s="369"/>
      <c r="J19" s="67"/>
    </row>
    <row r="20" spans="2:11" x14ac:dyDescent="0.25">
      <c r="B20" s="370" t="s">
        <v>99</v>
      </c>
      <c r="C20" s="343"/>
      <c r="D20" s="343"/>
      <c r="E20" s="343"/>
      <c r="F20" s="371">
        <v>3.1</v>
      </c>
      <c r="G20" s="373" t="s">
        <v>76</v>
      </c>
    </row>
    <row r="21" spans="2:11" ht="16.5" x14ac:dyDescent="0.25">
      <c r="B21" s="344"/>
      <c r="C21" s="168"/>
      <c r="D21" s="168"/>
      <c r="E21" s="168"/>
      <c r="F21" s="372"/>
      <c r="G21" s="374"/>
      <c r="K21" s="63"/>
    </row>
    <row r="22" spans="2:11" ht="15.75" x14ac:dyDescent="0.3">
      <c r="B22" s="348" t="s">
        <v>79</v>
      </c>
      <c r="C22" s="58"/>
      <c r="D22" s="46"/>
      <c r="E22" s="47"/>
      <c r="F22" s="48"/>
      <c r="G22" s="66"/>
    </row>
    <row r="23" spans="2:11" x14ac:dyDescent="0.25">
      <c r="B23" s="349"/>
      <c r="C23" s="51" t="s">
        <v>89</v>
      </c>
      <c r="F23" s="50"/>
      <c r="G23" s="50"/>
    </row>
    <row r="24" spans="2:11" ht="15.75" x14ac:dyDescent="0.3">
      <c r="B24" s="349"/>
      <c r="C24" s="49" t="s">
        <v>118</v>
      </c>
      <c r="D24" s="52"/>
      <c r="E24" s="52"/>
      <c r="F24" s="56"/>
      <c r="G24" s="50"/>
    </row>
    <row r="25" spans="2:11" ht="15.75" x14ac:dyDescent="0.3">
      <c r="B25" s="349"/>
      <c r="C25" s="49" t="s">
        <v>113</v>
      </c>
      <c r="F25" s="50"/>
      <c r="G25" s="50"/>
    </row>
    <row r="26" spans="2:11" ht="15.75" customHeight="1" x14ac:dyDescent="0.25">
      <c r="B26" s="349"/>
      <c r="C26" s="61"/>
      <c r="F26" s="50"/>
      <c r="G26" s="50"/>
    </row>
    <row r="27" spans="2:11" x14ac:dyDescent="0.25">
      <c r="B27" s="349"/>
      <c r="F27" s="50"/>
      <c r="G27" s="50"/>
    </row>
    <row r="28" spans="2:11" ht="15.75" x14ac:dyDescent="0.3">
      <c r="B28" s="349"/>
      <c r="D28" s="52"/>
      <c r="E28" s="52"/>
      <c r="F28" s="56"/>
      <c r="G28" s="56"/>
    </row>
    <row r="29" spans="2:11" ht="15.75" customHeight="1" x14ac:dyDescent="0.25">
      <c r="B29" s="349"/>
      <c r="C29" s="61"/>
      <c r="F29" s="50"/>
      <c r="G29" s="50"/>
    </row>
    <row r="30" spans="2:11" ht="15.75" customHeight="1" x14ac:dyDescent="0.25">
      <c r="B30" s="349"/>
      <c r="C30" s="53"/>
      <c r="D30" s="54"/>
      <c r="E30" s="54"/>
      <c r="F30" s="55"/>
      <c r="G30" s="50"/>
    </row>
    <row r="31" spans="2:11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1" ht="15.75" customHeight="1" x14ac:dyDescent="0.3">
      <c r="B32" s="349"/>
      <c r="C32" s="49" t="s">
        <v>100</v>
      </c>
      <c r="D32" s="52"/>
      <c r="E32" s="52"/>
      <c r="F32" s="52"/>
      <c r="G32" s="56"/>
    </row>
    <row r="33" spans="2:7" ht="15.75" x14ac:dyDescent="0.3">
      <c r="B33" s="320"/>
      <c r="C33" s="49" t="s">
        <v>101</v>
      </c>
      <c r="G33" s="50"/>
    </row>
    <row r="34" spans="2:7" ht="15.75" customHeight="1" x14ac:dyDescent="0.3">
      <c r="B34" s="316"/>
      <c r="C34" s="57" t="s">
        <v>102</v>
      </c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3">
      <c r="B39" s="61"/>
      <c r="C39" s="52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577A-561B-431B-A712-84FF2E010D25}">
  <sheetPr codeName="Tabelle6"/>
  <dimension ref="B1:K48"/>
  <sheetViews>
    <sheetView workbookViewId="0">
      <selection activeCell="K26" sqref="K26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Kompetenzraster!Q13</f>
        <v>45544</v>
      </c>
      <c r="F1" s="335"/>
      <c r="G1" s="338">
        <v>5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111</v>
      </c>
      <c r="C3" s="343"/>
      <c r="D3" s="343"/>
      <c r="E3" s="343"/>
      <c r="F3" s="346">
        <v>3.5</v>
      </c>
      <c r="G3" s="340" t="s">
        <v>76</v>
      </c>
    </row>
    <row r="4" spans="2:7" ht="14.25" customHeight="1" x14ac:dyDescent="0.25">
      <c r="B4" s="344"/>
      <c r="C4" s="345"/>
      <c r="D4" s="345"/>
      <c r="E4" s="345"/>
      <c r="F4" s="347"/>
      <c r="G4" s="341"/>
    </row>
    <row r="5" spans="2:7" ht="15.75" customHeight="1" x14ac:dyDescent="0.25">
      <c r="B5" s="359" t="s">
        <v>75</v>
      </c>
      <c r="C5" s="58"/>
      <c r="D5" s="59"/>
      <c r="E5" s="59"/>
      <c r="F5" s="60"/>
      <c r="G5" s="66"/>
    </row>
    <row r="6" spans="2:7" x14ac:dyDescent="0.25">
      <c r="B6" s="360"/>
      <c r="C6" s="51" t="s">
        <v>229</v>
      </c>
      <c r="F6" s="50"/>
      <c r="G6" s="50"/>
    </row>
    <row r="7" spans="2:7" ht="15.75" x14ac:dyDescent="0.3">
      <c r="B7" s="360"/>
      <c r="C7" s="49" t="s">
        <v>230</v>
      </c>
      <c r="F7" s="50"/>
      <c r="G7" s="50"/>
    </row>
    <row r="8" spans="2:7" ht="15.75" x14ac:dyDescent="0.3">
      <c r="B8" s="360"/>
      <c r="C8" s="49" t="s">
        <v>231</v>
      </c>
      <c r="F8" s="50"/>
      <c r="G8" s="56"/>
    </row>
    <row r="9" spans="2:7" x14ac:dyDescent="0.25">
      <c r="B9" s="360"/>
      <c r="C9" s="61"/>
      <c r="F9" s="50"/>
      <c r="G9" s="50"/>
    </row>
    <row r="10" spans="2:7" x14ac:dyDescent="0.25">
      <c r="B10" s="360"/>
      <c r="C10" s="51" t="s">
        <v>232</v>
      </c>
      <c r="F10" s="50"/>
      <c r="G10" s="50"/>
    </row>
    <row r="11" spans="2:7" ht="15.75" x14ac:dyDescent="0.3">
      <c r="B11" s="360"/>
      <c r="C11" s="49" t="s">
        <v>246</v>
      </c>
      <c r="F11" s="50"/>
      <c r="G11" s="68" t="s">
        <v>126</v>
      </c>
    </row>
    <row r="12" spans="2:7" ht="15.75" x14ac:dyDescent="0.3">
      <c r="B12" s="360"/>
      <c r="C12" s="49" t="s">
        <v>125</v>
      </c>
      <c r="F12" s="50"/>
      <c r="G12" s="50"/>
    </row>
    <row r="13" spans="2:7" ht="15.75" x14ac:dyDescent="0.3">
      <c r="B13" s="360"/>
      <c r="C13" s="57"/>
      <c r="D13" s="93"/>
      <c r="E13" s="93"/>
      <c r="F13" s="55"/>
      <c r="G13" s="55"/>
    </row>
    <row r="14" spans="2:7" ht="15.75" customHeight="1" x14ac:dyDescent="0.25">
      <c r="B14" s="361"/>
      <c r="C14" s="375" t="s">
        <v>77</v>
      </c>
      <c r="D14" s="376"/>
      <c r="E14" s="376"/>
      <c r="F14" s="376"/>
      <c r="G14" s="377"/>
    </row>
    <row r="15" spans="2:7" ht="15" customHeight="1" x14ac:dyDescent="0.3">
      <c r="B15" s="362"/>
      <c r="C15" s="62" t="s">
        <v>233</v>
      </c>
      <c r="D15" s="47"/>
      <c r="E15" s="47"/>
      <c r="F15" s="47"/>
      <c r="G15" s="48"/>
    </row>
    <row r="16" spans="2:7" ht="15" customHeight="1" x14ac:dyDescent="0.3">
      <c r="B16" s="362"/>
      <c r="C16" s="49" t="s">
        <v>123</v>
      </c>
      <c r="D16" s="52"/>
      <c r="E16" s="52"/>
      <c r="F16" s="52"/>
      <c r="G16" s="56"/>
    </row>
    <row r="17" spans="2:11" ht="15.75" customHeight="1" x14ac:dyDescent="0.3">
      <c r="B17" s="363"/>
      <c r="C17" s="57" t="s">
        <v>110</v>
      </c>
      <c r="D17" s="54"/>
      <c r="E17" s="54"/>
      <c r="F17" s="54"/>
      <c r="G17" s="55"/>
    </row>
    <row r="18" spans="2:11" ht="15" customHeight="1" x14ac:dyDescent="0.25">
      <c r="B18" s="364" t="s">
        <v>78</v>
      </c>
      <c r="C18" s="365"/>
      <c r="D18" s="365"/>
      <c r="E18" s="365"/>
      <c r="F18" s="365"/>
      <c r="G18" s="366"/>
    </row>
    <row r="19" spans="2:11" ht="15.75" customHeight="1" x14ac:dyDescent="0.25">
      <c r="B19" s="367"/>
      <c r="C19" s="368"/>
      <c r="D19" s="368"/>
      <c r="E19" s="368"/>
      <c r="F19" s="368"/>
      <c r="G19" s="369"/>
      <c r="J19" s="67"/>
    </row>
    <row r="20" spans="2:11" x14ac:dyDescent="0.25">
      <c r="B20" s="370" t="s">
        <v>99</v>
      </c>
      <c r="C20" s="343"/>
      <c r="D20" s="343"/>
      <c r="E20" s="343"/>
      <c r="F20" s="371">
        <v>3.1</v>
      </c>
      <c r="G20" s="373" t="s">
        <v>76</v>
      </c>
    </row>
    <row r="21" spans="2:11" ht="16.5" x14ac:dyDescent="0.25">
      <c r="B21" s="344"/>
      <c r="C21" s="168"/>
      <c r="D21" s="168"/>
      <c r="E21" s="168"/>
      <c r="F21" s="372"/>
      <c r="G21" s="374"/>
      <c r="K21" s="63"/>
    </row>
    <row r="22" spans="2:11" ht="15.75" x14ac:dyDescent="0.3">
      <c r="B22" s="348" t="s">
        <v>79</v>
      </c>
      <c r="C22" s="58"/>
      <c r="D22" s="46"/>
      <c r="E22" s="47"/>
      <c r="F22" s="48"/>
      <c r="G22" s="66"/>
    </row>
    <row r="23" spans="2:11" x14ac:dyDescent="0.25">
      <c r="B23" s="349"/>
      <c r="C23" s="51" t="s">
        <v>89</v>
      </c>
      <c r="F23" s="50"/>
      <c r="G23" s="50"/>
    </row>
    <row r="24" spans="2:11" ht="15.75" x14ac:dyDescent="0.3">
      <c r="B24" s="349"/>
      <c r="C24" s="49" t="s">
        <v>129</v>
      </c>
      <c r="D24" s="52"/>
      <c r="E24" s="52"/>
      <c r="F24" s="56"/>
      <c r="G24" s="50"/>
    </row>
    <row r="25" spans="2:11" ht="15.75" x14ac:dyDescent="0.3">
      <c r="B25" s="349"/>
      <c r="C25" s="49" t="s">
        <v>128</v>
      </c>
      <c r="F25" s="50"/>
      <c r="G25" s="50"/>
    </row>
    <row r="26" spans="2:11" ht="15.75" customHeight="1" x14ac:dyDescent="0.25">
      <c r="B26" s="349"/>
      <c r="C26" s="61"/>
      <c r="F26" s="50"/>
      <c r="G26" s="50"/>
    </row>
    <row r="27" spans="2:11" x14ac:dyDescent="0.25">
      <c r="B27" s="349"/>
      <c r="F27" s="50"/>
      <c r="G27" s="50"/>
    </row>
    <row r="28" spans="2:11" ht="15.75" x14ac:dyDescent="0.3">
      <c r="B28" s="349"/>
      <c r="D28" s="52"/>
      <c r="E28" s="52"/>
      <c r="F28" s="56"/>
      <c r="G28" s="68" t="s">
        <v>126</v>
      </c>
    </row>
    <row r="29" spans="2:11" ht="15.75" customHeight="1" x14ac:dyDescent="0.3">
      <c r="B29" s="349"/>
      <c r="C29" s="49" t="s">
        <v>127</v>
      </c>
      <c r="F29" s="50"/>
      <c r="G29" s="50"/>
    </row>
    <row r="30" spans="2:11" ht="15.75" customHeight="1" x14ac:dyDescent="0.25">
      <c r="B30" s="349"/>
      <c r="C30" s="53"/>
      <c r="D30" s="54"/>
      <c r="E30" s="54"/>
      <c r="F30" s="55"/>
      <c r="G30" s="50"/>
    </row>
    <row r="31" spans="2:11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1" ht="15.75" customHeight="1" x14ac:dyDescent="0.3">
      <c r="B32" s="349"/>
      <c r="C32" s="49" t="s">
        <v>100</v>
      </c>
      <c r="D32" s="52"/>
      <c r="E32" s="52"/>
      <c r="F32" s="52"/>
      <c r="G32" s="56"/>
    </row>
    <row r="33" spans="2:7" ht="15.75" x14ac:dyDescent="0.3">
      <c r="B33" s="320"/>
      <c r="C33" s="49" t="s">
        <v>101</v>
      </c>
      <c r="G33" s="50"/>
    </row>
    <row r="34" spans="2:7" ht="15.75" customHeight="1" x14ac:dyDescent="0.3">
      <c r="B34" s="316"/>
      <c r="C34" s="57" t="s">
        <v>102</v>
      </c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C920-53E1-49E7-87B5-0DB0511D2D90}">
  <sheetPr codeName="Tabelle7"/>
  <dimension ref="B1:G48"/>
  <sheetViews>
    <sheetView workbookViewId="0">
      <selection activeCell="B3" sqref="B3:E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Kompetenzraster!Q15</f>
        <v>45551</v>
      </c>
      <c r="F1" s="335"/>
      <c r="G1" s="338">
        <v>6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160</v>
      </c>
      <c r="C3" s="343"/>
      <c r="D3" s="343"/>
      <c r="E3" s="343"/>
      <c r="F3" s="346">
        <v>3.7</v>
      </c>
      <c r="G3" s="340" t="s">
        <v>76</v>
      </c>
    </row>
    <row r="4" spans="2:7" ht="14.25" customHeight="1" x14ac:dyDescent="0.25">
      <c r="B4" s="344"/>
      <c r="C4" s="345"/>
      <c r="D4" s="345"/>
      <c r="E4" s="345"/>
      <c r="F4" s="347"/>
      <c r="G4" s="341"/>
    </row>
    <row r="5" spans="2:7" ht="15.75" customHeight="1" x14ac:dyDescent="0.25">
      <c r="B5" s="359" t="s">
        <v>75</v>
      </c>
      <c r="C5" s="96" t="s">
        <v>234</v>
      </c>
      <c r="D5" s="97"/>
      <c r="E5" s="97"/>
      <c r="F5" s="98" t="s">
        <v>227</v>
      </c>
      <c r="G5" s="66"/>
    </row>
    <row r="6" spans="2:7" x14ac:dyDescent="0.25">
      <c r="B6" s="360"/>
      <c r="C6" s="58"/>
      <c r="D6" s="59"/>
      <c r="E6" s="59"/>
      <c r="F6" s="60"/>
      <c r="G6" s="50"/>
    </row>
    <row r="7" spans="2:7" x14ac:dyDescent="0.25">
      <c r="B7" s="360"/>
      <c r="C7" s="51" t="s">
        <v>103</v>
      </c>
      <c r="F7" s="50"/>
      <c r="G7" s="50"/>
    </row>
    <row r="8" spans="2:7" ht="15.75" x14ac:dyDescent="0.3">
      <c r="B8" s="360"/>
      <c r="C8" s="49" t="s">
        <v>161</v>
      </c>
      <c r="F8" s="50"/>
      <c r="G8" s="56"/>
    </row>
    <row r="9" spans="2:7" ht="15.75" x14ac:dyDescent="0.3">
      <c r="B9" s="360"/>
      <c r="C9" s="49" t="s">
        <v>247</v>
      </c>
      <c r="E9" s="80"/>
      <c r="F9" s="77"/>
      <c r="G9" s="50"/>
    </row>
    <row r="10" spans="2:7" ht="15.75" x14ac:dyDescent="0.3">
      <c r="B10" s="360"/>
      <c r="C10" s="49" t="s">
        <v>168</v>
      </c>
      <c r="E10" s="81"/>
      <c r="F10" s="79"/>
      <c r="G10" s="50"/>
    </row>
    <row r="11" spans="2:7" ht="15.75" x14ac:dyDescent="0.3">
      <c r="B11" s="360"/>
      <c r="C11" s="61"/>
      <c r="E11" s="52"/>
      <c r="F11" s="50"/>
      <c r="G11" s="50"/>
    </row>
    <row r="12" spans="2:7" x14ac:dyDescent="0.25">
      <c r="B12" s="360"/>
      <c r="C12" s="51" t="s">
        <v>89</v>
      </c>
      <c r="D12" s="80"/>
      <c r="F12" s="50"/>
      <c r="G12" s="50"/>
    </row>
    <row r="13" spans="2:7" ht="15.75" x14ac:dyDescent="0.3">
      <c r="B13" s="360"/>
      <c r="C13" s="57" t="s">
        <v>162</v>
      </c>
      <c r="D13" s="72"/>
      <c r="E13" s="99" t="s">
        <v>248</v>
      </c>
      <c r="F13" s="73"/>
      <c r="G13" s="50"/>
    </row>
    <row r="14" spans="2:7" ht="15" customHeight="1" x14ac:dyDescent="0.25">
      <c r="B14" s="361"/>
      <c r="C14" s="350" t="s">
        <v>77</v>
      </c>
      <c r="D14" s="351"/>
      <c r="E14" s="351"/>
      <c r="F14" s="351"/>
      <c r="G14" s="352"/>
    </row>
    <row r="15" spans="2:7" ht="15" customHeight="1" x14ac:dyDescent="0.3">
      <c r="B15" s="362"/>
      <c r="C15" s="62" t="s">
        <v>163</v>
      </c>
      <c r="D15" s="47"/>
      <c r="E15" s="47"/>
      <c r="F15" s="47"/>
      <c r="G15" s="48"/>
    </row>
    <row r="16" spans="2:7" ht="15" customHeight="1" x14ac:dyDescent="0.3">
      <c r="B16" s="362"/>
      <c r="C16" s="49" t="s">
        <v>164</v>
      </c>
      <c r="D16" s="52"/>
      <c r="E16" s="52"/>
      <c r="F16" s="52"/>
      <c r="G16" s="56"/>
    </row>
    <row r="17" spans="2:7" ht="15.75" x14ac:dyDescent="0.3">
      <c r="B17" s="363"/>
      <c r="C17" s="57"/>
      <c r="D17" s="54"/>
      <c r="E17" s="54"/>
      <c r="F17" s="54"/>
      <c r="G17" s="55"/>
    </row>
    <row r="18" spans="2:7" ht="15" customHeight="1" x14ac:dyDescent="0.25">
      <c r="B18" s="364" t="s">
        <v>78</v>
      </c>
      <c r="C18" s="378"/>
      <c r="D18" s="378"/>
      <c r="E18" s="378"/>
      <c r="F18" s="378"/>
      <c r="G18" s="379"/>
    </row>
    <row r="19" spans="2:7" x14ac:dyDescent="0.25">
      <c r="B19" s="380"/>
      <c r="C19" s="381"/>
      <c r="D19" s="381"/>
      <c r="E19" s="381"/>
      <c r="F19" s="381"/>
      <c r="G19" s="382"/>
    </row>
    <row r="20" spans="2:7" x14ac:dyDescent="0.25">
      <c r="B20" s="370" t="s">
        <v>99</v>
      </c>
      <c r="C20" s="343"/>
      <c r="D20" s="343"/>
      <c r="E20" s="343"/>
      <c r="F20" s="371">
        <v>3.1</v>
      </c>
      <c r="G20" s="373" t="s">
        <v>76</v>
      </c>
    </row>
    <row r="21" spans="2:7" x14ac:dyDescent="0.25">
      <c r="B21" s="344"/>
      <c r="C21" s="168"/>
      <c r="D21" s="168"/>
      <c r="E21" s="168"/>
      <c r="F21" s="372"/>
      <c r="G21" s="374"/>
    </row>
    <row r="22" spans="2:7" ht="15.75" x14ac:dyDescent="0.3">
      <c r="B22" s="348" t="s">
        <v>79</v>
      </c>
      <c r="C22" s="58"/>
      <c r="D22" s="46"/>
      <c r="E22" s="47"/>
      <c r="F22" s="48"/>
      <c r="G22" s="66"/>
    </row>
    <row r="23" spans="2:7" x14ac:dyDescent="0.25">
      <c r="B23" s="349"/>
      <c r="C23" s="51" t="s">
        <v>89</v>
      </c>
      <c r="F23" s="50"/>
      <c r="G23" s="50"/>
    </row>
    <row r="24" spans="2:7" ht="15.75" x14ac:dyDescent="0.3">
      <c r="B24" s="349"/>
      <c r="C24" s="49" t="s">
        <v>132</v>
      </c>
      <c r="D24" s="52"/>
      <c r="E24" s="52"/>
      <c r="F24" s="56"/>
      <c r="G24" s="50"/>
    </row>
    <row r="25" spans="2:7" ht="15.75" x14ac:dyDescent="0.3">
      <c r="B25" s="349"/>
      <c r="C25" s="49"/>
      <c r="F25" s="50"/>
      <c r="G25" s="50"/>
    </row>
    <row r="26" spans="2:7" ht="15.75" customHeight="1" x14ac:dyDescent="0.25">
      <c r="B26" s="349"/>
      <c r="C26" s="61"/>
      <c r="F26" s="50"/>
      <c r="G26" s="50"/>
    </row>
    <row r="27" spans="2:7" x14ac:dyDescent="0.25">
      <c r="B27" s="349"/>
      <c r="F27" s="50"/>
      <c r="G27" s="50"/>
    </row>
    <row r="28" spans="2:7" ht="15.75" x14ac:dyDescent="0.3">
      <c r="B28" s="349"/>
      <c r="D28" s="52"/>
      <c r="E28" s="52"/>
      <c r="F28" s="56"/>
      <c r="G28" s="68"/>
    </row>
    <row r="29" spans="2:7" ht="15.75" customHeight="1" x14ac:dyDescent="0.3">
      <c r="B29" s="349"/>
      <c r="C29" s="49"/>
      <c r="F29" s="50"/>
      <c r="G29" s="50"/>
    </row>
    <row r="30" spans="2:7" ht="15.75" customHeight="1" x14ac:dyDescent="0.25">
      <c r="B30" s="349"/>
      <c r="C30" s="69" t="s">
        <v>130</v>
      </c>
      <c r="D30" s="70"/>
      <c r="E30" s="70"/>
      <c r="F30" s="95" t="s">
        <v>131</v>
      </c>
      <c r="G30" s="50"/>
    </row>
    <row r="31" spans="2:7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7" ht="15.75" customHeight="1" x14ac:dyDescent="0.3">
      <c r="B32" s="349"/>
      <c r="C32" s="49" t="s">
        <v>100</v>
      </c>
      <c r="D32" s="52"/>
      <c r="E32" s="52"/>
      <c r="F32" s="52"/>
      <c r="G32" s="56"/>
    </row>
    <row r="33" spans="2:7" ht="15.75" x14ac:dyDescent="0.3">
      <c r="B33" s="320"/>
      <c r="C33" s="49" t="s">
        <v>101</v>
      </c>
      <c r="G33" s="50"/>
    </row>
    <row r="34" spans="2:7" ht="15.75" customHeight="1" x14ac:dyDescent="0.3">
      <c r="B34" s="316"/>
      <c r="C34" s="57" t="s">
        <v>102</v>
      </c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2C3D-6D57-4AEB-82F3-B3956B54C4EA}">
  <sheetPr codeName="Tabelle8"/>
  <dimension ref="B1:K48"/>
  <sheetViews>
    <sheetView workbookViewId="0">
      <selection activeCell="C27" sqref="C27:E2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Kompetenzraster!Q17</f>
        <v>45558</v>
      </c>
      <c r="F1" s="335"/>
      <c r="G1" s="338">
        <v>7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160</v>
      </c>
      <c r="C3" s="343"/>
      <c r="D3" s="343"/>
      <c r="E3" s="343"/>
      <c r="F3" s="346">
        <v>3.7</v>
      </c>
      <c r="G3" s="340" t="s">
        <v>76</v>
      </c>
    </row>
    <row r="4" spans="2:7" ht="14.25" customHeight="1" x14ac:dyDescent="0.25">
      <c r="B4" s="344"/>
      <c r="C4" s="345"/>
      <c r="D4" s="345"/>
      <c r="E4" s="345"/>
      <c r="F4" s="347"/>
      <c r="G4" s="341"/>
    </row>
    <row r="5" spans="2:7" ht="15.75" customHeight="1" x14ac:dyDescent="0.3">
      <c r="B5" s="359" t="s">
        <v>75</v>
      </c>
      <c r="C5" s="58"/>
      <c r="D5" s="46"/>
      <c r="E5" s="47"/>
      <c r="F5" s="48"/>
      <c r="G5" s="66"/>
    </row>
    <row r="6" spans="2:7" x14ac:dyDescent="0.25">
      <c r="B6" s="360"/>
      <c r="C6" s="51" t="s">
        <v>89</v>
      </c>
      <c r="F6" s="50"/>
      <c r="G6" s="50"/>
    </row>
    <row r="7" spans="2:7" ht="15.75" x14ac:dyDescent="0.3">
      <c r="B7" s="360"/>
      <c r="C7" s="49" t="s">
        <v>169</v>
      </c>
      <c r="F7" s="50"/>
      <c r="G7" s="50"/>
    </row>
    <row r="8" spans="2:7" ht="15.75" x14ac:dyDescent="0.3">
      <c r="B8" s="360"/>
      <c r="C8" s="49"/>
      <c r="F8" s="50"/>
      <c r="G8" s="56"/>
    </row>
    <row r="9" spans="2:7" ht="15.75" x14ac:dyDescent="0.3">
      <c r="B9" s="360"/>
      <c r="C9" s="49"/>
      <c r="D9" s="80"/>
      <c r="E9" s="80"/>
      <c r="F9" s="77"/>
      <c r="G9" s="50"/>
    </row>
    <row r="10" spans="2:7" ht="15.75" x14ac:dyDescent="0.3">
      <c r="B10" s="360"/>
      <c r="C10" s="49"/>
      <c r="D10" s="81"/>
      <c r="E10" s="81"/>
      <c r="F10" s="79"/>
      <c r="G10" s="50"/>
    </row>
    <row r="11" spans="2:7" ht="15.75" x14ac:dyDescent="0.3">
      <c r="B11" s="360"/>
      <c r="C11" s="61"/>
      <c r="D11" s="52"/>
      <c r="E11" s="52"/>
      <c r="F11" s="50"/>
      <c r="G11" s="50"/>
    </row>
    <row r="12" spans="2:7" ht="15.75" x14ac:dyDescent="0.3">
      <c r="B12" s="360"/>
      <c r="C12" s="49"/>
      <c r="F12" s="50"/>
      <c r="G12" s="50"/>
    </row>
    <row r="13" spans="2:7" ht="15.75" x14ac:dyDescent="0.3">
      <c r="B13" s="360"/>
      <c r="C13" s="57"/>
      <c r="D13" s="72"/>
      <c r="E13" s="72"/>
      <c r="F13" s="73"/>
      <c r="G13" s="50"/>
    </row>
    <row r="14" spans="2:7" ht="15.75" customHeight="1" x14ac:dyDescent="0.25">
      <c r="B14" s="361"/>
      <c r="C14" s="385" t="s">
        <v>77</v>
      </c>
      <c r="D14" s="386"/>
      <c r="E14" s="386"/>
      <c r="F14" s="386"/>
      <c r="G14" s="352"/>
    </row>
    <row r="15" spans="2:7" ht="15" customHeight="1" x14ac:dyDescent="0.3">
      <c r="B15" s="362"/>
      <c r="C15" s="62" t="s">
        <v>163</v>
      </c>
      <c r="D15" s="47"/>
      <c r="E15" s="47"/>
      <c r="F15" s="47"/>
      <c r="G15" s="48"/>
    </row>
    <row r="16" spans="2:7" ht="15" customHeight="1" x14ac:dyDescent="0.3">
      <c r="B16" s="362"/>
      <c r="C16" s="49" t="s">
        <v>164</v>
      </c>
      <c r="D16" s="52"/>
      <c r="E16" s="52"/>
      <c r="F16" s="52"/>
      <c r="G16" s="56"/>
    </row>
    <row r="17" spans="2:11" ht="15.75" customHeight="1" x14ac:dyDescent="0.3">
      <c r="B17" s="363"/>
      <c r="C17" s="57"/>
      <c r="D17" s="54"/>
      <c r="E17" s="54"/>
      <c r="F17" s="54"/>
      <c r="G17" s="55"/>
    </row>
    <row r="18" spans="2:11" ht="15" customHeight="1" x14ac:dyDescent="0.25">
      <c r="B18" s="364" t="s">
        <v>78</v>
      </c>
      <c r="C18" s="365"/>
      <c r="D18" s="365"/>
      <c r="E18" s="365"/>
      <c r="F18" s="365"/>
      <c r="G18" s="366"/>
    </row>
    <row r="19" spans="2:11" ht="15.75" customHeight="1" x14ac:dyDescent="0.25">
      <c r="B19" s="367"/>
      <c r="C19" s="368"/>
      <c r="D19" s="368"/>
      <c r="E19" s="368"/>
      <c r="F19" s="368"/>
      <c r="G19" s="369"/>
      <c r="J19" s="67"/>
    </row>
    <row r="20" spans="2:11" x14ac:dyDescent="0.25">
      <c r="B20" s="370" t="s">
        <v>137</v>
      </c>
      <c r="C20" s="343"/>
      <c r="D20" s="343"/>
      <c r="E20" s="343"/>
      <c r="F20" s="371">
        <v>3.3</v>
      </c>
      <c r="G20" s="373" t="s">
        <v>76</v>
      </c>
    </row>
    <row r="21" spans="2:11" ht="16.5" x14ac:dyDescent="0.25">
      <c r="B21" s="344"/>
      <c r="C21" s="168"/>
      <c r="D21" s="168"/>
      <c r="E21" s="168"/>
      <c r="F21" s="372"/>
      <c r="G21" s="374"/>
      <c r="K21" s="63"/>
    </row>
    <row r="22" spans="2:11" ht="15.75" x14ac:dyDescent="0.3">
      <c r="B22" s="383" t="s">
        <v>79</v>
      </c>
      <c r="C22" s="58"/>
      <c r="D22" s="46"/>
      <c r="E22" s="47"/>
      <c r="F22" s="48"/>
      <c r="G22" s="66"/>
    </row>
    <row r="23" spans="2:11" x14ac:dyDescent="0.25">
      <c r="B23" s="384"/>
      <c r="C23" s="51" t="s">
        <v>103</v>
      </c>
      <c r="F23" s="50"/>
      <c r="G23" s="50"/>
    </row>
    <row r="24" spans="2:11" ht="15.75" x14ac:dyDescent="0.3">
      <c r="B24" s="384"/>
      <c r="C24" s="49" t="s">
        <v>144</v>
      </c>
      <c r="D24" s="52"/>
      <c r="E24" s="52"/>
      <c r="F24" s="56"/>
      <c r="G24" s="50"/>
    </row>
    <row r="25" spans="2:11" ht="15.75" x14ac:dyDescent="0.3">
      <c r="B25" s="384"/>
      <c r="C25" s="49" t="s">
        <v>272</v>
      </c>
      <c r="F25" s="50"/>
      <c r="G25" s="50"/>
    </row>
    <row r="26" spans="2:11" ht="15.75" customHeight="1" x14ac:dyDescent="0.3">
      <c r="B26" s="384"/>
      <c r="C26" s="49" t="s">
        <v>271</v>
      </c>
      <c r="F26" s="50"/>
      <c r="G26" s="50"/>
    </row>
    <row r="27" spans="2:11" ht="15.75" x14ac:dyDescent="0.3">
      <c r="B27" s="384"/>
      <c r="C27" s="49"/>
      <c r="F27" s="50"/>
      <c r="G27" s="50"/>
    </row>
    <row r="28" spans="2:11" ht="15.75" x14ac:dyDescent="0.3">
      <c r="B28" s="384"/>
      <c r="C28" s="61"/>
      <c r="D28" s="52"/>
      <c r="E28" s="52"/>
      <c r="F28" s="56"/>
      <c r="G28" s="74"/>
    </row>
    <row r="29" spans="2:11" ht="15.75" customHeight="1" x14ac:dyDescent="0.3">
      <c r="B29" s="384"/>
      <c r="C29" s="49"/>
      <c r="F29" s="50"/>
      <c r="G29" s="50"/>
    </row>
    <row r="30" spans="2:11" ht="15.75" customHeight="1" x14ac:dyDescent="0.25">
      <c r="B30" s="384"/>
      <c r="C30" s="71"/>
      <c r="D30" s="72"/>
      <c r="E30" s="72"/>
      <c r="F30" s="73"/>
      <c r="G30" s="50"/>
    </row>
    <row r="31" spans="2:11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1" ht="15.75" customHeight="1" x14ac:dyDescent="0.3">
      <c r="B32" s="349"/>
      <c r="C32" s="49" t="s">
        <v>145</v>
      </c>
      <c r="D32" s="52"/>
      <c r="E32" s="52"/>
      <c r="F32" s="52"/>
      <c r="G32" s="56"/>
    </row>
    <row r="33" spans="2:7" ht="15.75" x14ac:dyDescent="0.3">
      <c r="B33" s="320"/>
      <c r="C33" s="49" t="s">
        <v>146</v>
      </c>
      <c r="G33" s="50"/>
    </row>
    <row r="34" spans="2:7" ht="15.75" customHeight="1" x14ac:dyDescent="0.3">
      <c r="B34" s="316"/>
      <c r="C34" s="57"/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ADF3-DA04-4723-B926-9A42D2BBF270}">
  <sheetPr codeName="Tabelle9"/>
  <dimension ref="B1:K48"/>
  <sheetViews>
    <sheetView workbookViewId="0">
      <selection activeCell="C23" sqref="C23:E23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Kompetenzraster!Q19</f>
        <v>45586</v>
      </c>
      <c r="F1" s="335"/>
      <c r="G1" s="338">
        <v>8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160</v>
      </c>
      <c r="C3" s="343"/>
      <c r="D3" s="343"/>
      <c r="E3" s="343"/>
      <c r="F3" s="346">
        <v>3.7</v>
      </c>
      <c r="G3" s="340" t="s">
        <v>76</v>
      </c>
    </row>
    <row r="4" spans="2:7" ht="14.25" customHeight="1" x14ac:dyDescent="0.25">
      <c r="B4" s="344"/>
      <c r="C4" s="345"/>
      <c r="D4" s="345"/>
      <c r="E4" s="345"/>
      <c r="F4" s="347"/>
      <c r="G4" s="341"/>
    </row>
    <row r="5" spans="2:7" ht="15.75" customHeight="1" x14ac:dyDescent="0.3">
      <c r="B5" s="359" t="s">
        <v>75</v>
      </c>
      <c r="C5" s="58"/>
      <c r="D5" s="46"/>
      <c r="E5" s="47"/>
      <c r="F5" s="48"/>
      <c r="G5" s="66"/>
    </row>
    <row r="6" spans="2:7" x14ac:dyDescent="0.25">
      <c r="B6" s="360"/>
      <c r="C6" s="51" t="s">
        <v>89</v>
      </c>
      <c r="F6" s="50"/>
      <c r="G6" s="50"/>
    </row>
    <row r="7" spans="2:7" ht="15.75" x14ac:dyDescent="0.3">
      <c r="B7" s="360"/>
      <c r="C7" s="49" t="s">
        <v>169</v>
      </c>
      <c r="F7" s="50"/>
      <c r="G7" s="50"/>
    </row>
    <row r="8" spans="2:7" ht="15.75" x14ac:dyDescent="0.3">
      <c r="B8" s="360"/>
      <c r="C8" s="49" t="s">
        <v>171</v>
      </c>
      <c r="F8" s="50"/>
      <c r="G8" s="56"/>
    </row>
    <row r="9" spans="2:7" ht="15.75" x14ac:dyDescent="0.3">
      <c r="B9" s="360"/>
      <c r="C9" s="49" t="s">
        <v>174</v>
      </c>
      <c r="D9" s="80"/>
      <c r="E9" s="80"/>
      <c r="F9" s="77"/>
      <c r="G9" s="50"/>
    </row>
    <row r="10" spans="2:7" ht="15.75" x14ac:dyDescent="0.3">
      <c r="B10" s="360"/>
      <c r="C10" s="49"/>
      <c r="D10" s="81"/>
      <c r="E10" s="81"/>
      <c r="F10" s="79"/>
      <c r="G10" s="50"/>
    </row>
    <row r="11" spans="2:7" ht="15.75" x14ac:dyDescent="0.3">
      <c r="B11" s="360"/>
      <c r="C11" s="61"/>
      <c r="D11" s="52"/>
      <c r="E11" s="52"/>
      <c r="F11" s="50"/>
      <c r="G11" s="50"/>
    </row>
    <row r="12" spans="2:7" x14ac:dyDescent="0.25">
      <c r="B12" s="360"/>
      <c r="C12" s="100" t="s">
        <v>249</v>
      </c>
      <c r="F12" s="50"/>
      <c r="G12" s="50"/>
    </row>
    <row r="13" spans="2:7" ht="15.75" x14ac:dyDescent="0.3">
      <c r="B13" s="360"/>
      <c r="C13" s="57"/>
      <c r="D13" s="72"/>
      <c r="E13" s="72"/>
      <c r="F13" s="73"/>
      <c r="G13" s="50"/>
    </row>
    <row r="14" spans="2:7" ht="15.75" customHeight="1" x14ac:dyDescent="0.25">
      <c r="B14" s="361"/>
      <c r="C14" s="385" t="s">
        <v>77</v>
      </c>
      <c r="D14" s="386"/>
      <c r="E14" s="386"/>
      <c r="F14" s="386"/>
      <c r="G14" s="352"/>
    </row>
    <row r="15" spans="2:7" ht="15" customHeight="1" x14ac:dyDescent="0.3">
      <c r="B15" s="362"/>
      <c r="C15" s="62" t="s">
        <v>163</v>
      </c>
      <c r="D15" s="47"/>
      <c r="E15" s="47"/>
      <c r="F15" s="47"/>
      <c r="G15" s="48"/>
    </row>
    <row r="16" spans="2:7" ht="15" customHeight="1" x14ac:dyDescent="0.3">
      <c r="B16" s="362"/>
      <c r="C16" s="49" t="s">
        <v>164</v>
      </c>
      <c r="D16" s="52"/>
      <c r="E16" s="52"/>
      <c r="F16" s="52"/>
      <c r="G16" s="56"/>
    </row>
    <row r="17" spans="2:11" ht="15.75" customHeight="1" x14ac:dyDescent="0.3">
      <c r="B17" s="363"/>
      <c r="C17" s="57"/>
      <c r="D17" s="54"/>
      <c r="E17" s="54"/>
      <c r="F17" s="54"/>
      <c r="G17" s="55"/>
    </row>
    <row r="18" spans="2:11" ht="15" customHeight="1" x14ac:dyDescent="0.25">
      <c r="B18" s="364" t="s">
        <v>78</v>
      </c>
      <c r="C18" s="365"/>
      <c r="D18" s="365"/>
      <c r="E18" s="365"/>
      <c r="F18" s="365"/>
      <c r="G18" s="366"/>
    </row>
    <row r="19" spans="2:11" ht="15.75" customHeight="1" x14ac:dyDescent="0.25">
      <c r="B19" s="367"/>
      <c r="C19" s="368"/>
      <c r="D19" s="368"/>
      <c r="E19" s="368"/>
      <c r="F19" s="368"/>
      <c r="G19" s="369"/>
      <c r="J19" s="67"/>
    </row>
    <row r="20" spans="2:11" x14ac:dyDescent="0.25">
      <c r="B20" s="370" t="s">
        <v>137</v>
      </c>
      <c r="C20" s="343"/>
      <c r="D20" s="343"/>
      <c r="E20" s="343"/>
      <c r="F20" s="371">
        <v>3.3</v>
      </c>
      <c r="G20" s="373" t="s">
        <v>76</v>
      </c>
    </row>
    <row r="21" spans="2:11" ht="16.5" x14ac:dyDescent="0.25">
      <c r="B21" s="344"/>
      <c r="C21" s="168"/>
      <c r="D21" s="168"/>
      <c r="E21" s="168"/>
      <c r="F21" s="372"/>
      <c r="G21" s="374"/>
      <c r="K21" s="63"/>
    </row>
    <row r="22" spans="2:11" ht="15.75" x14ac:dyDescent="0.3">
      <c r="B22" s="383" t="s">
        <v>79</v>
      </c>
      <c r="C22" s="76" t="s">
        <v>89</v>
      </c>
      <c r="D22" s="59"/>
      <c r="E22" s="59"/>
      <c r="F22" s="48"/>
      <c r="G22" s="66"/>
    </row>
    <row r="23" spans="2:11" ht="15.75" x14ac:dyDescent="0.3">
      <c r="B23" s="384"/>
      <c r="C23" s="49" t="s">
        <v>155</v>
      </c>
      <c r="D23" s="52"/>
      <c r="E23" s="52"/>
      <c r="F23" s="50"/>
      <c r="G23" s="50"/>
    </row>
    <row r="24" spans="2:11" ht="15.75" x14ac:dyDescent="0.3">
      <c r="B24" s="384"/>
      <c r="C24" s="61"/>
      <c r="F24" s="56"/>
      <c r="G24" s="50"/>
    </row>
    <row r="25" spans="2:11" x14ac:dyDescent="0.25">
      <c r="B25" s="384"/>
      <c r="C25" s="51" t="s">
        <v>116</v>
      </c>
      <c r="F25" s="50"/>
      <c r="G25" s="50"/>
    </row>
    <row r="26" spans="2:11" ht="15.75" customHeight="1" x14ac:dyDescent="0.3">
      <c r="B26" s="384"/>
      <c r="C26" s="49" t="s">
        <v>144</v>
      </c>
      <c r="F26" s="50"/>
      <c r="G26" s="50"/>
    </row>
    <row r="27" spans="2:11" ht="15.75" x14ac:dyDescent="0.3">
      <c r="B27" s="384"/>
      <c r="C27" s="49" t="s">
        <v>150</v>
      </c>
      <c r="D27" s="52"/>
      <c r="F27" s="50"/>
      <c r="G27" s="50"/>
    </row>
    <row r="28" spans="2:11" ht="15.75" x14ac:dyDescent="0.3">
      <c r="B28" s="384"/>
      <c r="C28" s="49" t="s">
        <v>151</v>
      </c>
      <c r="E28" s="52"/>
      <c r="F28" s="56"/>
      <c r="G28" s="74"/>
    </row>
    <row r="29" spans="2:11" ht="15.75" customHeight="1" x14ac:dyDescent="0.3">
      <c r="B29" s="384"/>
      <c r="C29" s="49" t="s">
        <v>152</v>
      </c>
      <c r="D29" s="7"/>
      <c r="F29" s="50"/>
      <c r="G29" s="50"/>
    </row>
    <row r="30" spans="2:11" ht="15.75" customHeight="1" x14ac:dyDescent="0.25">
      <c r="B30" s="384"/>
      <c r="C30" s="53"/>
      <c r="D30" s="54"/>
      <c r="E30" s="72"/>
      <c r="F30" s="73"/>
      <c r="G30" s="50"/>
    </row>
    <row r="31" spans="2:11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1" ht="15.75" customHeight="1" x14ac:dyDescent="0.3">
      <c r="B32" s="349"/>
      <c r="C32" s="49" t="s">
        <v>145</v>
      </c>
      <c r="D32" s="52"/>
      <c r="E32" s="52"/>
      <c r="F32" s="52"/>
      <c r="G32" s="56"/>
    </row>
    <row r="33" spans="2:7" ht="15.75" x14ac:dyDescent="0.3">
      <c r="B33" s="320"/>
      <c r="C33" s="49" t="s">
        <v>146</v>
      </c>
      <c r="G33" s="50"/>
    </row>
    <row r="34" spans="2:7" ht="15.75" customHeight="1" x14ac:dyDescent="0.3">
      <c r="B34" s="316"/>
      <c r="C34" s="57"/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6B23-5E6D-40B7-971B-73BF8F429AF4}">
  <sheetPr codeName="Tabelle10"/>
  <dimension ref="B1:K48"/>
  <sheetViews>
    <sheetView workbookViewId="0">
      <selection activeCell="G5" sqref="G5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Kompetenzraster!Q21</f>
        <v>45593</v>
      </c>
      <c r="F1" s="335"/>
      <c r="G1" s="338">
        <v>9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133</v>
      </c>
      <c r="C3" s="387"/>
      <c r="D3" s="387"/>
      <c r="E3" s="388"/>
      <c r="F3" s="346">
        <v>3.6</v>
      </c>
      <c r="G3" s="340" t="s">
        <v>76</v>
      </c>
    </row>
    <row r="4" spans="2:7" ht="14.25" customHeight="1" x14ac:dyDescent="0.25">
      <c r="B4" s="389"/>
      <c r="C4" s="390"/>
      <c r="D4" s="390"/>
      <c r="E4" s="391"/>
      <c r="F4" s="392"/>
      <c r="G4" s="341"/>
    </row>
    <row r="5" spans="2:7" ht="15.75" customHeight="1" x14ac:dyDescent="0.3">
      <c r="B5" s="359" t="s">
        <v>75</v>
      </c>
      <c r="C5" s="58"/>
      <c r="D5" s="46"/>
      <c r="E5" s="47"/>
      <c r="F5" s="48"/>
      <c r="G5" s="66"/>
    </row>
    <row r="6" spans="2:7" x14ac:dyDescent="0.25">
      <c r="B6" s="360"/>
      <c r="C6" s="51" t="s">
        <v>103</v>
      </c>
      <c r="F6" s="50"/>
      <c r="G6" s="50"/>
    </row>
    <row r="7" spans="2:7" ht="15.75" x14ac:dyDescent="0.3">
      <c r="B7" s="360"/>
      <c r="C7" s="49" t="s">
        <v>135</v>
      </c>
      <c r="F7" s="50"/>
      <c r="G7" s="50"/>
    </row>
    <row r="8" spans="2:7" ht="15.75" x14ac:dyDescent="0.3">
      <c r="B8" s="360"/>
      <c r="C8" s="49" t="s">
        <v>138</v>
      </c>
      <c r="F8" s="50"/>
      <c r="G8" s="56"/>
    </row>
    <row r="9" spans="2:7" ht="15.75" x14ac:dyDescent="0.3">
      <c r="B9" s="360"/>
      <c r="C9" s="49" t="s">
        <v>136</v>
      </c>
      <c r="F9" s="50"/>
      <c r="G9" s="50"/>
    </row>
    <row r="10" spans="2:7" x14ac:dyDescent="0.25">
      <c r="B10" s="360"/>
      <c r="C10" s="51"/>
      <c r="F10" s="50"/>
      <c r="G10" s="50"/>
    </row>
    <row r="11" spans="2:7" ht="15.75" x14ac:dyDescent="0.3">
      <c r="B11" s="360"/>
      <c r="C11" s="51"/>
      <c r="D11" s="52"/>
      <c r="E11" s="52"/>
      <c r="F11" s="50"/>
      <c r="G11" s="50"/>
    </row>
    <row r="12" spans="2:7" ht="15.75" x14ac:dyDescent="0.3">
      <c r="B12" s="360"/>
      <c r="C12" s="49"/>
      <c r="F12" s="50"/>
      <c r="G12" s="50"/>
    </row>
    <row r="13" spans="2:7" x14ac:dyDescent="0.25">
      <c r="B13" s="360"/>
      <c r="C13" s="71"/>
      <c r="D13" s="72"/>
      <c r="E13" s="72"/>
      <c r="F13" s="73"/>
      <c r="G13" s="55"/>
    </row>
    <row r="14" spans="2:7" ht="15.75" customHeight="1" x14ac:dyDescent="0.25">
      <c r="B14" s="361"/>
      <c r="C14" s="375" t="s">
        <v>77</v>
      </c>
      <c r="D14" s="376"/>
      <c r="E14" s="376"/>
      <c r="F14" s="376"/>
      <c r="G14" s="377"/>
    </row>
    <row r="15" spans="2:7" ht="15" customHeight="1" x14ac:dyDescent="0.3">
      <c r="B15" s="362"/>
      <c r="C15" s="62" t="s">
        <v>134</v>
      </c>
      <c r="D15" s="47"/>
      <c r="E15" s="47"/>
      <c r="F15" s="47"/>
      <c r="G15" s="48"/>
    </row>
    <row r="16" spans="2:7" ht="15" customHeight="1" x14ac:dyDescent="0.3">
      <c r="B16" s="362"/>
      <c r="C16" s="49"/>
      <c r="D16" s="52"/>
      <c r="E16" s="52"/>
      <c r="F16" s="52"/>
      <c r="G16" s="56"/>
    </row>
    <row r="17" spans="2:11" ht="15.75" customHeight="1" x14ac:dyDescent="0.3">
      <c r="B17" s="363"/>
      <c r="C17" s="57"/>
      <c r="D17" s="54"/>
      <c r="E17" s="54"/>
      <c r="F17" s="54"/>
      <c r="G17" s="55"/>
    </row>
    <row r="18" spans="2:11" ht="15" customHeight="1" x14ac:dyDescent="0.25">
      <c r="B18" s="364" t="s">
        <v>78</v>
      </c>
      <c r="C18" s="365"/>
      <c r="D18" s="365"/>
      <c r="E18" s="365"/>
      <c r="F18" s="365"/>
      <c r="G18" s="366"/>
    </row>
    <row r="19" spans="2:11" ht="15.75" customHeight="1" x14ac:dyDescent="0.25">
      <c r="B19" s="367"/>
      <c r="C19" s="368"/>
      <c r="D19" s="368"/>
      <c r="E19" s="368"/>
      <c r="F19" s="368"/>
      <c r="G19" s="369"/>
      <c r="J19" s="67"/>
    </row>
    <row r="20" spans="2:11" x14ac:dyDescent="0.25">
      <c r="B20" s="370" t="s">
        <v>158</v>
      </c>
      <c r="C20" s="343"/>
      <c r="D20" s="343"/>
      <c r="E20" s="343"/>
      <c r="F20" s="371">
        <v>3.2</v>
      </c>
      <c r="G20" s="373" t="s">
        <v>76</v>
      </c>
    </row>
    <row r="21" spans="2:11" ht="16.5" x14ac:dyDescent="0.25">
      <c r="B21" s="344"/>
      <c r="C21" s="168"/>
      <c r="D21" s="168"/>
      <c r="E21" s="168"/>
      <c r="F21" s="372"/>
      <c r="G21" s="374"/>
      <c r="K21" s="63"/>
    </row>
    <row r="22" spans="2:11" ht="15.75" x14ac:dyDescent="0.3">
      <c r="B22" s="383" t="s">
        <v>79</v>
      </c>
      <c r="C22" s="76"/>
      <c r="D22" s="59"/>
      <c r="E22" s="59"/>
      <c r="F22" s="48"/>
      <c r="G22" s="66"/>
    </row>
    <row r="23" spans="2:11" ht="15.75" x14ac:dyDescent="0.3">
      <c r="B23" s="384"/>
      <c r="C23" s="51" t="s">
        <v>103</v>
      </c>
      <c r="D23" s="52"/>
      <c r="E23" s="52"/>
      <c r="F23" s="50"/>
      <c r="G23" s="50"/>
    </row>
    <row r="24" spans="2:11" ht="15.75" x14ac:dyDescent="0.3">
      <c r="B24" s="384"/>
      <c r="C24" s="49" t="s">
        <v>156</v>
      </c>
      <c r="F24" s="56"/>
      <c r="G24" s="50"/>
    </row>
    <row r="25" spans="2:11" ht="15.75" x14ac:dyDescent="0.3">
      <c r="B25" s="384"/>
      <c r="C25" s="49" t="s">
        <v>157</v>
      </c>
      <c r="F25" s="50"/>
      <c r="G25" s="50"/>
    </row>
    <row r="26" spans="2:11" ht="15.75" customHeight="1" x14ac:dyDescent="0.3">
      <c r="B26" s="384"/>
      <c r="C26" s="49"/>
      <c r="F26" s="50"/>
      <c r="G26" s="50"/>
    </row>
    <row r="27" spans="2:11" ht="15.75" x14ac:dyDescent="0.3">
      <c r="B27" s="384"/>
      <c r="C27" s="49"/>
      <c r="D27" s="52"/>
      <c r="F27" s="50"/>
      <c r="G27" s="50"/>
    </row>
    <row r="28" spans="2:11" ht="15.75" x14ac:dyDescent="0.3">
      <c r="B28" s="384"/>
      <c r="C28" s="49"/>
      <c r="E28" s="52"/>
      <c r="F28" s="56"/>
      <c r="G28" s="74"/>
    </row>
    <row r="29" spans="2:11" ht="15.75" customHeight="1" x14ac:dyDescent="0.3">
      <c r="B29" s="384"/>
      <c r="C29" s="49"/>
      <c r="D29" s="7"/>
      <c r="F29" s="50"/>
      <c r="G29" s="50"/>
    </row>
    <row r="30" spans="2:11" ht="15.75" customHeight="1" x14ac:dyDescent="0.25">
      <c r="B30" s="384"/>
      <c r="C30" s="53"/>
      <c r="D30" s="54"/>
      <c r="E30" s="72"/>
      <c r="F30" s="73"/>
      <c r="G30" s="50"/>
    </row>
    <row r="31" spans="2:11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1" ht="15.75" customHeight="1" x14ac:dyDescent="0.3">
      <c r="B32" s="349"/>
      <c r="C32" s="49" t="s">
        <v>198</v>
      </c>
      <c r="D32" s="52"/>
      <c r="E32" s="52"/>
      <c r="F32" s="52"/>
      <c r="G32" s="56"/>
    </row>
    <row r="33" spans="2:7" ht="15.75" x14ac:dyDescent="0.3">
      <c r="B33" s="320"/>
      <c r="C33" s="49" t="s">
        <v>159</v>
      </c>
      <c r="G33" s="50"/>
    </row>
    <row r="34" spans="2:7" ht="15.75" customHeight="1" x14ac:dyDescent="0.3">
      <c r="B34" s="316"/>
      <c r="C34" s="57"/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3973-69AB-40F4-BA03-67CF2AFF1C8F}">
  <sheetPr codeName="Tabelle11"/>
  <dimension ref="B1:K48"/>
  <sheetViews>
    <sheetView workbookViewId="0">
      <selection activeCell="J9" sqref="J9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Kompetenzraster!Q23</f>
        <v>45600</v>
      </c>
      <c r="F1" s="335"/>
      <c r="G1" s="338">
        <v>10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133</v>
      </c>
      <c r="C3" s="387"/>
      <c r="D3" s="387"/>
      <c r="E3" s="388"/>
      <c r="F3" s="346">
        <v>3.6</v>
      </c>
      <c r="G3" s="340" t="s">
        <v>76</v>
      </c>
    </row>
    <row r="4" spans="2:7" ht="14.25" customHeight="1" x14ac:dyDescent="0.25">
      <c r="B4" s="389"/>
      <c r="C4" s="390"/>
      <c r="D4" s="390"/>
      <c r="E4" s="391"/>
      <c r="F4" s="392"/>
      <c r="G4" s="341"/>
    </row>
    <row r="5" spans="2:7" ht="15.75" customHeight="1" x14ac:dyDescent="0.3">
      <c r="B5" s="359" t="s">
        <v>75</v>
      </c>
      <c r="C5" s="58"/>
      <c r="D5" s="46"/>
      <c r="E5" s="47"/>
      <c r="F5" s="48"/>
      <c r="G5" s="66"/>
    </row>
    <row r="6" spans="2:7" x14ac:dyDescent="0.25">
      <c r="B6" s="360"/>
      <c r="C6" s="51" t="s">
        <v>103</v>
      </c>
      <c r="F6" s="50"/>
      <c r="G6" s="50"/>
    </row>
    <row r="7" spans="2:7" ht="15.75" x14ac:dyDescent="0.3">
      <c r="B7" s="360"/>
      <c r="C7" s="49" t="s">
        <v>139</v>
      </c>
      <c r="F7" s="50"/>
      <c r="G7" s="50"/>
    </row>
    <row r="8" spans="2:7" ht="15.75" x14ac:dyDescent="0.3">
      <c r="B8" s="360"/>
      <c r="C8" s="49"/>
      <c r="F8" s="50"/>
      <c r="G8" s="56"/>
    </row>
    <row r="9" spans="2:7" x14ac:dyDescent="0.25">
      <c r="B9" s="360"/>
      <c r="C9" s="51" t="s">
        <v>89</v>
      </c>
      <c r="F9" s="50"/>
      <c r="G9" s="50"/>
    </row>
    <row r="10" spans="2:7" ht="15.75" x14ac:dyDescent="0.3">
      <c r="B10" s="360"/>
      <c r="C10" s="49" t="s">
        <v>140</v>
      </c>
      <c r="F10" s="50"/>
      <c r="G10" s="50"/>
    </row>
    <row r="11" spans="2:7" ht="15.75" x14ac:dyDescent="0.3">
      <c r="B11" s="360"/>
      <c r="C11" s="49" t="s">
        <v>141</v>
      </c>
      <c r="D11" s="52"/>
      <c r="E11" s="52"/>
      <c r="F11" s="50"/>
      <c r="G11" s="50"/>
    </row>
    <row r="12" spans="2:7" ht="15.75" x14ac:dyDescent="0.3">
      <c r="B12" s="360"/>
      <c r="C12" s="49" t="s">
        <v>142</v>
      </c>
      <c r="F12" s="50"/>
      <c r="G12" s="50"/>
    </row>
    <row r="13" spans="2:7" ht="15.75" x14ac:dyDescent="0.3">
      <c r="B13" s="360"/>
      <c r="C13" s="49" t="s">
        <v>143</v>
      </c>
      <c r="D13" s="7"/>
      <c r="E13" s="7"/>
      <c r="F13" s="75"/>
      <c r="G13" s="50"/>
    </row>
    <row r="14" spans="2:7" ht="15.75" customHeight="1" x14ac:dyDescent="0.25">
      <c r="B14" s="361"/>
      <c r="C14" s="385" t="s">
        <v>77</v>
      </c>
      <c r="D14" s="386"/>
      <c r="E14" s="386"/>
      <c r="F14" s="386"/>
      <c r="G14" s="352"/>
    </row>
    <row r="15" spans="2:7" ht="15" customHeight="1" x14ac:dyDescent="0.3">
      <c r="B15" s="362"/>
      <c r="C15" s="62" t="s">
        <v>147</v>
      </c>
      <c r="D15" s="47"/>
      <c r="E15" s="47"/>
      <c r="F15" s="47"/>
      <c r="G15" s="48"/>
    </row>
    <row r="16" spans="2:7" ht="15" customHeight="1" x14ac:dyDescent="0.3">
      <c r="B16" s="362"/>
      <c r="C16" s="49"/>
      <c r="D16" s="52"/>
      <c r="E16" s="52"/>
      <c r="F16" s="52"/>
      <c r="G16" s="56"/>
    </row>
    <row r="17" spans="2:11" ht="15.75" customHeight="1" x14ac:dyDescent="0.3">
      <c r="B17" s="363"/>
      <c r="C17" s="57"/>
      <c r="D17" s="54"/>
      <c r="E17" s="54"/>
      <c r="F17" s="54"/>
      <c r="G17" s="55"/>
    </row>
    <row r="18" spans="2:11" ht="15" customHeight="1" x14ac:dyDescent="0.25">
      <c r="B18" s="364" t="s">
        <v>78</v>
      </c>
      <c r="C18" s="365"/>
      <c r="D18" s="365"/>
      <c r="E18" s="365"/>
      <c r="F18" s="365"/>
      <c r="G18" s="366"/>
    </row>
    <row r="19" spans="2:11" ht="15.75" customHeight="1" x14ac:dyDescent="0.25">
      <c r="B19" s="367"/>
      <c r="C19" s="368"/>
      <c r="D19" s="368"/>
      <c r="E19" s="368"/>
      <c r="F19" s="368"/>
      <c r="G19" s="369"/>
      <c r="J19" s="67"/>
    </row>
    <row r="20" spans="2:11" x14ac:dyDescent="0.25">
      <c r="B20" s="370" t="s">
        <v>158</v>
      </c>
      <c r="C20" s="343"/>
      <c r="D20" s="343"/>
      <c r="E20" s="343"/>
      <c r="F20" s="371">
        <v>3.2</v>
      </c>
      <c r="G20" s="373" t="s">
        <v>76</v>
      </c>
    </row>
    <row r="21" spans="2:11" ht="16.5" x14ac:dyDescent="0.25">
      <c r="B21" s="344"/>
      <c r="C21" s="168"/>
      <c r="D21" s="168"/>
      <c r="E21" s="168"/>
      <c r="F21" s="372"/>
      <c r="G21" s="374"/>
      <c r="K21" s="63"/>
    </row>
    <row r="22" spans="2:11" ht="15.75" x14ac:dyDescent="0.3">
      <c r="B22" s="383" t="s">
        <v>79</v>
      </c>
      <c r="C22" s="76"/>
      <c r="D22" s="59"/>
      <c r="E22" s="59"/>
      <c r="F22" s="48"/>
      <c r="G22" s="66"/>
    </row>
    <row r="23" spans="2:11" ht="15.75" x14ac:dyDescent="0.3">
      <c r="B23" s="384"/>
      <c r="C23" s="51" t="s">
        <v>89</v>
      </c>
      <c r="D23" s="52"/>
      <c r="E23" s="52"/>
      <c r="F23" s="50"/>
      <c r="G23" s="50"/>
    </row>
    <row r="24" spans="2:11" ht="15.75" x14ac:dyDescent="0.3">
      <c r="B24" s="384"/>
      <c r="C24" s="49" t="s">
        <v>165</v>
      </c>
      <c r="F24" s="56"/>
      <c r="G24" s="50"/>
    </row>
    <row r="25" spans="2:11" ht="15.75" x14ac:dyDescent="0.3">
      <c r="B25" s="384"/>
      <c r="C25" s="49" t="s">
        <v>166</v>
      </c>
      <c r="F25" s="50"/>
      <c r="G25" s="50"/>
    </row>
    <row r="26" spans="2:11" ht="15.75" customHeight="1" x14ac:dyDescent="0.3">
      <c r="B26" s="384"/>
      <c r="C26" s="49" t="s">
        <v>167</v>
      </c>
      <c r="F26" s="50"/>
      <c r="G26" s="50"/>
    </row>
    <row r="27" spans="2:11" ht="15.75" x14ac:dyDescent="0.3">
      <c r="B27" s="384"/>
      <c r="C27" s="49"/>
      <c r="D27" s="52"/>
      <c r="F27" s="50"/>
      <c r="G27" s="50"/>
    </row>
    <row r="28" spans="2:11" ht="15.75" x14ac:dyDescent="0.3">
      <c r="B28" s="384"/>
      <c r="C28" s="49"/>
      <c r="E28" s="52"/>
      <c r="F28" s="56"/>
      <c r="G28" s="74"/>
    </row>
    <row r="29" spans="2:11" ht="15.75" customHeight="1" x14ac:dyDescent="0.3">
      <c r="B29" s="384"/>
      <c r="C29" s="49"/>
      <c r="D29" s="7"/>
      <c r="F29" s="50"/>
      <c r="G29" s="50"/>
    </row>
    <row r="30" spans="2:11" ht="15.75" customHeight="1" x14ac:dyDescent="0.25">
      <c r="B30" s="384"/>
      <c r="C30" s="53"/>
      <c r="D30" s="54"/>
      <c r="E30" s="72"/>
      <c r="F30" s="73"/>
      <c r="G30" s="50"/>
    </row>
    <row r="31" spans="2:11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1" ht="15.75" customHeight="1" x14ac:dyDescent="0.3">
      <c r="B32" s="349"/>
      <c r="C32" s="49" t="s">
        <v>198</v>
      </c>
      <c r="D32" s="52"/>
      <c r="E32" s="52"/>
      <c r="F32" s="52"/>
      <c r="G32" s="56"/>
    </row>
    <row r="33" spans="2:7" ht="15.75" x14ac:dyDescent="0.3">
      <c r="B33" s="320"/>
      <c r="C33" s="49" t="s">
        <v>159</v>
      </c>
      <c r="G33" s="50"/>
    </row>
    <row r="34" spans="2:7" ht="15.75" customHeight="1" x14ac:dyDescent="0.3">
      <c r="B34" s="316"/>
      <c r="C34" s="57"/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C463C-BA11-4DE4-8EA2-5787C3BA5EDF}">
  <sheetPr codeName="Tabelle12"/>
  <dimension ref="B1:K48"/>
  <sheetViews>
    <sheetView workbookViewId="0">
      <selection activeCell="G28" sqref="G28:G30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Kompetenzraster!Q25</f>
        <v>45607</v>
      </c>
      <c r="F1" s="335"/>
      <c r="G1" s="338">
        <v>11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133</v>
      </c>
      <c r="C3" s="343"/>
      <c r="D3" s="343"/>
      <c r="E3" s="343"/>
      <c r="F3" s="346">
        <v>3.6</v>
      </c>
      <c r="G3" s="340" t="s">
        <v>76</v>
      </c>
    </row>
    <row r="4" spans="2:7" ht="14.25" customHeight="1" x14ac:dyDescent="0.25">
      <c r="B4" s="344"/>
      <c r="C4" s="345"/>
      <c r="D4" s="345"/>
      <c r="E4" s="345"/>
      <c r="F4" s="347"/>
      <c r="G4" s="341"/>
    </row>
    <row r="5" spans="2:7" ht="15.75" customHeight="1" x14ac:dyDescent="0.3">
      <c r="B5" s="359" t="s">
        <v>75</v>
      </c>
      <c r="C5" s="58"/>
      <c r="D5" s="46"/>
      <c r="E5" s="47"/>
      <c r="F5" s="48"/>
      <c r="G5" s="66"/>
    </row>
    <row r="6" spans="2:7" x14ac:dyDescent="0.25">
      <c r="B6" s="360"/>
      <c r="C6" s="51" t="s">
        <v>116</v>
      </c>
      <c r="F6" s="50"/>
      <c r="G6" s="50"/>
    </row>
    <row r="7" spans="2:7" ht="15.75" x14ac:dyDescent="0.3">
      <c r="B7" s="360"/>
      <c r="C7" s="49" t="s">
        <v>153</v>
      </c>
      <c r="F7" s="50"/>
      <c r="G7" s="50"/>
    </row>
    <row r="8" spans="2:7" ht="15.75" x14ac:dyDescent="0.3">
      <c r="B8" s="360"/>
      <c r="C8" s="49" t="s">
        <v>154</v>
      </c>
      <c r="F8" s="50"/>
      <c r="G8" s="56"/>
    </row>
    <row r="9" spans="2:7" ht="15.75" x14ac:dyDescent="0.3">
      <c r="B9" s="360"/>
      <c r="C9" s="78" t="s">
        <v>235</v>
      </c>
      <c r="D9" s="80"/>
      <c r="E9" s="80"/>
      <c r="F9" s="77"/>
      <c r="G9" s="50"/>
    </row>
    <row r="10" spans="2:7" x14ac:dyDescent="0.25">
      <c r="B10" s="360"/>
      <c r="C10" s="61"/>
      <c r="E10" s="81"/>
      <c r="F10" s="79"/>
      <c r="G10" s="50"/>
    </row>
    <row r="11" spans="2:7" ht="15.75" x14ac:dyDescent="0.3">
      <c r="B11" s="360"/>
      <c r="C11" s="51" t="s">
        <v>119</v>
      </c>
      <c r="E11" s="52"/>
      <c r="F11" s="50"/>
      <c r="G11" s="50"/>
    </row>
    <row r="12" spans="2:7" ht="15.75" x14ac:dyDescent="0.3">
      <c r="B12" s="360"/>
      <c r="C12" s="49" t="s">
        <v>152</v>
      </c>
      <c r="D12" s="81"/>
      <c r="F12" s="50"/>
      <c r="G12" s="50"/>
    </row>
    <row r="13" spans="2:7" ht="15.75" x14ac:dyDescent="0.3">
      <c r="B13" s="360"/>
      <c r="C13" s="57"/>
      <c r="D13" s="72"/>
      <c r="E13" s="72"/>
      <c r="F13" s="73"/>
      <c r="G13" s="50"/>
    </row>
    <row r="14" spans="2:7" ht="15.75" customHeight="1" x14ac:dyDescent="0.25">
      <c r="B14" s="361"/>
      <c r="C14" s="385" t="s">
        <v>77</v>
      </c>
      <c r="D14" s="386"/>
      <c r="E14" s="386"/>
      <c r="F14" s="386"/>
      <c r="G14" s="352"/>
    </row>
    <row r="15" spans="2:7" ht="15" customHeight="1" x14ac:dyDescent="0.3">
      <c r="B15" s="362"/>
      <c r="C15" s="62" t="s">
        <v>147</v>
      </c>
      <c r="D15" s="47"/>
      <c r="E15" s="47"/>
      <c r="F15" s="47"/>
      <c r="G15" s="48"/>
    </row>
    <row r="16" spans="2:7" ht="15" customHeight="1" x14ac:dyDescent="0.3">
      <c r="B16" s="362"/>
      <c r="C16" s="49"/>
      <c r="D16" s="52"/>
      <c r="E16" s="52"/>
      <c r="F16" s="52"/>
      <c r="G16" s="56"/>
    </row>
    <row r="17" spans="2:11" ht="15.75" customHeight="1" x14ac:dyDescent="0.3">
      <c r="B17" s="363"/>
      <c r="C17" s="57"/>
      <c r="D17" s="54"/>
      <c r="E17" s="54"/>
      <c r="F17" s="54"/>
      <c r="G17" s="55"/>
    </row>
    <row r="18" spans="2:11" ht="15" customHeight="1" x14ac:dyDescent="0.25">
      <c r="B18" s="364" t="s">
        <v>78</v>
      </c>
      <c r="C18" s="365"/>
      <c r="D18" s="365"/>
      <c r="E18" s="365"/>
      <c r="F18" s="365"/>
      <c r="G18" s="366"/>
    </row>
    <row r="19" spans="2:11" ht="15.75" customHeight="1" x14ac:dyDescent="0.25">
      <c r="B19" s="367"/>
      <c r="C19" s="368"/>
      <c r="D19" s="368"/>
      <c r="E19" s="368"/>
      <c r="F19" s="368"/>
      <c r="G19" s="369"/>
      <c r="J19" s="67"/>
    </row>
    <row r="20" spans="2:11" x14ac:dyDescent="0.25">
      <c r="B20" s="370" t="s">
        <v>158</v>
      </c>
      <c r="C20" s="343"/>
      <c r="D20" s="343"/>
      <c r="E20" s="343"/>
      <c r="F20" s="371">
        <v>3.2</v>
      </c>
      <c r="G20" s="373" t="s">
        <v>76</v>
      </c>
    </row>
    <row r="21" spans="2:11" ht="16.5" x14ac:dyDescent="0.25">
      <c r="B21" s="344"/>
      <c r="C21" s="168"/>
      <c r="D21" s="168"/>
      <c r="E21" s="168"/>
      <c r="F21" s="372"/>
      <c r="G21" s="374"/>
      <c r="K21" s="63"/>
    </row>
    <row r="22" spans="2:11" ht="15.75" x14ac:dyDescent="0.3">
      <c r="B22" s="383" t="s">
        <v>79</v>
      </c>
      <c r="C22" s="76"/>
      <c r="D22" s="59"/>
      <c r="E22" s="59"/>
      <c r="F22" s="48"/>
      <c r="G22" s="66"/>
    </row>
    <row r="23" spans="2:11" ht="15.75" x14ac:dyDescent="0.3">
      <c r="B23" s="384"/>
      <c r="C23" s="51" t="s">
        <v>89</v>
      </c>
      <c r="D23" s="52"/>
      <c r="E23" s="52"/>
      <c r="F23" s="50"/>
      <c r="G23" s="50"/>
    </row>
    <row r="24" spans="2:11" ht="15.75" x14ac:dyDescent="0.3">
      <c r="B24" s="384"/>
      <c r="C24" s="49" t="s">
        <v>170</v>
      </c>
      <c r="F24" s="56"/>
      <c r="G24" s="50"/>
    </row>
    <row r="25" spans="2:11" ht="15.75" x14ac:dyDescent="0.3">
      <c r="B25" s="384"/>
      <c r="C25" s="49"/>
      <c r="F25" s="50"/>
      <c r="G25" s="50"/>
    </row>
    <row r="26" spans="2:11" ht="15.75" customHeight="1" x14ac:dyDescent="0.3">
      <c r="B26" s="384"/>
      <c r="C26" s="49"/>
      <c r="F26" s="50"/>
      <c r="G26" s="50"/>
    </row>
    <row r="27" spans="2:11" ht="15.75" x14ac:dyDescent="0.3">
      <c r="B27" s="384"/>
      <c r="C27" s="49"/>
      <c r="D27" s="52"/>
      <c r="F27" s="50"/>
      <c r="G27" s="50"/>
    </row>
    <row r="28" spans="2:11" ht="15.75" x14ac:dyDescent="0.3">
      <c r="B28" s="384"/>
      <c r="C28" s="49"/>
      <c r="E28" s="52"/>
      <c r="F28" s="56"/>
      <c r="G28" s="68" t="s">
        <v>126</v>
      </c>
    </row>
    <row r="29" spans="2:11" ht="15.75" customHeight="1" x14ac:dyDescent="0.3">
      <c r="B29" s="384"/>
      <c r="C29" s="49"/>
      <c r="D29" s="7"/>
      <c r="F29" s="50"/>
      <c r="G29" s="50"/>
    </row>
    <row r="30" spans="2:11" ht="15.75" customHeight="1" x14ac:dyDescent="0.25">
      <c r="B30" s="384"/>
      <c r="C30" s="53"/>
      <c r="D30" s="54"/>
      <c r="E30" s="72"/>
      <c r="F30" s="73"/>
      <c r="G30" s="50"/>
    </row>
    <row r="31" spans="2:11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1" ht="15.75" customHeight="1" x14ac:dyDescent="0.3">
      <c r="B32" s="349"/>
      <c r="C32" s="49" t="s">
        <v>198</v>
      </c>
      <c r="D32" s="52"/>
      <c r="E32" s="52"/>
      <c r="F32" s="52"/>
      <c r="G32" s="56"/>
    </row>
    <row r="33" spans="2:7" ht="15.75" x14ac:dyDescent="0.3">
      <c r="B33" s="320"/>
      <c r="C33" s="49" t="s">
        <v>159</v>
      </c>
      <c r="G33" s="50"/>
    </row>
    <row r="34" spans="2:7" ht="15.75" customHeight="1" x14ac:dyDescent="0.3">
      <c r="B34" s="316"/>
      <c r="C34" s="57"/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B4A5-386E-4A06-AF8C-800538991F3A}">
  <sheetPr codeName="Tabelle13"/>
  <dimension ref="B1:K48"/>
  <sheetViews>
    <sheetView workbookViewId="0">
      <selection activeCell="I27" sqref="I2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Kompetenzraster!Q27</f>
        <v>45614</v>
      </c>
      <c r="F1" s="335"/>
      <c r="G1" s="338">
        <v>12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133</v>
      </c>
      <c r="C3" s="343"/>
      <c r="D3" s="343"/>
      <c r="E3" s="343"/>
      <c r="F3" s="346">
        <v>3.6</v>
      </c>
      <c r="G3" s="340" t="s">
        <v>76</v>
      </c>
    </row>
    <row r="4" spans="2:7" ht="14.25" customHeight="1" x14ac:dyDescent="0.25">
      <c r="B4" s="344"/>
      <c r="C4" s="345"/>
      <c r="D4" s="345"/>
      <c r="E4" s="345"/>
      <c r="F4" s="347"/>
      <c r="G4" s="341"/>
    </row>
    <row r="5" spans="2:7" ht="15.75" customHeight="1" x14ac:dyDescent="0.3">
      <c r="B5" s="359" t="s">
        <v>75</v>
      </c>
      <c r="C5" s="62" t="s">
        <v>237</v>
      </c>
      <c r="D5" s="46"/>
      <c r="E5" s="47"/>
      <c r="F5" s="48"/>
      <c r="G5" s="66"/>
    </row>
    <row r="6" spans="2:7" x14ac:dyDescent="0.25">
      <c r="B6" s="360"/>
      <c r="C6" s="61"/>
      <c r="F6" s="50"/>
      <c r="G6" s="50"/>
    </row>
    <row r="7" spans="2:7" x14ac:dyDescent="0.25">
      <c r="B7" s="360"/>
      <c r="C7" s="51" t="s">
        <v>116</v>
      </c>
      <c r="F7" s="50"/>
      <c r="G7" s="50"/>
    </row>
    <row r="8" spans="2:7" ht="15.75" x14ac:dyDescent="0.3">
      <c r="B8" s="360"/>
      <c r="C8" s="49" t="s">
        <v>236</v>
      </c>
      <c r="F8" s="50"/>
      <c r="G8" s="56"/>
    </row>
    <row r="9" spans="2:7" x14ac:dyDescent="0.25">
      <c r="B9" s="360"/>
      <c r="C9" s="51" t="s">
        <v>119</v>
      </c>
      <c r="E9" s="80"/>
      <c r="F9" s="77"/>
      <c r="G9" s="50"/>
    </row>
    <row r="10" spans="2:7" ht="15.75" x14ac:dyDescent="0.3">
      <c r="B10" s="360"/>
      <c r="C10" s="49" t="s">
        <v>152</v>
      </c>
      <c r="E10" s="81"/>
      <c r="F10" s="79"/>
      <c r="G10" s="50"/>
    </row>
    <row r="11" spans="2:7" ht="15.75" x14ac:dyDescent="0.3">
      <c r="B11" s="360"/>
      <c r="C11" s="51" t="s">
        <v>222</v>
      </c>
      <c r="D11" s="80"/>
      <c r="E11" s="52"/>
      <c r="F11" s="50"/>
      <c r="G11" s="50"/>
    </row>
    <row r="12" spans="2:7" ht="15.75" x14ac:dyDescent="0.3">
      <c r="B12" s="360"/>
      <c r="C12" s="49" t="s">
        <v>238</v>
      </c>
      <c r="D12" s="80"/>
      <c r="E12" s="52"/>
      <c r="F12" s="50"/>
      <c r="G12" s="68" t="s">
        <v>126</v>
      </c>
    </row>
    <row r="13" spans="2:7" ht="15.75" x14ac:dyDescent="0.3">
      <c r="B13" s="360"/>
      <c r="C13" s="49" t="s">
        <v>239</v>
      </c>
      <c r="D13" s="81"/>
      <c r="F13" s="50"/>
      <c r="G13" s="50"/>
    </row>
    <row r="14" spans="2:7" ht="15.75" x14ac:dyDescent="0.3">
      <c r="B14" s="360"/>
      <c r="C14" s="57"/>
      <c r="D14" s="72"/>
      <c r="E14" s="72"/>
      <c r="F14" s="73"/>
      <c r="G14" s="50"/>
    </row>
    <row r="15" spans="2:7" ht="15.75" customHeight="1" x14ac:dyDescent="0.25">
      <c r="B15" s="361"/>
      <c r="C15" s="385" t="s">
        <v>77</v>
      </c>
      <c r="D15" s="386"/>
      <c r="E15" s="386"/>
      <c r="F15" s="386"/>
      <c r="G15" s="352"/>
    </row>
    <row r="16" spans="2:7" ht="15" customHeight="1" x14ac:dyDescent="0.3">
      <c r="B16" s="362"/>
      <c r="C16" s="62" t="s">
        <v>147</v>
      </c>
      <c r="D16" s="47"/>
      <c r="E16" s="47"/>
      <c r="F16" s="47"/>
      <c r="G16" s="48"/>
    </row>
    <row r="17" spans="2:11" ht="15" customHeight="1" x14ac:dyDescent="0.3">
      <c r="B17" s="362"/>
      <c r="C17" s="49"/>
      <c r="D17" s="52"/>
      <c r="E17" s="52"/>
      <c r="F17" s="52"/>
      <c r="G17" s="56"/>
    </row>
    <row r="18" spans="2:11" ht="15.75" customHeight="1" x14ac:dyDescent="0.3">
      <c r="B18" s="363"/>
      <c r="C18" s="57"/>
      <c r="D18" s="54"/>
      <c r="E18" s="54"/>
      <c r="F18" s="54"/>
      <c r="G18" s="55"/>
    </row>
    <row r="19" spans="2:11" ht="15" customHeight="1" x14ac:dyDescent="0.25">
      <c r="B19" s="364" t="s">
        <v>78</v>
      </c>
      <c r="C19" s="365"/>
      <c r="D19" s="365"/>
      <c r="E19" s="365"/>
      <c r="F19" s="365"/>
      <c r="G19" s="366"/>
    </row>
    <row r="20" spans="2:11" ht="15.75" customHeight="1" x14ac:dyDescent="0.25">
      <c r="B20" s="367"/>
      <c r="C20" s="368"/>
      <c r="D20" s="368"/>
      <c r="E20" s="368"/>
      <c r="F20" s="368"/>
      <c r="G20" s="369"/>
      <c r="J20" s="67"/>
    </row>
    <row r="21" spans="2:11" x14ac:dyDescent="0.25">
      <c r="B21" s="370" t="s">
        <v>158</v>
      </c>
      <c r="C21" s="343"/>
      <c r="D21" s="343"/>
      <c r="E21" s="343"/>
      <c r="F21" s="371">
        <v>3.2</v>
      </c>
      <c r="G21" s="373" t="s">
        <v>76</v>
      </c>
    </row>
    <row r="22" spans="2:11" ht="16.5" x14ac:dyDescent="0.25">
      <c r="B22" s="344"/>
      <c r="C22" s="168"/>
      <c r="D22" s="168"/>
      <c r="E22" s="168"/>
      <c r="F22" s="393"/>
      <c r="G22" s="374"/>
      <c r="K22" s="63"/>
    </row>
    <row r="23" spans="2:11" ht="15.75" x14ac:dyDescent="0.3">
      <c r="B23" s="384"/>
      <c r="C23" s="51" t="s">
        <v>89</v>
      </c>
      <c r="D23" s="52"/>
      <c r="E23" s="52"/>
      <c r="F23" s="50"/>
      <c r="G23" s="50"/>
    </row>
    <row r="24" spans="2:11" ht="15.75" x14ac:dyDescent="0.3">
      <c r="B24" s="384"/>
      <c r="C24" s="49" t="s">
        <v>173</v>
      </c>
      <c r="F24" s="56"/>
      <c r="G24" s="50"/>
    </row>
    <row r="25" spans="2:11" ht="15.75" x14ac:dyDescent="0.3">
      <c r="B25" s="384"/>
      <c r="C25" s="49"/>
      <c r="F25" s="50"/>
      <c r="G25" s="50"/>
    </row>
    <row r="26" spans="2:11" ht="15.75" customHeight="1" x14ac:dyDescent="0.3">
      <c r="B26" s="384"/>
      <c r="C26" s="49"/>
      <c r="F26" s="50"/>
      <c r="G26" s="50"/>
    </row>
    <row r="27" spans="2:11" ht="15.75" x14ac:dyDescent="0.3">
      <c r="B27" s="384"/>
      <c r="C27" s="49"/>
      <c r="D27" s="52"/>
      <c r="F27" s="50"/>
      <c r="G27" s="50"/>
    </row>
    <row r="28" spans="2:11" ht="15.75" x14ac:dyDescent="0.3">
      <c r="B28" s="384"/>
      <c r="C28" s="49"/>
      <c r="E28" s="52"/>
      <c r="F28" s="56"/>
      <c r="G28" s="68"/>
    </row>
    <row r="29" spans="2:11" ht="15.75" customHeight="1" x14ac:dyDescent="0.3">
      <c r="B29" s="384"/>
      <c r="C29" s="49"/>
      <c r="D29" s="7"/>
      <c r="F29" s="50"/>
      <c r="G29" s="50"/>
    </row>
    <row r="30" spans="2:11" ht="15.75" customHeight="1" x14ac:dyDescent="0.25">
      <c r="B30" s="384"/>
      <c r="C30" s="69" t="s">
        <v>172</v>
      </c>
      <c r="D30" s="70"/>
      <c r="E30" s="70"/>
      <c r="F30" s="82" t="s">
        <v>242</v>
      </c>
      <c r="G30" s="50"/>
    </row>
    <row r="31" spans="2:11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1" ht="15.75" customHeight="1" x14ac:dyDescent="0.3">
      <c r="B32" s="349"/>
      <c r="C32" s="49" t="s">
        <v>198</v>
      </c>
      <c r="D32" s="52"/>
      <c r="E32" s="52"/>
      <c r="F32" s="52"/>
      <c r="G32" s="56"/>
    </row>
    <row r="33" spans="2:7" ht="15.75" x14ac:dyDescent="0.3">
      <c r="B33" s="320"/>
      <c r="C33" s="49" t="s">
        <v>159</v>
      </c>
      <c r="G33" s="50"/>
    </row>
    <row r="34" spans="2:7" ht="15.75" customHeight="1" x14ac:dyDescent="0.3">
      <c r="B34" s="316"/>
      <c r="C34" s="57"/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3:B34"/>
    <mergeCell ref="C31:G31"/>
    <mergeCell ref="B35:D36"/>
    <mergeCell ref="E35:G36"/>
    <mergeCell ref="B5:B18"/>
    <mergeCell ref="C15:G15"/>
    <mergeCell ref="B19:G20"/>
    <mergeCell ref="B21:E22"/>
    <mergeCell ref="F21:F22"/>
    <mergeCell ref="G21:G2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F16F-A06D-4C64-9839-763B4AB3F474}">
  <sheetPr codeName="Tabelle14"/>
  <dimension ref="B1:K48"/>
  <sheetViews>
    <sheetView workbookViewId="0">
      <selection activeCell="E27" sqref="E2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Kompetenzraster!Q29</f>
        <v>45621</v>
      </c>
      <c r="F1" s="335"/>
      <c r="G1" s="338">
        <v>13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175</v>
      </c>
      <c r="C3" s="343"/>
      <c r="D3" s="343"/>
      <c r="E3" s="343"/>
      <c r="F3" s="346">
        <v>3.8</v>
      </c>
      <c r="G3" s="340" t="s">
        <v>76</v>
      </c>
    </row>
    <row r="4" spans="2:7" ht="14.25" customHeight="1" x14ac:dyDescent="0.25">
      <c r="B4" s="344"/>
      <c r="C4" s="345"/>
      <c r="D4" s="345"/>
      <c r="E4" s="345"/>
      <c r="F4" s="347"/>
      <c r="G4" s="341"/>
    </row>
    <row r="5" spans="2:7" ht="15.75" customHeight="1" x14ac:dyDescent="0.25">
      <c r="B5" s="359" t="s">
        <v>75</v>
      </c>
      <c r="C5" s="69" t="s">
        <v>240</v>
      </c>
      <c r="D5" s="70"/>
      <c r="E5" s="70"/>
      <c r="F5" s="82" t="s">
        <v>241</v>
      </c>
      <c r="G5" s="66"/>
    </row>
    <row r="6" spans="2:7" x14ac:dyDescent="0.25">
      <c r="B6" s="360"/>
      <c r="C6" s="61"/>
      <c r="F6" s="50"/>
      <c r="G6" s="50"/>
    </row>
    <row r="7" spans="2:7" x14ac:dyDescent="0.25">
      <c r="B7" s="360"/>
      <c r="C7" s="51" t="s">
        <v>103</v>
      </c>
      <c r="F7" s="50"/>
      <c r="G7" s="50"/>
    </row>
    <row r="8" spans="2:7" ht="15.75" x14ac:dyDescent="0.3">
      <c r="B8" s="360"/>
      <c r="C8" s="49" t="s">
        <v>176</v>
      </c>
      <c r="F8" s="50"/>
      <c r="G8" s="50"/>
    </row>
    <row r="9" spans="2:7" ht="15.75" x14ac:dyDescent="0.3">
      <c r="B9" s="360"/>
      <c r="C9" s="49" t="s">
        <v>177</v>
      </c>
      <c r="F9" s="50"/>
      <c r="G9" s="56"/>
    </row>
    <row r="10" spans="2:7" ht="15.75" x14ac:dyDescent="0.3">
      <c r="B10" s="360"/>
      <c r="C10" s="49" t="s">
        <v>178</v>
      </c>
      <c r="D10" s="80"/>
      <c r="E10" s="80"/>
      <c r="F10" s="77"/>
      <c r="G10" s="50"/>
    </row>
    <row r="11" spans="2:7" ht="15.75" x14ac:dyDescent="0.3">
      <c r="B11" s="360"/>
      <c r="C11" s="49" t="s">
        <v>179</v>
      </c>
      <c r="D11" s="81"/>
      <c r="E11" s="81"/>
      <c r="F11" s="79"/>
      <c r="G11" s="50"/>
    </row>
    <row r="12" spans="2:7" ht="15.75" x14ac:dyDescent="0.3">
      <c r="B12" s="360"/>
      <c r="C12" s="49" t="s">
        <v>180</v>
      </c>
      <c r="D12" s="52"/>
      <c r="E12" s="52"/>
      <c r="F12" s="50"/>
      <c r="G12" s="50"/>
    </row>
    <row r="13" spans="2:7" ht="15.75" x14ac:dyDescent="0.3">
      <c r="B13" s="360"/>
      <c r="C13" s="49" t="s">
        <v>181</v>
      </c>
      <c r="F13" s="50"/>
      <c r="G13" s="50"/>
    </row>
    <row r="14" spans="2:7" ht="15.75" x14ac:dyDescent="0.3">
      <c r="B14" s="360"/>
      <c r="C14" s="57"/>
      <c r="D14" s="72"/>
      <c r="E14" s="72"/>
      <c r="F14" s="73"/>
      <c r="G14" s="50"/>
    </row>
    <row r="15" spans="2:7" ht="15.75" customHeight="1" x14ac:dyDescent="0.25">
      <c r="B15" s="361"/>
      <c r="C15" s="394" t="s">
        <v>77</v>
      </c>
      <c r="D15" s="395"/>
      <c r="E15" s="395"/>
      <c r="F15" s="395"/>
      <c r="G15" s="377"/>
    </row>
    <row r="16" spans="2:7" ht="15" customHeight="1" x14ac:dyDescent="0.3">
      <c r="B16" s="362"/>
      <c r="C16" s="58"/>
      <c r="D16" s="47"/>
      <c r="E16" s="47"/>
      <c r="F16" s="47"/>
      <c r="G16" s="48"/>
    </row>
    <row r="17" spans="2:11" ht="15" customHeight="1" x14ac:dyDescent="0.3">
      <c r="B17" s="362"/>
      <c r="C17" s="49" t="s">
        <v>182</v>
      </c>
      <c r="D17" s="52"/>
      <c r="E17" s="52"/>
      <c r="F17" s="52"/>
      <c r="G17" s="56"/>
    </row>
    <row r="18" spans="2:11" ht="15.75" customHeight="1" x14ac:dyDescent="0.3">
      <c r="B18" s="363"/>
      <c r="C18" s="57"/>
      <c r="D18" s="54"/>
      <c r="E18" s="54"/>
      <c r="F18" s="54"/>
      <c r="G18" s="55"/>
    </row>
    <row r="19" spans="2:11" ht="15" customHeight="1" x14ac:dyDescent="0.25">
      <c r="B19" s="364" t="s">
        <v>78</v>
      </c>
      <c r="C19" s="365"/>
      <c r="D19" s="365"/>
      <c r="E19" s="365"/>
      <c r="F19" s="365"/>
      <c r="G19" s="366"/>
    </row>
    <row r="20" spans="2:11" ht="15.75" customHeight="1" x14ac:dyDescent="0.25">
      <c r="B20" s="367"/>
      <c r="C20" s="368"/>
      <c r="D20" s="368"/>
      <c r="E20" s="368"/>
      <c r="F20" s="368"/>
      <c r="G20" s="369"/>
      <c r="J20" s="67"/>
    </row>
    <row r="21" spans="2:11" x14ac:dyDescent="0.25">
      <c r="B21" s="370" t="s">
        <v>158</v>
      </c>
      <c r="C21" s="343"/>
      <c r="D21" s="343"/>
      <c r="E21" s="343"/>
      <c r="F21" s="371">
        <v>3.2</v>
      </c>
      <c r="G21" s="373" t="s">
        <v>76</v>
      </c>
    </row>
    <row r="22" spans="2:11" ht="16.5" x14ac:dyDescent="0.25">
      <c r="B22" s="344"/>
      <c r="C22" s="168"/>
      <c r="D22" s="168"/>
      <c r="E22" s="168"/>
      <c r="F22" s="372"/>
      <c r="G22" s="374"/>
      <c r="K22" s="63"/>
    </row>
    <row r="23" spans="2:11" ht="15.75" x14ac:dyDescent="0.3">
      <c r="B23" s="383" t="s">
        <v>79</v>
      </c>
      <c r="C23" s="76"/>
      <c r="D23" s="59"/>
      <c r="E23" s="59"/>
      <c r="F23" s="48"/>
      <c r="G23" s="66"/>
    </row>
    <row r="24" spans="2:11" ht="15.75" x14ac:dyDescent="0.3">
      <c r="B24" s="384"/>
      <c r="C24" s="51" t="s">
        <v>89</v>
      </c>
      <c r="D24" s="52"/>
      <c r="E24" s="52"/>
      <c r="F24" s="50"/>
      <c r="G24" s="50"/>
    </row>
    <row r="25" spans="2:11" ht="15.75" x14ac:dyDescent="0.3">
      <c r="B25" s="384"/>
      <c r="C25" s="49" t="s">
        <v>183</v>
      </c>
      <c r="F25" s="56"/>
      <c r="G25" s="50"/>
    </row>
    <row r="26" spans="2:11" ht="15.75" x14ac:dyDescent="0.3">
      <c r="B26" s="384"/>
      <c r="C26" s="49"/>
      <c r="F26" s="50"/>
      <c r="G26" s="50"/>
    </row>
    <row r="27" spans="2:11" ht="15.75" x14ac:dyDescent="0.3">
      <c r="B27" s="384"/>
      <c r="C27" s="49"/>
      <c r="D27" s="52"/>
      <c r="F27" s="50"/>
      <c r="G27" s="50"/>
    </row>
    <row r="28" spans="2:11" ht="15.75" x14ac:dyDescent="0.3">
      <c r="B28" s="384"/>
      <c r="C28" s="49"/>
      <c r="E28" s="52"/>
      <c r="F28" s="56"/>
      <c r="G28" s="74"/>
    </row>
    <row r="29" spans="2:11" ht="15.75" customHeight="1" x14ac:dyDescent="0.3">
      <c r="B29" s="384"/>
      <c r="C29" s="49"/>
      <c r="D29" s="7"/>
      <c r="F29" s="50"/>
      <c r="G29" s="50"/>
    </row>
    <row r="30" spans="2:11" ht="15.75" customHeight="1" x14ac:dyDescent="0.25">
      <c r="B30" s="384"/>
      <c r="C30" s="71"/>
      <c r="D30" s="72"/>
      <c r="E30" s="72"/>
      <c r="F30" s="83"/>
      <c r="G30" s="50"/>
    </row>
    <row r="31" spans="2:11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1" ht="15.75" customHeight="1" x14ac:dyDescent="0.3">
      <c r="B32" s="349"/>
      <c r="C32" s="49" t="s">
        <v>198</v>
      </c>
      <c r="D32" s="52"/>
      <c r="E32" s="52"/>
      <c r="F32" s="52"/>
      <c r="G32" s="56"/>
    </row>
    <row r="33" spans="2:7" ht="15.75" x14ac:dyDescent="0.3">
      <c r="B33" s="320"/>
      <c r="C33" s="49" t="s">
        <v>159</v>
      </c>
      <c r="G33" s="50"/>
    </row>
    <row r="34" spans="2:7" ht="15.75" customHeight="1" x14ac:dyDescent="0.3">
      <c r="B34" s="316"/>
      <c r="C34" s="57"/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3:B34"/>
    <mergeCell ref="C31:G31"/>
    <mergeCell ref="B35:D36"/>
    <mergeCell ref="E35:G36"/>
    <mergeCell ref="B5:B18"/>
    <mergeCell ref="C15:G15"/>
    <mergeCell ref="B19:G20"/>
    <mergeCell ref="B21:E22"/>
    <mergeCell ref="F21:F22"/>
    <mergeCell ref="G21:G2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F07F-ECCC-4C7B-97B1-F7AD7B726918}">
  <sheetPr codeName="Tabelle15"/>
  <dimension ref="B1:K47"/>
  <sheetViews>
    <sheetView topLeftCell="A18" workbookViewId="0">
      <selection activeCell="I37" sqref="I3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Kompetenzraster!Q31</f>
        <v>45628</v>
      </c>
      <c r="F1" s="335"/>
      <c r="G1" s="338">
        <v>14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42" t="s">
        <v>175</v>
      </c>
      <c r="C3" s="343"/>
      <c r="D3" s="343"/>
      <c r="E3" s="343"/>
      <c r="F3" s="346">
        <v>3.8</v>
      </c>
      <c r="G3" s="340" t="s">
        <v>76</v>
      </c>
    </row>
    <row r="4" spans="2:7" ht="14.25" customHeight="1" x14ac:dyDescent="0.25">
      <c r="B4" s="344"/>
      <c r="C4" s="345"/>
      <c r="D4" s="345"/>
      <c r="E4" s="345"/>
      <c r="F4" s="347"/>
      <c r="G4" s="341"/>
    </row>
    <row r="5" spans="2:7" ht="15.75" customHeight="1" x14ac:dyDescent="0.3">
      <c r="B5" s="359" t="s">
        <v>75</v>
      </c>
      <c r="C5" s="76" t="s">
        <v>250</v>
      </c>
      <c r="D5" s="46"/>
      <c r="E5" s="47"/>
      <c r="F5" s="48"/>
      <c r="G5" s="66"/>
    </row>
    <row r="6" spans="2:7" ht="15.75" customHeight="1" x14ac:dyDescent="0.3">
      <c r="B6" s="396"/>
      <c r="C6" s="51"/>
      <c r="D6" s="101"/>
      <c r="E6" s="52"/>
      <c r="F6" s="56"/>
      <c r="G6" s="102"/>
    </row>
    <row r="7" spans="2:7" x14ac:dyDescent="0.25">
      <c r="B7" s="360"/>
      <c r="C7" s="51" t="s">
        <v>89</v>
      </c>
      <c r="F7" s="50"/>
      <c r="G7" s="50"/>
    </row>
    <row r="8" spans="2:7" ht="15.75" x14ac:dyDescent="0.3">
      <c r="B8" s="360"/>
      <c r="C8" s="49" t="s">
        <v>190</v>
      </c>
      <c r="F8" s="50"/>
      <c r="G8" s="50"/>
    </row>
    <row r="9" spans="2:7" ht="15.75" x14ac:dyDescent="0.3">
      <c r="B9" s="360"/>
      <c r="C9" s="49" t="s">
        <v>184</v>
      </c>
      <c r="F9" s="50"/>
      <c r="G9" s="56"/>
    </row>
    <row r="10" spans="2:7" x14ac:dyDescent="0.25">
      <c r="B10" s="360"/>
      <c r="C10" s="61"/>
      <c r="D10" s="80"/>
      <c r="E10" s="80"/>
      <c r="F10" s="77"/>
      <c r="G10" s="50"/>
    </row>
    <row r="11" spans="2:7" x14ac:dyDescent="0.25">
      <c r="B11" s="360"/>
      <c r="C11" s="51" t="s">
        <v>119</v>
      </c>
      <c r="D11" s="81"/>
      <c r="E11" s="81"/>
      <c r="F11" s="79"/>
      <c r="G11" s="50"/>
    </row>
    <row r="12" spans="2:7" ht="15.75" x14ac:dyDescent="0.3">
      <c r="B12" s="360"/>
      <c r="C12" s="49" t="s">
        <v>185</v>
      </c>
      <c r="D12" s="52"/>
      <c r="E12" s="52"/>
      <c r="F12" s="50"/>
      <c r="G12" s="68"/>
    </row>
    <row r="13" spans="2:7" x14ac:dyDescent="0.25">
      <c r="B13" s="360"/>
      <c r="C13" s="61"/>
      <c r="F13" s="50"/>
      <c r="G13" s="50"/>
    </row>
    <row r="14" spans="2:7" ht="15.75" x14ac:dyDescent="0.3">
      <c r="B14" s="360"/>
      <c r="C14" s="57" t="s">
        <v>243</v>
      </c>
      <c r="D14" s="54"/>
      <c r="E14" s="54"/>
      <c r="F14" s="73"/>
      <c r="G14" s="50"/>
    </row>
    <row r="15" spans="2:7" ht="15.75" customHeight="1" x14ac:dyDescent="0.25">
      <c r="B15" s="361"/>
      <c r="C15" s="394" t="s">
        <v>77</v>
      </c>
      <c r="D15" s="395"/>
      <c r="E15" s="395"/>
      <c r="F15" s="395"/>
      <c r="G15" s="377"/>
    </row>
    <row r="16" spans="2:7" ht="15" customHeight="1" x14ac:dyDescent="0.3">
      <c r="B16" s="362"/>
      <c r="C16" s="58"/>
      <c r="D16" s="47"/>
      <c r="E16" s="47"/>
      <c r="F16" s="47"/>
      <c r="G16" s="48"/>
    </row>
    <row r="17" spans="2:11" ht="15" customHeight="1" x14ac:dyDescent="0.3">
      <c r="B17" s="362"/>
      <c r="C17" s="49" t="s">
        <v>182</v>
      </c>
      <c r="D17" s="52"/>
      <c r="E17" s="52"/>
      <c r="F17" s="52"/>
      <c r="G17" s="56"/>
    </row>
    <row r="18" spans="2:11" ht="15.75" customHeight="1" x14ac:dyDescent="0.3">
      <c r="B18" s="363"/>
      <c r="C18" s="57"/>
      <c r="D18" s="54"/>
      <c r="E18" s="54"/>
      <c r="F18" s="54"/>
      <c r="G18" s="55"/>
    </row>
    <row r="19" spans="2:11" ht="15" customHeight="1" x14ac:dyDescent="0.25">
      <c r="B19" s="364" t="s">
        <v>78</v>
      </c>
      <c r="C19" s="365"/>
      <c r="D19" s="365"/>
      <c r="E19" s="365"/>
      <c r="F19" s="365"/>
      <c r="G19" s="366"/>
    </row>
    <row r="20" spans="2:11" ht="15.75" customHeight="1" x14ac:dyDescent="0.25">
      <c r="B20" s="367"/>
      <c r="C20" s="368"/>
      <c r="D20" s="368"/>
      <c r="E20" s="368"/>
      <c r="F20" s="368"/>
      <c r="G20" s="369"/>
      <c r="J20" s="67"/>
    </row>
    <row r="21" spans="2:11" x14ac:dyDescent="0.25">
      <c r="B21" s="370" t="s">
        <v>158</v>
      </c>
      <c r="C21" s="343"/>
      <c r="D21" s="343"/>
      <c r="E21" s="343"/>
      <c r="F21" s="371">
        <v>3.2</v>
      </c>
      <c r="G21" s="373" t="s">
        <v>76</v>
      </c>
    </row>
    <row r="22" spans="2:11" ht="16.5" x14ac:dyDescent="0.25">
      <c r="B22" s="344"/>
      <c r="C22" s="168"/>
      <c r="D22" s="168"/>
      <c r="E22" s="168"/>
      <c r="F22" s="372"/>
      <c r="G22" s="374"/>
      <c r="K22" s="63"/>
    </row>
    <row r="23" spans="2:11" ht="15.75" x14ac:dyDescent="0.3">
      <c r="B23" s="383" t="s">
        <v>79</v>
      </c>
      <c r="C23" s="76"/>
      <c r="D23" s="59"/>
      <c r="E23" s="59"/>
      <c r="F23" s="48"/>
      <c r="G23" s="66"/>
    </row>
    <row r="24" spans="2:11" ht="15.75" x14ac:dyDescent="0.3">
      <c r="B24" s="384"/>
      <c r="C24" s="51" t="s">
        <v>89</v>
      </c>
      <c r="D24" s="52"/>
      <c r="E24" s="52"/>
      <c r="F24" s="50"/>
      <c r="G24" s="50"/>
    </row>
    <row r="25" spans="2:11" ht="15.75" x14ac:dyDescent="0.3">
      <c r="B25" s="384"/>
      <c r="C25" s="49" t="s">
        <v>186</v>
      </c>
      <c r="F25" s="56"/>
      <c r="G25" s="50"/>
    </row>
    <row r="26" spans="2:11" ht="15.75" x14ac:dyDescent="0.3">
      <c r="B26" s="384"/>
      <c r="C26" s="49"/>
      <c r="F26" s="50"/>
      <c r="G26" s="50"/>
    </row>
    <row r="27" spans="2:11" ht="15.75" customHeight="1" x14ac:dyDescent="0.3">
      <c r="B27" s="384"/>
      <c r="C27" s="49"/>
      <c r="F27" s="50"/>
      <c r="G27" s="50"/>
    </row>
    <row r="28" spans="2:11" ht="15.75" x14ac:dyDescent="0.3">
      <c r="B28" s="384"/>
      <c r="C28" s="49"/>
      <c r="D28" s="52"/>
      <c r="F28" s="50"/>
      <c r="G28" s="50"/>
    </row>
    <row r="29" spans="2:11" ht="15.75" x14ac:dyDescent="0.3">
      <c r="B29" s="384"/>
      <c r="C29" s="49"/>
      <c r="E29" s="52"/>
      <c r="F29" s="56"/>
      <c r="G29" s="74"/>
    </row>
    <row r="30" spans="2:11" ht="15.75" customHeight="1" x14ac:dyDescent="0.3">
      <c r="B30" s="384"/>
      <c r="C30" s="49"/>
      <c r="D30" s="7"/>
      <c r="F30" s="50"/>
      <c r="G30" s="50"/>
    </row>
    <row r="31" spans="2:11" ht="15.75" customHeight="1" x14ac:dyDescent="0.25">
      <c r="B31" s="384"/>
      <c r="C31" s="71"/>
      <c r="D31" s="72"/>
      <c r="E31" s="72"/>
      <c r="F31" s="83"/>
      <c r="G31" s="50"/>
    </row>
    <row r="32" spans="2:11" ht="15.75" customHeight="1" x14ac:dyDescent="0.25">
      <c r="B32" s="349"/>
      <c r="C32" s="350" t="s">
        <v>77</v>
      </c>
      <c r="D32" s="351"/>
      <c r="E32" s="351"/>
      <c r="F32" s="351"/>
      <c r="G32" s="352"/>
    </row>
    <row r="33" spans="2:7" ht="15.75" customHeight="1" x14ac:dyDescent="0.3">
      <c r="B33" s="349"/>
      <c r="C33" s="49" t="s">
        <v>198</v>
      </c>
      <c r="D33" s="52"/>
      <c r="E33" s="52"/>
      <c r="F33" s="52"/>
      <c r="G33" s="56"/>
    </row>
    <row r="34" spans="2:7" ht="15.75" x14ac:dyDescent="0.3">
      <c r="B34" s="320"/>
      <c r="C34" s="49" t="s">
        <v>159</v>
      </c>
      <c r="G34" s="50"/>
    </row>
    <row r="35" spans="2:7" ht="15.75" customHeight="1" x14ac:dyDescent="0.3">
      <c r="B35" s="316"/>
      <c r="C35" s="57"/>
      <c r="D35" s="54"/>
      <c r="E35" s="54"/>
      <c r="F35" s="54"/>
      <c r="G35" s="55"/>
    </row>
    <row r="36" spans="2:7" ht="15.75" customHeight="1" x14ac:dyDescent="0.25">
      <c r="B36" s="353" t="s">
        <v>80</v>
      </c>
      <c r="C36" s="354"/>
      <c r="D36" s="354"/>
      <c r="E36" s="353" t="s">
        <v>81</v>
      </c>
      <c r="F36" s="354"/>
      <c r="G36" s="357"/>
    </row>
    <row r="37" spans="2:7" ht="15.75" customHeight="1" x14ac:dyDescent="0.25">
      <c r="B37" s="355"/>
      <c r="C37" s="356"/>
      <c r="D37" s="356"/>
      <c r="E37" s="355"/>
      <c r="F37" s="356"/>
      <c r="G37" s="358"/>
    </row>
    <row r="38" spans="2:7" ht="15.75" customHeight="1" x14ac:dyDescent="0.25">
      <c r="B38" s="58"/>
      <c r="C38" s="59"/>
      <c r="D38" s="60"/>
      <c r="E38" s="58"/>
      <c r="F38" s="59"/>
      <c r="G38" s="6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x14ac:dyDescent="0.25">
      <c r="B46" s="61"/>
      <c r="D46" s="50"/>
      <c r="E46" s="61"/>
      <c r="G46" s="50"/>
    </row>
    <row r="47" spans="2:7" x14ac:dyDescent="0.25">
      <c r="B47" s="53"/>
      <c r="C47" s="54"/>
      <c r="D47" s="55"/>
      <c r="E47" s="53"/>
      <c r="F47" s="54"/>
      <c r="G47" s="55"/>
    </row>
  </sheetData>
  <mergeCells count="16">
    <mergeCell ref="B23:B35"/>
    <mergeCell ref="C32:G32"/>
    <mergeCell ref="B36:D37"/>
    <mergeCell ref="E36:G37"/>
    <mergeCell ref="B5:B18"/>
    <mergeCell ref="C15:G15"/>
    <mergeCell ref="B19:G20"/>
    <mergeCell ref="B21:E22"/>
    <mergeCell ref="F21:F22"/>
    <mergeCell ref="G21:G22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E608-5A40-4D7B-89A4-A71FDC0E0179}">
  <dimension ref="B1:K48"/>
  <sheetViews>
    <sheetView workbookViewId="0">
      <selection activeCell="C24" sqref="C2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Kompetenzraster!Q33</f>
        <v>45635</v>
      </c>
      <c r="F1" s="335"/>
      <c r="G1" s="338">
        <v>15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97" t="s">
        <v>187</v>
      </c>
      <c r="C3" s="398"/>
      <c r="D3" s="398"/>
      <c r="E3" s="398"/>
      <c r="F3" s="401">
        <v>3.9</v>
      </c>
      <c r="G3" s="403" t="s">
        <v>76</v>
      </c>
    </row>
    <row r="4" spans="2:7" ht="14.25" customHeight="1" x14ac:dyDescent="0.25">
      <c r="B4" s="399"/>
      <c r="C4" s="400"/>
      <c r="D4" s="400"/>
      <c r="E4" s="400"/>
      <c r="F4" s="402"/>
      <c r="G4" s="404"/>
    </row>
    <row r="5" spans="2:7" ht="15.75" customHeight="1" x14ac:dyDescent="0.3">
      <c r="B5" s="405" t="s">
        <v>75</v>
      </c>
      <c r="C5" s="58"/>
      <c r="D5" s="46"/>
      <c r="E5" s="47"/>
      <c r="F5" s="48"/>
      <c r="G5" s="66"/>
    </row>
    <row r="6" spans="2:7" ht="15.75" x14ac:dyDescent="0.3">
      <c r="B6" s="406"/>
      <c r="C6" s="51" t="s">
        <v>103</v>
      </c>
      <c r="D6" s="52"/>
      <c r="E6" s="52"/>
      <c r="F6" s="50"/>
      <c r="G6" s="50"/>
    </row>
    <row r="7" spans="2:7" ht="15.75" x14ac:dyDescent="0.3">
      <c r="B7" s="406"/>
      <c r="C7" s="49" t="s">
        <v>192</v>
      </c>
      <c r="F7" s="56"/>
      <c r="G7" s="50"/>
    </row>
    <row r="8" spans="2:7" ht="15.75" x14ac:dyDescent="0.3">
      <c r="B8" s="406"/>
      <c r="C8" s="49" t="s">
        <v>193</v>
      </c>
      <c r="F8" s="50"/>
      <c r="G8" s="56"/>
    </row>
    <row r="9" spans="2:7" ht="15.75" x14ac:dyDescent="0.3">
      <c r="B9" s="406"/>
      <c r="C9" s="49" t="s">
        <v>194</v>
      </c>
      <c r="D9" s="80"/>
      <c r="E9" s="80"/>
      <c r="F9" s="77"/>
      <c r="G9" s="50"/>
    </row>
    <row r="10" spans="2:7" x14ac:dyDescent="0.25">
      <c r="B10" s="406"/>
      <c r="C10" s="51" t="s">
        <v>89</v>
      </c>
      <c r="D10" s="81"/>
      <c r="E10" s="81"/>
      <c r="F10" s="79"/>
      <c r="G10" s="50"/>
    </row>
    <row r="11" spans="2:7" ht="15.75" x14ac:dyDescent="0.3">
      <c r="B11" s="406"/>
      <c r="C11" s="49" t="s">
        <v>195</v>
      </c>
      <c r="D11" s="52"/>
      <c r="E11" s="52"/>
      <c r="F11" s="50"/>
      <c r="G11" s="50"/>
    </row>
    <row r="12" spans="2:7" ht="15.75" x14ac:dyDescent="0.3">
      <c r="B12" s="406"/>
      <c r="C12" s="49" t="s">
        <v>196</v>
      </c>
      <c r="F12" s="50"/>
      <c r="G12" s="50"/>
    </row>
    <row r="13" spans="2:7" ht="15.75" x14ac:dyDescent="0.3">
      <c r="B13" s="406"/>
      <c r="C13" s="49" t="s">
        <v>197</v>
      </c>
      <c r="D13" s="72"/>
      <c r="E13" s="72"/>
      <c r="F13" s="73"/>
      <c r="G13" s="50"/>
    </row>
    <row r="14" spans="2:7" ht="15.75" customHeight="1" x14ac:dyDescent="0.25">
      <c r="B14" s="407"/>
      <c r="C14" s="385" t="s">
        <v>77</v>
      </c>
      <c r="D14" s="386"/>
      <c r="E14" s="386"/>
      <c r="F14" s="386"/>
      <c r="G14" s="352"/>
    </row>
    <row r="15" spans="2:7" ht="15" customHeight="1" x14ac:dyDescent="0.3">
      <c r="B15" s="408"/>
      <c r="C15" s="49" t="s">
        <v>188</v>
      </c>
      <c r="D15" s="52"/>
      <c r="E15" s="52"/>
      <c r="F15" s="52"/>
      <c r="G15" s="56"/>
    </row>
    <row r="16" spans="2:7" ht="15" customHeight="1" x14ac:dyDescent="0.3">
      <c r="B16" s="408"/>
      <c r="C16" s="49" t="s">
        <v>189</v>
      </c>
      <c r="D16" s="52"/>
      <c r="E16" s="52"/>
      <c r="F16" s="52"/>
      <c r="G16" s="56"/>
    </row>
    <row r="17" spans="2:11" ht="15.75" customHeight="1" x14ac:dyDescent="0.3">
      <c r="B17" s="409"/>
      <c r="C17" s="57"/>
      <c r="D17" s="54"/>
      <c r="E17" s="54"/>
      <c r="F17" s="54"/>
      <c r="G17" s="55"/>
    </row>
    <row r="18" spans="2:11" ht="15" customHeight="1" x14ac:dyDescent="0.25">
      <c r="B18" s="364" t="s">
        <v>78</v>
      </c>
      <c r="C18" s="365"/>
      <c r="D18" s="365"/>
      <c r="E18" s="365"/>
      <c r="F18" s="365"/>
      <c r="G18" s="366"/>
    </row>
    <row r="19" spans="2:11" ht="15.75" customHeight="1" x14ac:dyDescent="0.25">
      <c r="B19" s="367"/>
      <c r="C19" s="368"/>
      <c r="D19" s="368"/>
      <c r="E19" s="368"/>
      <c r="F19" s="368"/>
      <c r="G19" s="369"/>
      <c r="J19" s="67"/>
    </row>
    <row r="20" spans="2:11" x14ac:dyDescent="0.25">
      <c r="B20" s="370" t="s">
        <v>158</v>
      </c>
      <c r="C20" s="343"/>
      <c r="D20" s="343"/>
      <c r="E20" s="343"/>
      <c r="F20" s="371">
        <v>3.2</v>
      </c>
      <c r="G20" s="373" t="s">
        <v>76</v>
      </c>
    </row>
    <row r="21" spans="2:11" ht="16.5" x14ac:dyDescent="0.25">
      <c r="B21" s="344"/>
      <c r="C21" s="168"/>
      <c r="D21" s="168"/>
      <c r="E21" s="168"/>
      <c r="F21" s="372"/>
      <c r="G21" s="374"/>
      <c r="K21" s="63"/>
    </row>
    <row r="22" spans="2:11" ht="15.75" x14ac:dyDescent="0.3">
      <c r="B22" s="383" t="s">
        <v>79</v>
      </c>
      <c r="C22" s="76"/>
      <c r="D22" s="59"/>
      <c r="E22" s="59"/>
      <c r="F22" s="48"/>
      <c r="G22" s="66"/>
    </row>
    <row r="23" spans="2:11" ht="15.75" x14ac:dyDescent="0.3">
      <c r="B23" s="384"/>
      <c r="C23" s="51" t="s">
        <v>89</v>
      </c>
      <c r="D23" s="52"/>
      <c r="E23" s="52"/>
      <c r="F23" s="50"/>
      <c r="G23" s="50"/>
    </row>
    <row r="24" spans="2:11" ht="15.75" x14ac:dyDescent="0.3">
      <c r="B24" s="384"/>
      <c r="C24" s="49" t="s">
        <v>191</v>
      </c>
      <c r="F24" s="56"/>
      <c r="G24" s="50"/>
    </row>
    <row r="25" spans="2:11" ht="15.75" x14ac:dyDescent="0.3">
      <c r="B25" s="384"/>
      <c r="C25" s="49"/>
      <c r="F25" s="50"/>
      <c r="G25" s="50"/>
    </row>
    <row r="26" spans="2:11" ht="15.75" customHeight="1" x14ac:dyDescent="0.3">
      <c r="B26" s="384"/>
      <c r="C26" s="49"/>
      <c r="F26" s="50"/>
      <c r="G26" s="50"/>
    </row>
    <row r="27" spans="2:11" ht="15.75" x14ac:dyDescent="0.3">
      <c r="B27" s="384"/>
      <c r="C27" s="49"/>
      <c r="D27" s="52"/>
      <c r="F27" s="50"/>
      <c r="G27" s="50"/>
    </row>
    <row r="28" spans="2:11" ht="15.75" x14ac:dyDescent="0.3">
      <c r="B28" s="384"/>
      <c r="C28" s="49"/>
      <c r="E28" s="52"/>
      <c r="F28" s="56"/>
      <c r="G28" s="74"/>
    </row>
    <row r="29" spans="2:11" ht="15.75" customHeight="1" x14ac:dyDescent="0.3">
      <c r="B29" s="384"/>
      <c r="C29" s="49"/>
      <c r="D29" s="7"/>
      <c r="F29" s="50"/>
      <c r="G29" s="50"/>
    </row>
    <row r="30" spans="2:11" ht="15.75" customHeight="1" x14ac:dyDescent="0.25">
      <c r="B30" s="384"/>
      <c r="C30" s="71"/>
      <c r="D30" s="72"/>
      <c r="E30" s="72"/>
      <c r="F30" s="83"/>
      <c r="G30" s="50"/>
    </row>
    <row r="31" spans="2:11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1" ht="15.75" customHeight="1" x14ac:dyDescent="0.3">
      <c r="B32" s="349"/>
      <c r="C32" s="49" t="s">
        <v>198</v>
      </c>
      <c r="D32" s="52"/>
      <c r="E32" s="52"/>
      <c r="F32" s="52"/>
      <c r="G32" s="56"/>
    </row>
    <row r="33" spans="2:7" ht="15.75" x14ac:dyDescent="0.3">
      <c r="B33" s="320"/>
      <c r="C33" s="49" t="s">
        <v>159</v>
      </c>
      <c r="G33" s="50"/>
    </row>
    <row r="34" spans="2:7" ht="15.75" customHeight="1" x14ac:dyDescent="0.3">
      <c r="B34" s="316"/>
      <c r="C34" s="57"/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FA982-040F-4B24-834C-41471848DBE7}">
  <dimension ref="B1:J48"/>
  <sheetViews>
    <sheetView workbookViewId="0">
      <selection activeCell="C24" sqref="C24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Kompetenzraster!Q35</f>
        <v>45656</v>
      </c>
      <c r="F1" s="335"/>
      <c r="G1" s="338">
        <v>16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397" t="s">
        <v>187</v>
      </c>
      <c r="C3" s="398"/>
      <c r="D3" s="398"/>
      <c r="E3" s="398"/>
      <c r="F3" s="401">
        <v>3.9</v>
      </c>
      <c r="G3" s="403" t="s">
        <v>76</v>
      </c>
    </row>
    <row r="4" spans="2:7" ht="14.25" customHeight="1" x14ac:dyDescent="0.25">
      <c r="B4" s="399"/>
      <c r="C4" s="400"/>
      <c r="D4" s="400"/>
      <c r="E4" s="400"/>
      <c r="F4" s="402"/>
      <c r="G4" s="404"/>
    </row>
    <row r="5" spans="2:7" ht="15.75" customHeight="1" x14ac:dyDescent="0.3">
      <c r="B5" s="405" t="s">
        <v>75</v>
      </c>
      <c r="C5" s="58"/>
      <c r="D5" s="46"/>
      <c r="E5" s="47"/>
      <c r="F5" s="48"/>
      <c r="G5" s="66"/>
    </row>
    <row r="6" spans="2:7" ht="15.75" x14ac:dyDescent="0.3">
      <c r="B6" s="406"/>
      <c r="C6" s="51" t="s">
        <v>116</v>
      </c>
      <c r="D6" s="52"/>
      <c r="E6" s="52"/>
      <c r="F6" s="50"/>
      <c r="G6" s="50"/>
    </row>
    <row r="7" spans="2:7" ht="15.75" x14ac:dyDescent="0.3">
      <c r="B7" s="406"/>
      <c r="C7" s="49" t="s">
        <v>199</v>
      </c>
      <c r="F7" s="56"/>
      <c r="G7" s="50"/>
    </row>
    <row r="8" spans="2:7" ht="15.75" x14ac:dyDescent="0.3">
      <c r="B8" s="406"/>
      <c r="C8" s="49" t="s">
        <v>244</v>
      </c>
      <c r="F8" s="50"/>
      <c r="G8" s="56"/>
    </row>
    <row r="9" spans="2:7" ht="15.75" x14ac:dyDescent="0.3">
      <c r="B9" s="406"/>
      <c r="C9" s="49" t="s">
        <v>200</v>
      </c>
      <c r="D9" s="80"/>
      <c r="E9" s="80"/>
      <c r="F9" s="77"/>
      <c r="G9" s="50"/>
    </row>
    <row r="10" spans="2:7" ht="15.75" x14ac:dyDescent="0.3">
      <c r="B10" s="406"/>
      <c r="C10" s="49"/>
      <c r="D10" s="81"/>
      <c r="E10" s="81"/>
      <c r="F10" s="79"/>
      <c r="G10" s="50"/>
    </row>
    <row r="11" spans="2:7" ht="15.75" x14ac:dyDescent="0.3">
      <c r="B11" s="406"/>
      <c r="C11" s="51" t="s">
        <v>119</v>
      </c>
      <c r="D11" s="52"/>
      <c r="E11" s="52"/>
      <c r="F11" s="50"/>
      <c r="G11" s="50"/>
    </row>
    <row r="12" spans="2:7" ht="15.75" x14ac:dyDescent="0.3">
      <c r="B12" s="406"/>
      <c r="C12" s="49" t="s">
        <v>201</v>
      </c>
      <c r="F12" s="50"/>
      <c r="G12" s="50"/>
    </row>
    <row r="13" spans="2:7" ht="15.75" x14ac:dyDescent="0.3">
      <c r="B13" s="406"/>
      <c r="C13" s="49"/>
      <c r="D13" s="72"/>
      <c r="E13" s="72"/>
      <c r="F13" s="73"/>
      <c r="G13" s="50"/>
    </row>
    <row r="14" spans="2:7" ht="15.75" customHeight="1" x14ac:dyDescent="0.25">
      <c r="B14" s="407"/>
      <c r="C14" s="385" t="s">
        <v>77</v>
      </c>
      <c r="D14" s="386"/>
      <c r="E14" s="386"/>
      <c r="F14" s="386"/>
      <c r="G14" s="352"/>
    </row>
    <row r="15" spans="2:7" ht="15" customHeight="1" x14ac:dyDescent="0.3">
      <c r="B15" s="408"/>
      <c r="C15" s="49" t="s">
        <v>216</v>
      </c>
      <c r="D15" s="52"/>
      <c r="E15" s="52"/>
      <c r="F15" s="52"/>
      <c r="G15" s="56"/>
    </row>
    <row r="16" spans="2:7" ht="15" customHeight="1" x14ac:dyDescent="0.3">
      <c r="B16" s="408"/>
      <c r="C16" s="49" t="s">
        <v>217</v>
      </c>
      <c r="D16" s="52"/>
      <c r="E16" s="52"/>
      <c r="F16" s="52"/>
      <c r="G16" s="56"/>
    </row>
    <row r="17" spans="2:10" ht="15.75" customHeight="1" x14ac:dyDescent="0.3">
      <c r="B17" s="409"/>
      <c r="C17" s="57"/>
      <c r="D17" s="54"/>
      <c r="E17" s="54"/>
      <c r="F17" s="54"/>
      <c r="G17" s="55"/>
    </row>
    <row r="18" spans="2:10" ht="15" customHeight="1" x14ac:dyDescent="0.25">
      <c r="B18" s="364" t="s">
        <v>78</v>
      </c>
      <c r="C18" s="365"/>
      <c r="D18" s="365"/>
      <c r="E18" s="365"/>
      <c r="F18" s="365"/>
      <c r="G18" s="366"/>
    </row>
    <row r="19" spans="2:10" ht="15.75" customHeight="1" x14ac:dyDescent="0.25">
      <c r="B19" s="367"/>
      <c r="C19" s="368"/>
      <c r="D19" s="368"/>
      <c r="E19" s="368"/>
      <c r="F19" s="368"/>
      <c r="G19" s="369"/>
      <c r="I19" s="67"/>
    </row>
    <row r="20" spans="2:10" x14ac:dyDescent="0.25">
      <c r="B20" s="370" t="s">
        <v>158</v>
      </c>
      <c r="C20" s="343"/>
      <c r="D20" s="343"/>
      <c r="E20" s="343"/>
      <c r="F20" s="371">
        <v>3.2</v>
      </c>
      <c r="G20" s="373" t="s">
        <v>76</v>
      </c>
    </row>
    <row r="21" spans="2:10" ht="16.5" x14ac:dyDescent="0.25">
      <c r="B21" s="344"/>
      <c r="C21" s="168"/>
      <c r="D21" s="168"/>
      <c r="E21" s="168"/>
      <c r="F21" s="372"/>
      <c r="G21" s="374"/>
      <c r="J21" s="63"/>
    </row>
    <row r="22" spans="2:10" ht="15.75" x14ac:dyDescent="0.3">
      <c r="B22" s="383" t="s">
        <v>79</v>
      </c>
      <c r="C22" s="76"/>
      <c r="D22" s="59"/>
      <c r="E22" s="59"/>
      <c r="F22" s="48"/>
      <c r="G22" s="66"/>
    </row>
    <row r="23" spans="2:10" ht="15.75" x14ac:dyDescent="0.3">
      <c r="B23" s="384"/>
      <c r="C23" s="51" t="s">
        <v>119</v>
      </c>
      <c r="D23" s="52"/>
      <c r="E23" s="52"/>
      <c r="F23" s="50"/>
      <c r="G23" s="50"/>
    </row>
    <row r="24" spans="2:10" ht="15.75" x14ac:dyDescent="0.3">
      <c r="B24" s="384"/>
      <c r="C24" s="49" t="s">
        <v>251</v>
      </c>
      <c r="F24" s="56"/>
      <c r="G24" s="50"/>
    </row>
    <row r="25" spans="2:10" ht="15.75" x14ac:dyDescent="0.3">
      <c r="B25" s="384"/>
      <c r="C25" s="49"/>
      <c r="F25" s="50"/>
      <c r="G25" s="50"/>
    </row>
    <row r="26" spans="2:10" ht="15.75" customHeight="1" x14ac:dyDescent="0.3">
      <c r="B26" s="384"/>
      <c r="C26" s="49"/>
      <c r="F26" s="50"/>
      <c r="G26" s="50"/>
    </row>
    <row r="27" spans="2:10" ht="15.75" x14ac:dyDescent="0.3">
      <c r="B27" s="384"/>
      <c r="C27" s="49"/>
      <c r="D27" s="52"/>
      <c r="F27" s="50"/>
      <c r="G27" s="50"/>
    </row>
    <row r="28" spans="2:10" ht="15.75" x14ac:dyDescent="0.3">
      <c r="B28" s="384"/>
      <c r="C28" s="49"/>
      <c r="E28" s="52"/>
      <c r="F28" s="56"/>
      <c r="G28" s="68" t="s">
        <v>126</v>
      </c>
    </row>
    <row r="29" spans="2:10" ht="15.75" customHeight="1" x14ac:dyDescent="0.3">
      <c r="B29" s="384"/>
      <c r="C29" s="49"/>
      <c r="D29" s="7"/>
      <c r="F29" s="50"/>
      <c r="G29" s="50"/>
    </row>
    <row r="30" spans="2:10" ht="15.75" customHeight="1" x14ac:dyDescent="0.25">
      <c r="B30" s="384"/>
      <c r="C30" s="71"/>
      <c r="D30" s="72"/>
      <c r="E30" s="72"/>
      <c r="F30" s="83"/>
      <c r="G30" s="55"/>
    </row>
    <row r="31" spans="2:10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0" ht="15.75" customHeight="1" x14ac:dyDescent="0.3">
      <c r="B32" s="349"/>
      <c r="C32" s="49" t="s">
        <v>198</v>
      </c>
      <c r="D32" s="52"/>
      <c r="E32" s="52"/>
      <c r="F32" s="52"/>
      <c r="G32" s="56"/>
    </row>
    <row r="33" spans="2:7" ht="15.75" x14ac:dyDescent="0.3">
      <c r="B33" s="320"/>
      <c r="C33" s="49" t="s">
        <v>159</v>
      </c>
      <c r="G33" s="50"/>
    </row>
    <row r="34" spans="2:7" ht="15.75" customHeight="1" x14ac:dyDescent="0.3">
      <c r="B34" s="316"/>
      <c r="C34" s="57"/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22:B34"/>
    <mergeCell ref="C31:G31"/>
    <mergeCell ref="B35:D36"/>
    <mergeCell ref="E35:G36"/>
    <mergeCell ref="B5:B17"/>
    <mergeCell ref="C14:G14"/>
    <mergeCell ref="B18:G19"/>
    <mergeCell ref="B20:E21"/>
    <mergeCell ref="F20:F21"/>
    <mergeCell ref="G20:G21"/>
    <mergeCell ref="B1:D2"/>
    <mergeCell ref="E1:F2"/>
    <mergeCell ref="G1:G2"/>
    <mergeCell ref="B3:E4"/>
    <mergeCell ref="F3:F4"/>
    <mergeCell ref="G3:G4"/>
  </mergeCells>
  <pageMargins left="0.25" right="0.25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DCB5-FF97-418D-AB45-AA69222BDBA0}">
  <dimension ref="B1:K48"/>
  <sheetViews>
    <sheetView workbookViewId="0">
      <selection activeCell="C14" sqref="C14:F17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v>44572</v>
      </c>
      <c r="F1" s="335"/>
      <c r="G1" s="338">
        <v>17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415" t="s">
        <v>72</v>
      </c>
      <c r="C3" s="416"/>
      <c r="D3" s="416"/>
      <c r="E3" s="416"/>
      <c r="F3" s="419">
        <v>3.1</v>
      </c>
      <c r="G3" s="421" t="s">
        <v>76</v>
      </c>
    </row>
    <row r="4" spans="2:7" ht="14.25" customHeight="1" x14ac:dyDescent="0.25">
      <c r="B4" s="417"/>
      <c r="C4" s="418"/>
      <c r="D4" s="418"/>
      <c r="E4" s="418"/>
      <c r="F4" s="420"/>
      <c r="G4" s="422"/>
    </row>
    <row r="5" spans="2:7" ht="15.75" customHeight="1" x14ac:dyDescent="0.3">
      <c r="B5" s="410" t="s">
        <v>75</v>
      </c>
      <c r="C5" s="58"/>
      <c r="D5" s="46"/>
      <c r="E5" s="47"/>
      <c r="F5" s="48"/>
      <c r="G5" s="66"/>
    </row>
    <row r="6" spans="2:7" ht="15.75" x14ac:dyDescent="0.3">
      <c r="B6" s="411"/>
      <c r="C6" s="51" t="s">
        <v>103</v>
      </c>
      <c r="D6" s="52"/>
      <c r="E6" s="52"/>
      <c r="F6" s="50"/>
      <c r="G6" s="50"/>
    </row>
    <row r="7" spans="2:7" ht="15.75" x14ac:dyDescent="0.3">
      <c r="B7" s="411"/>
      <c r="C7" s="49" t="s">
        <v>202</v>
      </c>
      <c r="F7" s="56"/>
      <c r="G7" s="50"/>
    </row>
    <row r="8" spans="2:7" ht="15.75" x14ac:dyDescent="0.3">
      <c r="B8" s="411"/>
      <c r="C8" s="49"/>
      <c r="F8" s="50"/>
      <c r="G8" s="56"/>
    </row>
    <row r="9" spans="2:7" x14ac:dyDescent="0.25">
      <c r="B9" s="411"/>
      <c r="C9" s="51" t="s">
        <v>89</v>
      </c>
      <c r="D9" s="80"/>
      <c r="E9" s="80"/>
      <c r="F9" s="77"/>
      <c r="G9" s="50"/>
    </row>
    <row r="10" spans="2:7" ht="15.75" x14ac:dyDescent="0.3">
      <c r="B10" s="411"/>
      <c r="C10" s="49" t="s">
        <v>203</v>
      </c>
      <c r="D10" s="81"/>
      <c r="E10" s="81"/>
      <c r="F10" s="79"/>
      <c r="G10" s="50"/>
    </row>
    <row r="11" spans="2:7" ht="15.75" x14ac:dyDescent="0.3">
      <c r="B11" s="411"/>
      <c r="C11" s="49" t="s">
        <v>204</v>
      </c>
      <c r="D11" s="52"/>
      <c r="E11" s="52"/>
      <c r="F11" s="50"/>
      <c r="G11" s="50"/>
    </row>
    <row r="12" spans="2:7" ht="15.75" x14ac:dyDescent="0.3">
      <c r="B12" s="411"/>
      <c r="C12" s="49"/>
      <c r="F12" s="50"/>
      <c r="G12" s="50"/>
    </row>
    <row r="13" spans="2:7" x14ac:dyDescent="0.25">
      <c r="B13" s="411"/>
      <c r="C13" s="394" t="s">
        <v>77</v>
      </c>
      <c r="D13" s="395"/>
      <c r="E13" s="395"/>
      <c r="F13" s="395"/>
      <c r="G13" s="352"/>
    </row>
    <row r="14" spans="2:7" ht="15.75" customHeight="1" x14ac:dyDescent="0.3">
      <c r="B14" s="412"/>
      <c r="C14" s="62" t="s">
        <v>208</v>
      </c>
      <c r="D14" s="47"/>
      <c r="E14" s="47"/>
      <c r="F14" s="48"/>
      <c r="G14" s="48"/>
    </row>
    <row r="15" spans="2:7" ht="15" customHeight="1" x14ac:dyDescent="0.3">
      <c r="B15" s="413"/>
      <c r="C15" s="49" t="s">
        <v>211</v>
      </c>
      <c r="F15" s="50"/>
      <c r="G15" s="56"/>
    </row>
    <row r="16" spans="2:7" ht="15" customHeight="1" x14ac:dyDescent="0.3">
      <c r="B16" s="413"/>
      <c r="C16" s="49" t="s">
        <v>209</v>
      </c>
      <c r="F16" s="50"/>
      <c r="G16" s="50"/>
    </row>
    <row r="17" spans="2:11" ht="15.75" customHeight="1" x14ac:dyDescent="0.3">
      <c r="B17" s="414"/>
      <c r="C17" s="57" t="s">
        <v>210</v>
      </c>
      <c r="D17" s="54"/>
      <c r="E17" s="54"/>
      <c r="F17" s="55"/>
      <c r="G17" s="55"/>
    </row>
    <row r="18" spans="2:11" ht="15" customHeight="1" x14ac:dyDescent="0.25">
      <c r="B18" s="364" t="s">
        <v>78</v>
      </c>
      <c r="C18" s="365"/>
      <c r="D18" s="365"/>
      <c r="E18" s="365"/>
      <c r="F18" s="365"/>
      <c r="G18" s="366"/>
    </row>
    <row r="19" spans="2:11" ht="15.75" customHeight="1" x14ac:dyDescent="0.25">
      <c r="B19" s="367"/>
      <c r="C19" s="368"/>
      <c r="D19" s="368"/>
      <c r="E19" s="368"/>
      <c r="F19" s="368"/>
      <c r="G19" s="369"/>
      <c r="J19" s="67"/>
    </row>
    <row r="20" spans="2:11" ht="15" customHeight="1" x14ac:dyDescent="0.25">
      <c r="B20" s="370" t="s">
        <v>158</v>
      </c>
      <c r="C20" s="343"/>
      <c r="D20" s="343"/>
      <c r="E20" s="343"/>
      <c r="F20" s="371">
        <v>3.2</v>
      </c>
      <c r="G20" s="373" t="s">
        <v>76</v>
      </c>
    </row>
    <row r="21" spans="2:11" ht="16.5" customHeight="1" x14ac:dyDescent="0.25">
      <c r="B21" s="344"/>
      <c r="C21" s="168"/>
      <c r="D21" s="168"/>
      <c r="E21" s="168"/>
      <c r="F21" s="372"/>
      <c r="G21" s="374"/>
      <c r="K21" s="63"/>
    </row>
    <row r="22" spans="2:11" ht="15.75" customHeight="1" x14ac:dyDescent="0.3">
      <c r="B22" s="383" t="s">
        <v>79</v>
      </c>
      <c r="C22" s="76"/>
      <c r="D22" s="59"/>
      <c r="E22" s="59"/>
      <c r="F22" s="48"/>
      <c r="G22" s="66"/>
    </row>
    <row r="23" spans="2:11" ht="15.75" x14ac:dyDescent="0.3">
      <c r="B23" s="384"/>
      <c r="C23" s="51" t="s">
        <v>212</v>
      </c>
      <c r="D23" s="52"/>
      <c r="E23" s="52"/>
      <c r="F23" s="50"/>
      <c r="G23" s="50"/>
    </row>
    <row r="24" spans="2:11" ht="15.75" x14ac:dyDescent="0.3">
      <c r="B24" s="384"/>
      <c r="C24" s="49" t="s">
        <v>215</v>
      </c>
      <c r="F24" s="56"/>
      <c r="G24" s="50"/>
    </row>
    <row r="25" spans="2:11" ht="15.75" x14ac:dyDescent="0.3">
      <c r="B25" s="384"/>
      <c r="C25" s="49"/>
      <c r="F25" s="50"/>
      <c r="G25" s="50"/>
    </row>
    <row r="26" spans="2:11" ht="15.75" customHeight="1" x14ac:dyDescent="0.3">
      <c r="B26" s="384"/>
      <c r="C26" s="49"/>
      <c r="F26" s="50"/>
      <c r="G26" s="50"/>
    </row>
    <row r="27" spans="2:11" ht="15.75" x14ac:dyDescent="0.3">
      <c r="B27" s="384"/>
      <c r="C27" s="49"/>
      <c r="D27" s="52"/>
      <c r="F27" s="50"/>
      <c r="G27" s="50"/>
    </row>
    <row r="28" spans="2:11" ht="15.75" x14ac:dyDescent="0.3">
      <c r="B28" s="384"/>
      <c r="C28" s="49"/>
      <c r="E28" s="52"/>
      <c r="F28" s="56"/>
      <c r="G28" s="68"/>
    </row>
    <row r="29" spans="2:11" ht="15.75" customHeight="1" x14ac:dyDescent="0.3">
      <c r="B29" s="384"/>
      <c r="C29" s="49"/>
      <c r="D29" s="7"/>
      <c r="F29" s="50"/>
      <c r="G29" s="50"/>
    </row>
    <row r="30" spans="2:11" ht="15.75" customHeight="1" x14ac:dyDescent="0.25">
      <c r="B30" s="384"/>
      <c r="C30" s="69" t="s">
        <v>214</v>
      </c>
      <c r="D30" s="70"/>
      <c r="E30" s="70"/>
      <c r="F30" s="82" t="s">
        <v>213</v>
      </c>
      <c r="G30" s="55"/>
    </row>
    <row r="31" spans="2:11" ht="15.75" customHeight="1" x14ac:dyDescent="0.25">
      <c r="B31" s="349"/>
      <c r="C31" s="350" t="s">
        <v>77</v>
      </c>
      <c r="D31" s="351"/>
      <c r="E31" s="351"/>
      <c r="F31" s="351"/>
      <c r="G31" s="352"/>
    </row>
    <row r="32" spans="2:11" ht="15.75" customHeight="1" x14ac:dyDescent="0.3">
      <c r="B32" s="349"/>
      <c r="C32" s="49" t="s">
        <v>198</v>
      </c>
      <c r="D32" s="52"/>
      <c r="E32" s="52"/>
      <c r="F32" s="52"/>
      <c r="G32" s="56"/>
    </row>
    <row r="33" spans="2:7" ht="15.75" x14ac:dyDescent="0.3">
      <c r="B33" s="320"/>
      <c r="C33" s="49" t="s">
        <v>159</v>
      </c>
      <c r="G33" s="50"/>
    </row>
    <row r="34" spans="2:7" ht="15.75" customHeight="1" x14ac:dyDescent="0.3">
      <c r="B34" s="316"/>
      <c r="C34" s="57"/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2:B34"/>
    <mergeCell ref="C31:G31"/>
    <mergeCell ref="B35:D36"/>
    <mergeCell ref="E35:G36"/>
    <mergeCell ref="B5:B17"/>
    <mergeCell ref="C13:G13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F096-57F8-45BE-A0CF-93C99EAA325C}">
  <dimension ref="B1:G48"/>
  <sheetViews>
    <sheetView topLeftCell="B1" workbookViewId="0">
      <selection activeCell="L11" sqref="L11"/>
    </sheetView>
  </sheetViews>
  <sheetFormatPr baseColWidth="10" defaultColWidth="11.42578125" defaultRowHeight="15" x14ac:dyDescent="0.25"/>
  <cols>
    <col min="1" max="1" width="2.85546875" customWidth="1"/>
    <col min="2" max="2" width="10" customWidth="1"/>
    <col min="3" max="7" width="16.28515625" customWidth="1"/>
  </cols>
  <sheetData>
    <row r="1" spans="2:7" x14ac:dyDescent="0.25">
      <c r="B1" s="330" t="s">
        <v>74</v>
      </c>
      <c r="C1" s="331"/>
      <c r="D1" s="331"/>
      <c r="E1" s="334">
        <f>Kompetenzraster!Q39</f>
        <v>45670</v>
      </c>
      <c r="F1" s="335"/>
      <c r="G1" s="338">
        <v>18</v>
      </c>
    </row>
    <row r="2" spans="2:7" x14ac:dyDescent="0.25">
      <c r="B2" s="332"/>
      <c r="C2" s="333"/>
      <c r="D2" s="333"/>
      <c r="E2" s="336"/>
      <c r="F2" s="337"/>
      <c r="G2" s="339"/>
    </row>
    <row r="3" spans="2:7" ht="15.75" customHeight="1" x14ac:dyDescent="0.25">
      <c r="B3" s="415" t="s">
        <v>72</v>
      </c>
      <c r="C3" s="416"/>
      <c r="D3" s="416"/>
      <c r="E3" s="416"/>
      <c r="F3" s="419">
        <v>3.1</v>
      </c>
      <c r="G3" s="421" t="s">
        <v>76</v>
      </c>
    </row>
    <row r="4" spans="2:7" ht="14.25" customHeight="1" x14ac:dyDescent="0.25">
      <c r="B4" s="417"/>
      <c r="C4" s="418"/>
      <c r="D4" s="418"/>
      <c r="E4" s="418"/>
      <c r="F4" s="420"/>
      <c r="G4" s="422"/>
    </row>
    <row r="5" spans="2:7" ht="15.75" customHeight="1" x14ac:dyDescent="0.3">
      <c r="B5" s="410" t="s">
        <v>75</v>
      </c>
      <c r="C5" s="76" t="s">
        <v>116</v>
      </c>
      <c r="D5" s="46"/>
      <c r="E5" s="47"/>
      <c r="F5" s="48"/>
      <c r="G5" s="89"/>
    </row>
    <row r="6" spans="2:7" ht="15.75" x14ac:dyDescent="0.3">
      <c r="B6" s="411"/>
      <c r="C6" s="49" t="s">
        <v>205</v>
      </c>
      <c r="D6" s="52"/>
      <c r="E6" s="52"/>
      <c r="F6" s="50"/>
      <c r="G6" s="90"/>
    </row>
    <row r="7" spans="2:7" ht="15.75" x14ac:dyDescent="0.3">
      <c r="B7" s="411"/>
      <c r="C7" s="51" t="s">
        <v>119</v>
      </c>
      <c r="F7" s="56"/>
      <c r="G7" s="90"/>
    </row>
    <row r="8" spans="2:7" ht="15.75" x14ac:dyDescent="0.3">
      <c r="B8" s="411"/>
      <c r="C8" s="49" t="s">
        <v>206</v>
      </c>
      <c r="F8" s="50"/>
      <c r="G8" s="88"/>
    </row>
    <row r="9" spans="2:7" ht="15.75" x14ac:dyDescent="0.3">
      <c r="B9" s="411"/>
      <c r="C9" s="49" t="s">
        <v>207</v>
      </c>
      <c r="D9" s="80"/>
      <c r="E9" s="80"/>
      <c r="F9" s="77"/>
      <c r="G9" s="90"/>
    </row>
    <row r="10" spans="2:7" ht="15.75" x14ac:dyDescent="0.3">
      <c r="B10" s="411"/>
      <c r="C10" s="49" t="s">
        <v>218</v>
      </c>
      <c r="D10" s="81"/>
      <c r="E10" s="81"/>
      <c r="F10" s="79"/>
      <c r="G10" s="90"/>
    </row>
    <row r="11" spans="2:7" ht="15.75" x14ac:dyDescent="0.3">
      <c r="B11" s="411"/>
      <c r="C11" s="61"/>
      <c r="D11" s="52"/>
      <c r="E11" s="52"/>
      <c r="F11" s="50"/>
      <c r="G11" s="90"/>
    </row>
    <row r="12" spans="2:7" x14ac:dyDescent="0.25">
      <c r="B12" s="411"/>
      <c r="C12" s="53"/>
      <c r="D12" s="54"/>
      <c r="E12" s="54"/>
      <c r="F12" s="55"/>
      <c r="G12" s="91"/>
    </row>
    <row r="13" spans="2:7" x14ac:dyDescent="0.25">
      <c r="B13" s="411"/>
      <c r="C13" s="394" t="s">
        <v>77</v>
      </c>
      <c r="D13" s="395"/>
      <c r="E13" s="395"/>
      <c r="F13" s="395"/>
      <c r="G13" s="377"/>
    </row>
    <row r="14" spans="2:7" ht="15.75" customHeight="1" x14ac:dyDescent="0.3">
      <c r="B14" s="412"/>
      <c r="C14" s="62" t="s">
        <v>208</v>
      </c>
      <c r="D14" s="92"/>
      <c r="E14" s="92"/>
      <c r="F14" s="92"/>
      <c r="G14" s="60"/>
    </row>
    <row r="15" spans="2:7" ht="15" customHeight="1" x14ac:dyDescent="0.3">
      <c r="B15" s="413"/>
      <c r="C15" s="49" t="s">
        <v>211</v>
      </c>
      <c r="G15" s="56"/>
    </row>
    <row r="16" spans="2:7" ht="15" customHeight="1" x14ac:dyDescent="0.3">
      <c r="B16" s="413"/>
      <c r="C16" s="49" t="s">
        <v>209</v>
      </c>
      <c r="D16" s="52"/>
      <c r="E16" s="52"/>
      <c r="F16" s="52"/>
      <c r="G16" s="56"/>
    </row>
    <row r="17" spans="2:7" ht="15.75" customHeight="1" x14ac:dyDescent="0.3">
      <c r="B17" s="414"/>
      <c r="C17" s="57" t="s">
        <v>210</v>
      </c>
      <c r="D17" s="93"/>
      <c r="E17" s="93"/>
      <c r="F17" s="93"/>
      <c r="G17" s="55"/>
    </row>
    <row r="18" spans="2:7" ht="15" customHeight="1" x14ac:dyDescent="0.25">
      <c r="B18" s="364" t="s">
        <v>78</v>
      </c>
      <c r="C18" s="365"/>
      <c r="D18" s="365"/>
      <c r="E18" s="365"/>
      <c r="F18" s="365"/>
      <c r="G18" s="366"/>
    </row>
    <row r="19" spans="2:7" ht="15.75" customHeight="1" x14ac:dyDescent="0.25">
      <c r="B19" s="367"/>
      <c r="C19" s="368"/>
      <c r="D19" s="368"/>
      <c r="E19" s="368"/>
      <c r="F19" s="368"/>
      <c r="G19" s="369"/>
    </row>
    <row r="20" spans="2:7" ht="15" customHeight="1" x14ac:dyDescent="0.25">
      <c r="B20" s="415" t="s">
        <v>72</v>
      </c>
      <c r="C20" s="416"/>
      <c r="D20" s="416"/>
      <c r="E20" s="416"/>
      <c r="F20" s="419">
        <v>3.1</v>
      </c>
      <c r="G20" s="421" t="s">
        <v>76</v>
      </c>
    </row>
    <row r="21" spans="2:7" ht="16.5" customHeight="1" x14ac:dyDescent="0.25">
      <c r="B21" s="417"/>
      <c r="C21" s="418"/>
      <c r="D21" s="418"/>
      <c r="E21" s="418"/>
      <c r="F21" s="420"/>
      <c r="G21" s="422"/>
    </row>
    <row r="22" spans="2:7" ht="15.75" customHeight="1" x14ac:dyDescent="0.3">
      <c r="B22" s="410" t="s">
        <v>79</v>
      </c>
      <c r="C22" s="76"/>
      <c r="D22" s="59"/>
      <c r="E22" s="59"/>
      <c r="F22" s="48"/>
      <c r="G22" s="66"/>
    </row>
    <row r="23" spans="2:7" ht="15.75" x14ac:dyDescent="0.3">
      <c r="B23" s="411"/>
      <c r="C23" s="51"/>
      <c r="D23" s="52"/>
      <c r="E23" s="52"/>
      <c r="F23" s="50"/>
      <c r="G23" s="50"/>
    </row>
    <row r="24" spans="2:7" ht="15.75" x14ac:dyDescent="0.3">
      <c r="B24" s="411"/>
      <c r="C24" s="49"/>
      <c r="F24" s="56"/>
      <c r="G24" s="50"/>
    </row>
    <row r="25" spans="2:7" ht="15.75" x14ac:dyDescent="0.3">
      <c r="B25" s="411"/>
      <c r="C25" s="49"/>
      <c r="F25" s="50"/>
      <c r="G25" s="50"/>
    </row>
    <row r="26" spans="2:7" ht="15.75" customHeight="1" x14ac:dyDescent="0.3">
      <c r="B26" s="411"/>
      <c r="C26" s="49"/>
      <c r="F26" s="50"/>
      <c r="G26" s="50"/>
    </row>
    <row r="27" spans="2:7" ht="15.75" x14ac:dyDescent="0.3">
      <c r="B27" s="411"/>
      <c r="C27" s="49"/>
      <c r="D27" s="52"/>
      <c r="F27" s="50"/>
      <c r="G27" s="50"/>
    </row>
    <row r="28" spans="2:7" ht="15.75" x14ac:dyDescent="0.3">
      <c r="B28" s="411"/>
      <c r="C28" s="49"/>
      <c r="E28" s="52"/>
      <c r="F28" s="56"/>
      <c r="G28" s="74"/>
    </row>
    <row r="29" spans="2:7" ht="15.75" customHeight="1" x14ac:dyDescent="0.3">
      <c r="B29" s="411"/>
      <c r="C29" s="49"/>
      <c r="D29" s="7"/>
      <c r="F29" s="50"/>
      <c r="G29" s="50"/>
    </row>
    <row r="30" spans="2:7" ht="15.75" customHeight="1" x14ac:dyDescent="0.25">
      <c r="B30" s="411"/>
      <c r="C30" s="71"/>
      <c r="D30" s="72"/>
      <c r="E30" s="72"/>
      <c r="F30" s="87"/>
      <c r="G30" s="50"/>
    </row>
    <row r="31" spans="2:7" ht="15.75" customHeight="1" x14ac:dyDescent="0.25">
      <c r="B31" s="423"/>
      <c r="C31" s="350" t="s">
        <v>77</v>
      </c>
      <c r="D31" s="351"/>
      <c r="E31" s="351"/>
      <c r="F31" s="351"/>
      <c r="G31" s="352"/>
    </row>
    <row r="32" spans="2:7" ht="15.75" customHeight="1" x14ac:dyDescent="0.3">
      <c r="B32" s="423"/>
      <c r="C32" s="49" t="s">
        <v>198</v>
      </c>
      <c r="D32" s="52"/>
      <c r="E32" s="52"/>
      <c r="F32" s="52"/>
      <c r="G32" s="56"/>
    </row>
    <row r="33" spans="2:7" ht="15.75" x14ac:dyDescent="0.3">
      <c r="B33" s="424"/>
      <c r="C33" s="49" t="s">
        <v>159</v>
      </c>
      <c r="G33" s="50"/>
    </row>
    <row r="34" spans="2:7" ht="15.75" customHeight="1" x14ac:dyDescent="0.3">
      <c r="B34" s="425"/>
      <c r="C34" s="57"/>
      <c r="D34" s="54"/>
      <c r="E34" s="54"/>
      <c r="F34" s="54"/>
      <c r="G34" s="55"/>
    </row>
    <row r="35" spans="2:7" ht="15.75" customHeight="1" x14ac:dyDescent="0.25">
      <c r="B35" s="353" t="s">
        <v>80</v>
      </c>
      <c r="C35" s="354"/>
      <c r="D35" s="354"/>
      <c r="E35" s="353" t="s">
        <v>81</v>
      </c>
      <c r="F35" s="354"/>
      <c r="G35" s="357"/>
    </row>
    <row r="36" spans="2:7" ht="15.75" customHeight="1" x14ac:dyDescent="0.25">
      <c r="B36" s="355"/>
      <c r="C36" s="356"/>
      <c r="D36" s="356"/>
      <c r="E36" s="355"/>
      <c r="F36" s="356"/>
      <c r="G36" s="358"/>
    </row>
    <row r="37" spans="2:7" ht="15.75" customHeight="1" x14ac:dyDescent="0.25">
      <c r="B37" s="58"/>
      <c r="C37" s="59"/>
      <c r="D37" s="60"/>
      <c r="E37" s="58"/>
      <c r="F37" s="59"/>
      <c r="G37" s="60"/>
    </row>
    <row r="38" spans="2:7" ht="15.75" customHeight="1" x14ac:dyDescent="0.25">
      <c r="B38" s="61"/>
      <c r="D38" s="50"/>
      <c r="E38" s="61"/>
      <c r="G38" s="50"/>
    </row>
    <row r="39" spans="2:7" ht="15.75" customHeight="1" x14ac:dyDescent="0.25">
      <c r="B39" s="61"/>
      <c r="D39" s="50"/>
      <c r="E39" s="61"/>
      <c r="G39" s="50"/>
    </row>
    <row r="40" spans="2:7" ht="15.75" customHeight="1" x14ac:dyDescent="0.25">
      <c r="B40" s="61"/>
      <c r="D40" s="50"/>
      <c r="E40" s="61"/>
      <c r="G40" s="50"/>
    </row>
    <row r="41" spans="2:7" ht="15.75" customHeight="1" x14ac:dyDescent="0.25">
      <c r="B41" s="61"/>
      <c r="D41" s="50"/>
      <c r="E41" s="61"/>
      <c r="G41" s="50"/>
    </row>
    <row r="42" spans="2:7" ht="15.75" customHeight="1" x14ac:dyDescent="0.25">
      <c r="B42" s="61"/>
      <c r="D42" s="50"/>
      <c r="E42" s="61"/>
      <c r="G42" s="50"/>
    </row>
    <row r="43" spans="2:7" ht="15.75" customHeight="1" x14ac:dyDescent="0.25">
      <c r="B43" s="61"/>
      <c r="D43" s="50"/>
      <c r="E43" s="61"/>
      <c r="G43" s="50"/>
    </row>
    <row r="44" spans="2:7" ht="15.75" customHeight="1" x14ac:dyDescent="0.25">
      <c r="B44" s="61"/>
      <c r="D44" s="50"/>
      <c r="E44" s="61"/>
      <c r="G44" s="50"/>
    </row>
    <row r="45" spans="2:7" ht="15.75" customHeight="1" x14ac:dyDescent="0.25">
      <c r="B45" s="61"/>
      <c r="D45" s="50"/>
      <c r="E45" s="61"/>
      <c r="G45" s="50"/>
    </row>
    <row r="46" spans="2:7" ht="15.75" customHeight="1" x14ac:dyDescent="0.25">
      <c r="B46" s="61"/>
      <c r="D46" s="50"/>
      <c r="E46" s="61"/>
      <c r="G46" s="50"/>
    </row>
    <row r="47" spans="2:7" x14ac:dyDescent="0.25">
      <c r="B47" s="61"/>
      <c r="D47" s="50"/>
      <c r="E47" s="61"/>
      <c r="G47" s="50"/>
    </row>
    <row r="48" spans="2:7" x14ac:dyDescent="0.25">
      <c r="B48" s="53"/>
      <c r="C48" s="54"/>
      <c r="D48" s="55"/>
      <c r="E48" s="53"/>
      <c r="F48" s="54"/>
      <c r="G48" s="55"/>
    </row>
  </sheetData>
  <mergeCells count="16">
    <mergeCell ref="B1:D2"/>
    <mergeCell ref="E1:F2"/>
    <mergeCell ref="G1:G2"/>
    <mergeCell ref="B3:E4"/>
    <mergeCell ref="F3:F4"/>
    <mergeCell ref="G3:G4"/>
    <mergeCell ref="B22:B34"/>
    <mergeCell ref="C31:G31"/>
    <mergeCell ref="B35:D36"/>
    <mergeCell ref="E35:G36"/>
    <mergeCell ref="B5:B17"/>
    <mergeCell ref="C13:G13"/>
    <mergeCell ref="B18:G19"/>
    <mergeCell ref="B20:E21"/>
    <mergeCell ref="F20:F21"/>
    <mergeCell ref="G20:G21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7C54C6B4757CD47A3EC38904B6DF68F" ma:contentTypeVersion="31" ma:contentTypeDescription="Ein neues Dokument erstellen." ma:contentTypeScope="" ma:versionID="378ca918972306f8bcea32dcee92943e">
  <xsd:schema xmlns:xsd="http://www.w3.org/2001/XMLSchema" xmlns:xs="http://www.w3.org/2001/XMLSchema" xmlns:p="http://schemas.microsoft.com/office/2006/metadata/properties" xmlns:ns3="550b22fb-13da-4cf5-969f-c4932bbd4a2b" xmlns:ns4="e6d905db-4f59-4a3b-930f-acb1d61e4a6c" targetNamespace="http://schemas.microsoft.com/office/2006/metadata/properties" ma:root="true" ma:fieldsID="f6b321631842e57c4f471f5baaeb880f" ns3:_="" ns4:_="">
    <xsd:import namespace="550b22fb-13da-4cf5-969f-c4932bbd4a2b"/>
    <xsd:import namespace="e6d905db-4f59-4a3b-930f-acb1d61e4a6c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Owner" minOccurs="0"/>
                <xsd:element ref="ns3:DefaultSectionNames" minOccurs="0"/>
                <xsd:element ref="ns3:Templates" minOccurs="0"/>
                <xsd:element ref="ns3:CultureName" minOccurs="0"/>
                <xsd:element ref="ns3:AppVersion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TeamsChannelId" minOccurs="0"/>
                <xsd:element ref="ns3:IsNotebookLocked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ath_Settings" minOccurs="0"/>
                <xsd:element ref="ns3:MediaServiceGenerationTime" minOccurs="0"/>
                <xsd:element ref="ns3:MediaServiceEventHashCode" minOccurs="0"/>
                <xsd:element ref="ns3:Distribution_Groups" minOccurs="0"/>
                <xsd:element ref="ns3:LMS_Mappin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b22fb-13da-4cf5-969f-c4932bbd4a2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Owner" ma:index="1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faultSectionNames" ma:index="11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2" nillable="true" ma:displayName="Templates" ma:internalName="Templates">
      <xsd:simpleType>
        <xsd:restriction base="dms:Note">
          <xsd:maxLength value="255"/>
        </xsd:restriction>
      </xsd:simpleType>
    </xsd:element>
    <xsd:element name="CultureName" ma:index="13" nillable="true" ma:displayName="Culture Name" ma:internalName="CultureName">
      <xsd:simpleType>
        <xsd:restriction base="dms:Text"/>
      </xsd:simpleType>
    </xsd:element>
    <xsd:element name="AppVersion" ma:index="14" nillable="true" ma:displayName="App Version" ma:internalName="AppVersion">
      <xsd:simpleType>
        <xsd:restriction base="dms:Text"/>
      </xsd:simpleType>
    </xsd:element>
    <xsd:element name="Teachers" ma:index="15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6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7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18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19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0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1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2" nillable="true" ma:displayName="Is Collaboration Space Locked" ma:internalName="Is_Collaboration_Space_Locked">
      <xsd:simpleType>
        <xsd:restriction base="dms:Boolean"/>
      </xsd:simpleType>
    </xsd:element>
    <xsd:element name="MediaServiceMetadata" ma:index="2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7" nillable="true" ma:displayName="MediaServiceFastMetadata" ma:hidden="true" ma:internalName="MediaServiceFastMetadata" ma:readOnly="true">
      <xsd:simpleType>
        <xsd:restriction base="dms:Note"/>
      </xsd:simpleType>
    </xsd:element>
    <xsd:element name="TeamsChannelId" ma:index="28" nillable="true" ma:displayName="Teams Channel Id" ma:internalName="TeamsChannelId">
      <xsd:simpleType>
        <xsd:restriction base="dms:Text"/>
      </xsd:simpleType>
    </xsd:element>
    <xsd:element name="IsNotebookLocked" ma:index="29" nillable="true" ma:displayName="Is Notebook Locked" ma:internalName="IsNotebookLocked">
      <xsd:simpleType>
        <xsd:restriction base="dms:Boolean"/>
      </xsd:simpleType>
    </xsd:element>
    <xsd:element name="MediaServiceAutoTags" ma:index="30" nillable="true" ma:displayName="MediaServiceAutoTags" ma:internalName="MediaServiceAutoTags" ma:readOnly="true">
      <xsd:simpleType>
        <xsd:restriction base="dms:Text"/>
      </xsd:simpleType>
    </xsd:element>
    <xsd:element name="MediaServiceOCR" ma:index="3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ath_Settings" ma:index="34" nillable="true" ma:displayName="Math Settings" ma:internalName="Math_Settings">
      <xsd:simpleType>
        <xsd:restriction base="dms:Text"/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d905db-4f59-4a3b-930f-acb1d61e4a6c" elementFormDefault="qualified">
    <xsd:import namespace="http://schemas.microsoft.com/office/2006/documentManagement/types"/>
    <xsd:import namespace="http://schemas.microsoft.com/office/infopath/2007/PartnerControls"/>
    <xsd:element name="SharedWithUsers" ma:index="23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Freigegeben für -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5" nillable="true" ma:displayName="Freigabehinweishash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s_Teacher_Only_SectionGroup xmlns="550b22fb-13da-4cf5-969f-c4932bbd4a2b" xsi:nil="true"/>
    <FolderType xmlns="550b22fb-13da-4cf5-969f-c4932bbd4a2b" xsi:nil="true"/>
    <Invited_Teachers xmlns="550b22fb-13da-4cf5-969f-c4932bbd4a2b" xsi:nil="true"/>
    <Invited_Students xmlns="550b22fb-13da-4cf5-969f-c4932bbd4a2b" xsi:nil="true"/>
    <IsNotebookLocked xmlns="550b22fb-13da-4cf5-969f-c4932bbd4a2b" xsi:nil="true"/>
    <Self_Registration_Enabled xmlns="550b22fb-13da-4cf5-969f-c4932bbd4a2b" xsi:nil="true"/>
    <Teachers xmlns="550b22fb-13da-4cf5-969f-c4932bbd4a2b">
      <UserInfo>
        <DisplayName/>
        <AccountId xsi:nil="true"/>
        <AccountType/>
      </UserInfo>
    </Teachers>
    <Is_Collaboration_Space_Locked xmlns="550b22fb-13da-4cf5-969f-c4932bbd4a2b" xsi:nil="true"/>
    <CultureName xmlns="550b22fb-13da-4cf5-969f-c4932bbd4a2b" xsi:nil="true"/>
    <Templates xmlns="550b22fb-13da-4cf5-969f-c4932bbd4a2b" xsi:nil="true"/>
    <NotebookType xmlns="550b22fb-13da-4cf5-969f-c4932bbd4a2b" xsi:nil="true"/>
    <Student_Groups xmlns="550b22fb-13da-4cf5-969f-c4932bbd4a2b">
      <UserInfo>
        <DisplayName/>
        <AccountId xsi:nil="true"/>
        <AccountType/>
      </UserInfo>
    </Student_Groups>
    <TeamsChannelId xmlns="550b22fb-13da-4cf5-969f-c4932bbd4a2b" xsi:nil="true"/>
    <Math_Settings xmlns="550b22fb-13da-4cf5-969f-c4932bbd4a2b" xsi:nil="true"/>
    <Owner xmlns="550b22fb-13da-4cf5-969f-c4932bbd4a2b">
      <UserInfo>
        <DisplayName/>
        <AccountId xsi:nil="true"/>
        <AccountType/>
      </UserInfo>
    </Owner>
    <Students xmlns="550b22fb-13da-4cf5-969f-c4932bbd4a2b">
      <UserInfo>
        <DisplayName/>
        <AccountId xsi:nil="true"/>
        <AccountType/>
      </UserInfo>
    </Students>
    <Distribution_Groups xmlns="550b22fb-13da-4cf5-969f-c4932bbd4a2b" xsi:nil="true"/>
    <AppVersion xmlns="550b22fb-13da-4cf5-969f-c4932bbd4a2b" xsi:nil="true"/>
    <LMS_Mappings xmlns="550b22fb-13da-4cf5-969f-c4932bbd4a2b" xsi:nil="true"/>
    <DefaultSectionNames xmlns="550b22fb-13da-4cf5-969f-c4932bbd4a2b" xsi:nil="true"/>
  </documentManagement>
</p:properties>
</file>

<file path=customXml/itemProps1.xml><?xml version="1.0" encoding="utf-8"?>
<ds:datastoreItem xmlns:ds="http://schemas.openxmlformats.org/officeDocument/2006/customXml" ds:itemID="{5EB53204-ECB9-430B-80C6-D40F92B99C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F2AA97-FA8A-488E-A75B-B1EC57955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0b22fb-13da-4cf5-969f-c4932bbd4a2b"/>
    <ds:schemaRef ds:uri="e6d905db-4f59-4a3b-930f-acb1d61e4a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4F57DC-141E-4AB1-87CC-0E2B5E397D59}">
  <ds:schemaRefs>
    <ds:schemaRef ds:uri="http://purl.org/dc/elements/1.1/"/>
    <ds:schemaRef ds:uri="http://purl.org/dc/terms/"/>
    <ds:schemaRef ds:uri="http://schemas.microsoft.com/office/2006/documentManagement/types"/>
    <ds:schemaRef ds:uri="e6d905db-4f59-4a3b-930f-acb1d61e4a6c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550b22fb-13da-4cf5-969f-c4932bbd4a2b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806a8f2b-28e4-44c4-ac01-7357a3a2b9e7}" enabled="1" method="Standard" siteId="{5daf41bd-338c-4311-b1b0-e1299889c34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Kompetenzraster</vt:lpstr>
      <vt:lpstr>Aufgaben_Teams</vt:lpstr>
      <vt:lpstr>ST_1_KW_33</vt:lpstr>
      <vt:lpstr>ST_2_KW_34</vt:lpstr>
      <vt:lpstr>ST_3_KW_35</vt:lpstr>
      <vt:lpstr>ST_4_KW_36</vt:lpstr>
      <vt:lpstr>ST_5_KW_37</vt:lpstr>
      <vt:lpstr>ST_6_KW_38</vt:lpstr>
      <vt:lpstr>ST_7_KW_39</vt:lpstr>
      <vt:lpstr>ST_8_KW_43</vt:lpstr>
      <vt:lpstr>ST_9_KW_44</vt:lpstr>
      <vt:lpstr>ST_10_KW_45</vt:lpstr>
      <vt:lpstr>ST_11_KW_46</vt:lpstr>
      <vt:lpstr>ST_12_KW_47</vt:lpstr>
      <vt:lpstr>ST_13_KW_48</vt:lpstr>
      <vt:lpstr>ST_14_KW_49</vt:lpstr>
      <vt:lpstr>ST_15_KW_50</vt:lpstr>
      <vt:lpstr>ST_16_KW_1</vt:lpstr>
      <vt:lpstr>ST_17_KW_2</vt:lpstr>
      <vt:lpstr>ST_18_KW_3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 Item</dc:creator>
  <cp:keywords/>
  <dc:description/>
  <cp:lastModifiedBy>Item Marcel GBS-LPGB</cp:lastModifiedBy>
  <cp:revision/>
  <cp:lastPrinted>2025-08-27T07:07:47Z</cp:lastPrinted>
  <dcterms:created xsi:type="dcterms:W3CDTF">2018-02-19T12:02:46Z</dcterms:created>
  <dcterms:modified xsi:type="dcterms:W3CDTF">2026-03-05T05:53:25Z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0x01010017C54C6B4757CD47A3EC38904B6DF68F</vt:lpwstr>
  </property>
</Properties>
</file>