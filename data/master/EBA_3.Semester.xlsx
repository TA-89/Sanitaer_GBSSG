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DieseArbeitsmappe" defaultThemeVersion="124226"/>
  <mc:AlternateContent xmlns:mc="http://schemas.openxmlformats.org/markup-compatibility/2006">
    <mc:Choice Requires="x15">
      <x15ac:absPath xmlns:x15ac="http://schemas.microsoft.com/office/spreadsheetml/2010/11/ac" url="https://bldsg-my.sharepoint.com/personal/tobias_arnold_gbssg_ch/Documents/01_GBS_SG_2025/01_Klassen/Alte Klassen/03_SSPb_23-25/3 Semester/00_Schultage/3.Semester/"/>
    </mc:Choice>
  </mc:AlternateContent>
  <xr:revisionPtr revIDLastSave="8189" documentId="14_{236DCB97-A5C4-4F68-9C77-F1E1E0D1C75E}" xr6:coauthVersionLast="47" xr6:coauthVersionMax="47" xr10:uidLastSave="{D4F51C22-6789-4649-A434-1FD4E6C3C3F4}"/>
  <bookViews>
    <workbookView xWindow="-120" yWindow="-120" windowWidth="29040" windowHeight="15720" tabRatio="676" firstSheet="16" activeTab="20" xr2:uid="{00000000-000D-0000-FFFF-FFFF00000000}"/>
  </bookViews>
  <sheets>
    <sheet name="Kompetenzraster" sheetId="70" r:id="rId1"/>
    <sheet name="Kompetenzraster alt" sheetId="17" r:id="rId2"/>
    <sheet name="Schultage" sheetId="64" state="hidden" r:id="rId3"/>
    <sheet name="Leistungsziele 1-4.Semester" sheetId="66" state="hidden" r:id="rId4"/>
    <sheet name="ST_1_KW33 " sheetId="69" r:id="rId5"/>
    <sheet name="ST_2_KW34" sheetId="71" r:id="rId6"/>
    <sheet name="ST_3_KW35" sheetId="72" r:id="rId7"/>
    <sheet name="ST_4_KW36" sheetId="73" r:id="rId8"/>
    <sheet name="ST_5_KW37" sheetId="74" r:id="rId9"/>
    <sheet name="ST_6_KW38" sheetId="75" r:id="rId10"/>
    <sheet name="ST_7_KW39" sheetId="76" r:id="rId11"/>
    <sheet name="ST_8_KW43" sheetId="78" r:id="rId12"/>
    <sheet name="ST_9_KW44" sheetId="77" r:id="rId13"/>
    <sheet name="ST_10_KW45" sheetId="79" r:id="rId14"/>
    <sheet name="ST_11_KW46" sheetId="80" r:id="rId15"/>
    <sheet name="ST_12_KW47 (2)" sheetId="82" r:id="rId16"/>
    <sheet name="ST_13_KW48" sheetId="81" r:id="rId17"/>
    <sheet name="ST_14_KW49" sheetId="83" r:id="rId18"/>
    <sheet name="ST_15_KW50" sheetId="84" r:id="rId19"/>
    <sheet name="ST_16_KW51" sheetId="85" r:id="rId20"/>
    <sheet name="ST_17_KW02" sheetId="86" r:id="rId21"/>
    <sheet name="ST_18_KW03" sheetId="87" r:id="rId22"/>
    <sheet name="03.Leistungsziele SAP" sheetId="68" r:id="rId23"/>
    <sheet name="Aufgaben_Teams" sheetId="41" r:id="rId24"/>
  </sheets>
  <definedNames>
    <definedName name="_xlnm.Print_Area" localSheetId="0">Kompetenzraster!$A$1:$W$42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26" i="64" l="1"/>
  <c r="E26" i="64"/>
  <c r="F25" i="64"/>
  <c r="E25" i="64"/>
  <c r="F22" i="64"/>
  <c r="F21" i="64"/>
  <c r="F20" i="64"/>
  <c r="F19" i="64"/>
  <c r="F18" i="64"/>
  <c r="F17" i="64"/>
  <c r="F16" i="64"/>
  <c r="F15" i="64"/>
  <c r="E22" i="64"/>
  <c r="E21" i="64"/>
  <c r="E20" i="64"/>
  <c r="E19" i="64"/>
  <c r="E18" i="64"/>
  <c r="E17" i="64"/>
  <c r="E16" i="64"/>
  <c r="E15" i="64"/>
  <c r="F14" i="64"/>
  <c r="E14" i="64"/>
  <c r="E8" i="64"/>
  <c r="E9" i="64"/>
  <c r="E10" i="64"/>
  <c r="F10" i="64"/>
  <c r="F9" i="64"/>
  <c r="F8" i="64"/>
  <c r="F7" i="64"/>
  <c r="E7" i="64"/>
  <c r="F6" i="64"/>
  <c r="E6" i="64"/>
  <c r="F5" i="64"/>
  <c r="E5" i="64"/>
  <c r="F4" i="64"/>
  <c r="E4" i="64"/>
  <c r="N32" i="70" l="1"/>
  <c r="N24" i="70"/>
  <c r="R39" i="70"/>
  <c r="F1" i="87" s="1"/>
  <c r="Q39" i="70"/>
  <c r="R37" i="70"/>
  <c r="F1" i="86" s="1"/>
  <c r="Q37" i="70"/>
  <c r="R35" i="70"/>
  <c r="F1" i="85" s="1"/>
  <c r="Q35" i="70"/>
  <c r="R33" i="70"/>
  <c r="F1" i="84" s="1"/>
  <c r="Q33" i="70"/>
  <c r="R31" i="70"/>
  <c r="F1" i="83" s="1"/>
  <c r="Q31" i="70"/>
  <c r="R29" i="70"/>
  <c r="F1" i="81" s="1"/>
  <c r="Q29" i="70"/>
  <c r="R27" i="70"/>
  <c r="F1" i="82" s="1"/>
  <c r="Q27" i="70"/>
  <c r="R25" i="70"/>
  <c r="F1" i="80" s="1"/>
  <c r="Q25" i="70"/>
  <c r="R23" i="70"/>
  <c r="F1" i="79" s="1"/>
  <c r="Q23" i="70"/>
  <c r="R21" i="70"/>
  <c r="F1" i="77" s="1"/>
  <c r="Q21" i="70"/>
  <c r="R19" i="70"/>
  <c r="F1" i="78" s="1"/>
  <c r="Q19" i="70"/>
  <c r="R17" i="70"/>
  <c r="F1" i="76" s="1"/>
  <c r="Q17" i="70"/>
  <c r="R15" i="70"/>
  <c r="F1" i="75" s="1"/>
  <c r="Q15" i="70"/>
  <c r="R13" i="70"/>
  <c r="F1" i="74" s="1"/>
  <c r="Q13" i="70"/>
  <c r="R11" i="70"/>
  <c r="F1" i="73" s="1"/>
  <c r="Q11" i="70"/>
  <c r="R9" i="70"/>
  <c r="F1" i="72" s="1"/>
  <c r="Q9" i="70"/>
  <c r="R7" i="70"/>
  <c r="F1" i="71" s="1"/>
  <c r="Q7" i="70"/>
  <c r="R5" i="70"/>
  <c r="F1" i="69" s="1"/>
  <c r="Q5" i="70"/>
  <c r="D50" i="68" l="1"/>
  <c r="S86" i="66"/>
  <c r="N86" i="66"/>
  <c r="I86" i="66"/>
  <c r="D86" i="66"/>
  <c r="D159" i="66"/>
  <c r="I159" i="66"/>
  <c r="N159" i="66"/>
  <c r="S159" i="66"/>
  <c r="Q39" i="17" l="1"/>
  <c r="Q37" i="17"/>
  <c r="Q35" i="17"/>
  <c r="Q33" i="17"/>
  <c r="Q31" i="17"/>
  <c r="Q29" i="17"/>
  <c r="Q27" i="17"/>
  <c r="Q25" i="17"/>
  <c r="Q23" i="17"/>
  <c r="Q21" i="17"/>
  <c r="Q19" i="17"/>
  <c r="Q17" i="17"/>
  <c r="Q15" i="17"/>
  <c r="Q13" i="17"/>
  <c r="Q11" i="17"/>
  <c r="Q9" i="17"/>
  <c r="Q7" i="17"/>
  <c r="Q5" i="17"/>
  <c r="D4" i="64"/>
  <c r="D5" i="64" s="1"/>
  <c r="D6" i="64" s="1"/>
  <c r="D7" i="64" s="1"/>
  <c r="D8" i="64" s="1"/>
  <c r="D9" i="64" s="1"/>
  <c r="D10" i="64" s="1"/>
  <c r="D11" i="64" s="1"/>
  <c r="D12" i="64" s="1"/>
  <c r="D13" i="64" s="1"/>
  <c r="R5" i="17" l="1"/>
  <c r="R7" i="17"/>
  <c r="R9" i="17"/>
  <c r="R13" i="17"/>
  <c r="R11" i="17"/>
  <c r="R15" i="17"/>
  <c r="R17" i="17"/>
  <c r="D14" i="64"/>
  <c r="B118" i="41"/>
  <c r="B104" i="41"/>
  <c r="B95" i="41"/>
  <c r="B84" i="41"/>
  <c r="B70" i="41"/>
  <c r="B55" i="41"/>
  <c r="B42" i="41"/>
  <c r="B31" i="41"/>
  <c r="D15" i="64" l="1"/>
  <c r="R19" i="17"/>
  <c r="N21" i="17"/>
  <c r="N20" i="17"/>
  <c r="D16" i="64" l="1"/>
  <c r="R21" i="17"/>
  <c r="B9" i="41"/>
  <c r="B44" i="41"/>
  <c r="D17" i="64" l="1"/>
  <c r="R23" i="17"/>
  <c r="B57" i="41"/>
  <c r="B46" i="41"/>
  <c r="D18" i="64" l="1"/>
  <c r="R25" i="17"/>
  <c r="B72" i="41"/>
  <c r="B59" i="41"/>
  <c r="D19" i="64" l="1"/>
  <c r="R27" i="17"/>
  <c r="B11" i="41"/>
  <c r="B33" i="41"/>
  <c r="D20" i="64" l="1"/>
  <c r="R29" i="17"/>
  <c r="B22" i="41"/>
  <c r="B86" i="41"/>
  <c r="B74" i="41"/>
  <c r="B35" i="41"/>
  <c r="D21" i="64" l="1"/>
  <c r="R31" i="17"/>
  <c r="B97" i="41"/>
  <c r="D22" i="64" l="1"/>
  <c r="R33" i="17"/>
  <c r="B99" i="41"/>
  <c r="R35" i="17" l="1"/>
  <c r="B108" i="41" s="1"/>
  <c r="D23" i="64"/>
  <c r="D24" i="64" s="1"/>
  <c r="D25" i="64" s="1"/>
  <c r="B106" i="41"/>
  <c r="B88" i="41"/>
  <c r="D26" i="64" l="1"/>
  <c r="R37" i="17"/>
  <c r="B24" i="41" s="1"/>
  <c r="D27" i="64" l="1"/>
  <c r="D28" i="64" s="1"/>
  <c r="D32" i="64" s="1"/>
  <c r="D33" i="64" s="1"/>
  <c r="D34" i="64" s="1"/>
  <c r="D35" i="64" s="1"/>
  <c r="D36" i="64" s="1"/>
  <c r="D37" i="64" s="1"/>
  <c r="D38" i="64" s="1"/>
  <c r="D39" i="64" s="1"/>
  <c r="D40" i="64" s="1"/>
  <c r="D41" i="64" s="1"/>
  <c r="D42" i="64" s="1"/>
  <c r="D43" i="64" s="1"/>
  <c r="D44" i="64" s="1"/>
  <c r="D45" i="64" s="1"/>
  <c r="D46" i="64" s="1"/>
  <c r="D47" i="64" s="1"/>
  <c r="D48" i="64" s="1"/>
  <c r="D49" i="64" s="1"/>
  <c r="D50" i="64" s="1"/>
  <c r="D51" i="64" s="1"/>
  <c r="D52" i="64" s="1"/>
  <c r="D53" i="64" s="1"/>
  <c r="R39" i="17"/>
  <c r="B122" i="41" s="1"/>
  <c r="B120" i="4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tc={6FF08790-99F4-4D8E-8EBF-B089BF1665DA}</author>
    <author>tc={C7DA593E-24F9-4A32-BE74-E7BE6438F100}</author>
  </authors>
  <commentList>
    <comment ref="A3" authorId="0" shapeId="0" xr:uid="{6FF08790-99F4-4D8E-8EBF-B089BF1665D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Lernaufträge von suissetec, habe leider noch nicht alle gefunden. (teile daraus sollen ebenfalls im "Neuen" Auftrag integriert werden.</t>
      </text>
    </comment>
    <comment ref="B3" authorId="1" shapeId="0" xr:uid="{C7DA593E-24F9-4A32-BE74-E7BE6438F10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Lernaufträge EFZ die von ITM vorhanden sind. (Teile daraus werden in einem Neuen Auftrag siehe die Nummer rechts in grün, zusammengefasst)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tc={3FE71765-4B36-4044-B092-C28011B26DE4}</author>
  </authors>
  <commentList>
    <comment ref="B4" authorId="0" shapeId="0" xr:uid="{3FE71765-4B36-4044-B092-C28011B26DE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Diese Aufgaben stimmen noch nicht und ich werde diese laufend ergänzen</t>
      </text>
    </comment>
  </commentList>
</comments>
</file>

<file path=xl/sharedStrings.xml><?xml version="1.0" encoding="utf-8"?>
<sst xmlns="http://schemas.openxmlformats.org/spreadsheetml/2006/main" count="2101" uniqueCount="712">
  <si>
    <t>Semesterstart:</t>
  </si>
  <si>
    <t>Schultag:</t>
  </si>
  <si>
    <t>Handlungsfelder und Kompetenzen</t>
  </si>
  <si>
    <t>Bewertung / Benotung</t>
  </si>
  <si>
    <t>Auftrag 3.1</t>
  </si>
  <si>
    <t>Auftrag 3.2</t>
  </si>
  <si>
    <t>Auftrag 3.3</t>
  </si>
  <si>
    <t>Note Leistungsnachweis</t>
  </si>
  <si>
    <r>
      <rPr>
        <b/>
        <sz val="12"/>
        <color theme="1"/>
        <rFont val="Century Gothic"/>
        <family val="2"/>
      </rPr>
      <t>Planen der Arbeiten</t>
    </r>
    <r>
      <rPr>
        <sz val="12"/>
        <color theme="1"/>
        <rFont val="Century Gothic"/>
        <family val="2"/>
      </rPr>
      <t xml:space="preserve">
</t>
    </r>
  </si>
  <si>
    <t xml:space="preserve">HF2     </t>
  </si>
  <si>
    <t>Auftrag 3.4</t>
  </si>
  <si>
    <t>Auftrag 3.5</t>
  </si>
  <si>
    <t>Auftrag 3.6</t>
  </si>
  <si>
    <t xml:space="preserve">
</t>
  </si>
  <si>
    <t>X</t>
  </si>
  <si>
    <t>Auftrag 3.7</t>
  </si>
  <si>
    <t>Auftrag 3.8</t>
  </si>
  <si>
    <t>Noten Prüfungen</t>
  </si>
  <si>
    <t>Zeugnisnote</t>
  </si>
  <si>
    <t>Auftrag 3.10</t>
  </si>
  <si>
    <t>Gesetzliche Feiertage</t>
  </si>
  <si>
    <t>Installieren von Vorwandsystemen</t>
  </si>
  <si>
    <t>Allerheiligen</t>
  </si>
  <si>
    <t>Karfreitag</t>
  </si>
  <si>
    <t>Montieren von sanitären Anlagen und Apparaten</t>
  </si>
  <si>
    <t>Ostermontag</t>
  </si>
  <si>
    <t>Auffahrt</t>
  </si>
  <si>
    <t>Pfingstmontag</t>
  </si>
  <si>
    <t xml:space="preserve">Fachgruppe Sanitär Spengler </t>
  </si>
  <si>
    <t>Auftrag 3.9</t>
  </si>
  <si>
    <t xml:space="preserve"> </t>
  </si>
  <si>
    <t>Zu einzelnen Aufträgen wird im Unterricht eine Zwischenprüfung geschrieben.</t>
  </si>
  <si>
    <t xml:space="preserve">Auftrag 3.1 </t>
  </si>
  <si>
    <t xml:space="preserve">Die Note aus den Leistungsnachweisen erechnet sich aus den während des Semestes erzielten Punkten. </t>
  </si>
  <si>
    <t xml:space="preserve">Punkte max. </t>
  </si>
  <si>
    <t>Aufgaben Teams</t>
  </si>
  <si>
    <t>Zuweisung</t>
  </si>
  <si>
    <t>Abgabe</t>
  </si>
  <si>
    <t>Punkte</t>
  </si>
  <si>
    <r>
      <rPr>
        <b/>
        <sz val="11"/>
        <rFont val="Calibri"/>
        <family val="2"/>
        <scheme val="minor"/>
      </rPr>
      <t>Lernziele:</t>
    </r>
    <r>
      <rPr>
        <sz val="11"/>
        <rFont val="Calibri"/>
        <family val="2"/>
        <scheme val="minor"/>
      </rPr>
      <t xml:space="preserve">
- Sie beschreiben die verschiedenen Verteilsysteme für Warmwasser. (K2) 
- Sie beschreiben das korrekte Vorgehen zur Überprüfung der Ausstosszeiten. (K2)
- Sie beschreiben Anwendungen und Eigenschaften der Dämmmaterialien für Wasserleitungen. (K2) 
- Sie erläutern die Vorschriften in Bezug auf die Dämmstärken für Warmwasser- und Kaltwasserleitungen. (K2)
</t>
    </r>
    <r>
      <rPr>
        <b/>
        <sz val="11"/>
        <rFont val="Calibri"/>
        <family val="2"/>
        <scheme val="minor"/>
      </rPr>
      <t xml:space="preserve">
Abzugebende Leistungsnachweise:
</t>
    </r>
    <r>
      <rPr>
        <sz val="11"/>
        <rFont val="Calibri"/>
        <family val="2"/>
        <scheme val="minor"/>
      </rPr>
      <t xml:space="preserve">
- Leistungsnachweis «Ausstosszeiten berechnen »	   
- Leistungsnachweis «Dämmungen in der Haustechnik»
Download Auftrag
</t>
    </r>
    <r>
      <rPr>
        <sz val="11"/>
        <color theme="1"/>
        <rFont val="Calibri"/>
        <family val="2"/>
        <scheme val="minor"/>
      </rPr>
      <t xml:space="preserve">
</t>
    </r>
  </si>
  <si>
    <r>
      <rPr>
        <b/>
        <sz val="11"/>
        <rFont val="Calibri"/>
        <family val="2"/>
        <scheme val="minor"/>
      </rPr>
      <t>Lernziele:</t>
    </r>
    <r>
      <rPr>
        <sz val="11"/>
        <rFont val="Calibri"/>
        <family val="2"/>
        <scheme val="minor"/>
      </rPr>
      <t xml:space="preserve">
- Sie erstellen ein Materialausmass anhand von verschiedenen Beispielen.
- Sie erstellen einen einfachen Materialauszug aufgrund einer typischen Baustellensituation.
- Sie beschreiben die Material-Eigenschaften von Apparaten (z.B. Keramik, Kunststoff). 
- Sie beschreiben Einsatzmöglichkeiten und Funktion von Entnahme-Armaturen unter Berücksichtigung der Energie- und Trinkwassereffizienz. (K2) 
</t>
    </r>
    <r>
      <rPr>
        <b/>
        <sz val="11"/>
        <rFont val="Calibri"/>
        <family val="2"/>
        <scheme val="minor"/>
      </rPr>
      <t xml:space="preserve">
Abzugebende Leistungsnachweise:
</t>
    </r>
    <r>
      <rPr>
        <sz val="11"/>
        <rFont val="Calibri"/>
        <family val="2"/>
        <scheme val="minor"/>
      </rPr>
      <t xml:space="preserve">
- Leistungsnachweis "Praxisauftrag"
Download Auftrag
</t>
    </r>
    <r>
      <rPr>
        <sz val="11"/>
        <color theme="1"/>
        <rFont val="Calibri"/>
        <family val="2"/>
        <scheme val="minor"/>
      </rPr>
      <t xml:space="preserve">
</t>
    </r>
  </si>
  <si>
    <r>
      <rPr>
        <b/>
        <sz val="11"/>
        <rFont val="Calibri"/>
        <family val="2"/>
        <scheme val="minor"/>
      </rPr>
      <t>Lernziele:</t>
    </r>
    <r>
      <rPr>
        <sz val="11"/>
        <rFont val="Calibri"/>
        <family val="2"/>
        <scheme val="minor"/>
      </rPr>
      <t xml:space="preserve">
- Sie beschreiben die Inhalte der aktuellen Vorschriften in Bezug auf die Wasserleitungsinstallation. (K2) 
- Sie erläutern die Gefahren, die von ver-schmutztem Wasser ausgehen können (z.B. durch Schmutzwasserverbindungen). (K2) 
</t>
    </r>
    <r>
      <rPr>
        <b/>
        <sz val="11"/>
        <rFont val="Calibri"/>
        <family val="2"/>
        <scheme val="minor"/>
      </rPr>
      <t xml:space="preserve">
Abzugebende Leistungsnachweise:
</t>
    </r>
    <r>
      <rPr>
        <sz val="11"/>
        <rFont val="Calibri"/>
        <family val="2"/>
        <scheme val="minor"/>
      </rPr>
      <t xml:space="preserve">
- Leistungsnachweis «Der Weg meines Wassers bis in mein Haus»
</t>
    </r>
    <r>
      <rPr>
        <sz val="11"/>
        <color theme="1"/>
        <rFont val="Calibri"/>
        <family val="2"/>
        <scheme val="minor"/>
      </rPr>
      <t xml:space="preserve">
</t>
    </r>
  </si>
  <si>
    <r>
      <rPr>
        <b/>
        <sz val="11"/>
        <rFont val="Calibri"/>
        <family val="2"/>
        <scheme val="minor"/>
      </rPr>
      <t>Lernziele:</t>
    </r>
    <r>
      <rPr>
        <sz val="11"/>
        <rFont val="Calibri"/>
        <family val="2"/>
        <scheme val="minor"/>
      </rPr>
      <t xml:space="preserve">
- Sie beschreiben die Problematik der Korrosion bei Wasserleitungen
</t>
    </r>
    <r>
      <rPr>
        <b/>
        <sz val="11"/>
        <rFont val="Calibri"/>
        <family val="2"/>
        <scheme val="minor"/>
      </rPr>
      <t xml:space="preserve">
Abzugebende Leistungsnachweise:
</t>
    </r>
    <r>
      <rPr>
        <sz val="11"/>
        <rFont val="Calibri"/>
        <family val="2"/>
        <scheme val="minor"/>
      </rPr>
      <t xml:space="preserve">
- Leistungsnachweis "Stellungnahme Schadenfall»
</t>
    </r>
    <r>
      <rPr>
        <sz val="11"/>
        <color theme="1"/>
        <rFont val="Calibri"/>
        <family val="2"/>
        <scheme val="minor"/>
      </rPr>
      <t xml:space="preserve">
</t>
    </r>
  </si>
  <si>
    <r>
      <rPr>
        <b/>
        <sz val="11"/>
        <color theme="1"/>
        <rFont val="Calibri"/>
        <family val="2"/>
        <scheme val="minor"/>
      </rPr>
      <t>Lernziele:</t>
    </r>
    <r>
      <rPr>
        <sz val="11"/>
        <color theme="1"/>
        <rFont val="Calibri"/>
        <family val="2"/>
        <scheme val="minor"/>
      </rPr>
      <t xml:space="preserve">
- Sie erstellen selbstständig anspruchsvolle Z-Mass Vorfabrikationszeichnungen inkl. Rohrlängen und Stückliste.
</t>
    </r>
    <r>
      <rPr>
        <b/>
        <sz val="11"/>
        <color theme="1"/>
        <rFont val="Calibri"/>
        <family val="2"/>
        <scheme val="minor"/>
      </rPr>
      <t xml:space="preserve"> 
Abzugebende Leistungsnachweise:
</t>
    </r>
    <r>
      <rPr>
        <sz val="11"/>
        <color theme="1"/>
        <rFont val="Calibri"/>
        <family val="2"/>
        <scheme val="minor"/>
      </rPr>
      <t xml:space="preserve">
- Abgabe von 4 korrigierten Fachzeichnungen / Auswahl 3.3 – 4.6
</t>
    </r>
  </si>
  <si>
    <r>
      <rPr>
        <b/>
        <sz val="11"/>
        <rFont val="Calibri"/>
        <family val="2"/>
        <scheme val="minor"/>
      </rPr>
      <t>Lernziele:</t>
    </r>
    <r>
      <rPr>
        <sz val="11"/>
        <rFont val="Calibri"/>
        <family val="2"/>
        <scheme val="minor"/>
      </rPr>
      <t xml:space="preserve">
- Sie interpretieren einfache Montage- und Einlegepläne für die Installation von Wasserleitungen. 
- Sie interpretieren einfache Aussparungspläne für die Installation von Wasserleitungen.  
</t>
    </r>
    <r>
      <rPr>
        <b/>
        <sz val="11"/>
        <rFont val="Calibri"/>
        <family val="2"/>
        <scheme val="minor"/>
      </rPr>
      <t xml:space="preserve">
Abzugebende Leistungsnachweise:
</t>
    </r>
    <r>
      <rPr>
        <sz val="11"/>
        <rFont val="Calibri"/>
        <family val="2"/>
        <scheme val="minor"/>
      </rPr>
      <t xml:space="preserve">
- Leistungsnachweis "Kellerverteilung Abrechnung"</t>
    </r>
    <r>
      <rPr>
        <sz val="11"/>
        <color theme="1"/>
        <rFont val="Calibri"/>
        <family val="2"/>
        <scheme val="minor"/>
      </rPr>
      <t xml:space="preserve">
</t>
    </r>
  </si>
  <si>
    <r>
      <rPr>
        <b/>
        <sz val="11"/>
        <color theme="1"/>
        <rFont val="Calibri"/>
        <family val="2"/>
        <scheme val="minor"/>
      </rPr>
      <t>Lernziele:</t>
    </r>
    <r>
      <rPr>
        <sz val="11"/>
        <color theme="1"/>
        <rFont val="Calibri"/>
        <family val="2"/>
        <scheme val="minor"/>
      </rPr>
      <t xml:space="preserve">
- Sie berechnen rechtwinklige Dreiecke. (K3) 
- Sie berechnen Dreiecke und bestimmen das Gefälle von Entsorgungsleitungen. 
</t>
    </r>
    <r>
      <rPr>
        <b/>
        <sz val="11"/>
        <color theme="1"/>
        <rFont val="Calibri"/>
        <family val="2"/>
        <scheme val="minor"/>
      </rPr>
      <t xml:space="preserve">
Abzugebende Leistungsnachweise:
</t>
    </r>
    <r>
      <rPr>
        <sz val="11"/>
        <color theme="1"/>
        <rFont val="Calibri"/>
        <family val="2"/>
        <scheme val="minor"/>
      </rPr>
      <t xml:space="preserve">
- Leistungsnachweis "Gefällsberechnung in Plänen"
</t>
    </r>
  </si>
  <si>
    <r>
      <rPr>
        <b/>
        <sz val="11"/>
        <color theme="1"/>
        <rFont val="Calibri"/>
        <family val="2"/>
        <scheme val="minor"/>
      </rPr>
      <t>Lernziele:</t>
    </r>
    <r>
      <rPr>
        <sz val="11"/>
        <color theme="1"/>
        <rFont val="Calibri"/>
        <family val="2"/>
        <scheme val="minor"/>
      </rPr>
      <t xml:space="preserve">
- Sie benennen die relevanten Anforderungen an die Apparatemontage (z.B. bauliche Voraussetzungen, Schallschutz).
- Sie bestimmen anhand von Beispielen den Platzbedarf, Achsabstände und Montagehöhen von Apparaten und den zugehörigen Garnituren. 
</t>
    </r>
    <r>
      <rPr>
        <b/>
        <sz val="11"/>
        <color theme="1"/>
        <rFont val="Calibri"/>
        <family val="2"/>
        <scheme val="minor"/>
      </rPr>
      <t xml:space="preserve">Abzugebende Leistungsnachweise:
</t>
    </r>
    <r>
      <rPr>
        <sz val="11"/>
        <color theme="1"/>
        <rFont val="Calibri"/>
        <family val="2"/>
        <scheme val="minor"/>
      </rPr>
      <t xml:space="preserve">
- Leistungsnachweis«Detailplanung Badezimmer»
</t>
    </r>
  </si>
  <si>
    <r>
      <rPr>
        <b/>
        <sz val="11"/>
        <rFont val="Calibri"/>
        <family val="2"/>
        <scheme val="minor"/>
      </rPr>
      <t>Lernziele:</t>
    </r>
    <r>
      <rPr>
        <sz val="11"/>
        <rFont val="Calibri"/>
        <family val="2"/>
        <scheme val="minor"/>
      </rPr>
      <t xml:space="preserve">
- Sie beschreiben den Unterschied zwischen Ruhedruck und Fliessdruck. (K2)
- Sie erläutern die für eine Druckprüfung relevanten Inhalte der SVGW-Richtlinie W3. (K2)
- Sie berechnen den Druck unter Berücksichtigung der Kompressibilität des Wassers. (K3)
- Sie erläutern die für eine Inbetriebnahme relevanten Inhalte der SVGW-Richtlinie W3. (K2)
</t>
    </r>
    <r>
      <rPr>
        <b/>
        <sz val="11"/>
        <rFont val="Calibri"/>
        <family val="2"/>
        <scheme val="minor"/>
      </rPr>
      <t xml:space="preserve">
Abzugebende Leistungsnachweise:
</t>
    </r>
    <r>
      <rPr>
        <sz val="11"/>
        <rFont val="Calibri"/>
        <family val="2"/>
        <scheme val="minor"/>
      </rPr>
      <t xml:space="preserve">
- Leistungsnachweis "Lernzielkontrolle Forms"
- Leistungsnachweis "Druckprobe Baustelle"
Download Auftrag
</t>
    </r>
    <r>
      <rPr>
        <sz val="11"/>
        <color theme="1"/>
        <rFont val="Calibri"/>
        <family val="2"/>
        <scheme val="minor"/>
      </rPr>
      <t xml:space="preserve">
</t>
    </r>
  </si>
  <si>
    <r>
      <rPr>
        <b/>
        <sz val="11"/>
        <rFont val="Calibri"/>
        <family val="2"/>
        <scheme val="minor"/>
      </rPr>
      <t>Lernziele:</t>
    </r>
    <r>
      <rPr>
        <sz val="11"/>
        <rFont val="Calibri"/>
        <family val="2"/>
        <scheme val="minor"/>
      </rPr>
      <t xml:space="preserve">
- Sie beschreiben die handelsüblichen Vorwandsysteme
- Sie erläutern die Befestigungstechnik und Schallschutzmassnahmen bei Vorwänden
- Sie erklären, wie Vorwände beplankt und gedämmt werden
- Sie erklären, mit welchen Materialien Anschlüsse abgedichtet werden.
</t>
    </r>
    <r>
      <rPr>
        <b/>
        <sz val="11"/>
        <rFont val="Calibri"/>
        <family val="2"/>
        <scheme val="minor"/>
      </rPr>
      <t xml:space="preserve">
Abzugebende Leistungsnachweise:
</t>
    </r>
    <r>
      <rPr>
        <sz val="11"/>
        <rFont val="Calibri"/>
        <family val="2"/>
        <scheme val="minor"/>
      </rPr>
      <t xml:space="preserve">
- Cast Vorwand
</t>
    </r>
    <r>
      <rPr>
        <sz val="11"/>
        <color theme="1"/>
        <rFont val="Calibri"/>
        <family val="2"/>
        <scheme val="minor"/>
      </rPr>
      <t xml:space="preserve">
</t>
    </r>
  </si>
  <si>
    <t>Kompetenzraster 3.Semester  Sanitäripraktiker/in EBA</t>
  </si>
  <si>
    <t>Mittwoch</t>
  </si>
  <si>
    <t>Skitag</t>
  </si>
  <si>
    <t>Sportwoche</t>
  </si>
  <si>
    <t>Datum:</t>
  </si>
  <si>
    <t>ST Nr.</t>
  </si>
  <si>
    <t>Herbst
Ferien</t>
  </si>
  <si>
    <t>Weihnachts
Ferien</t>
  </si>
  <si>
    <t>3.Semester</t>
  </si>
  <si>
    <t>4.Semester</t>
  </si>
  <si>
    <t>Frühlings
Ferien</t>
  </si>
  <si>
    <t>Unterichtsplanung 3. Semester</t>
  </si>
  <si>
    <t>SSPb_23-25</t>
  </si>
  <si>
    <r>
      <rPr>
        <sz val="10"/>
        <rFont val="Gill Sans MT"/>
        <family val="2"/>
      </rPr>
      <t>3.4.6    Sie dokumentieren von Hand oder mit digitalen Hilfsmitteln anhand eines Beispiels ein aufgenommenes Ausmass. (K3)</t>
    </r>
  </si>
  <si>
    <r>
      <rPr>
        <sz val="10"/>
        <rFont val="Gill Sans MT"/>
        <family val="2"/>
      </rPr>
      <t>3.4.5    Sie ergänzen bestehende Ausmass-Grund- lagen von Hand anhand eines Ausführungs- beispiels (z.B. Stückzahl, Abwicklung). (K3)</t>
    </r>
  </si>
  <si>
    <r>
      <rPr>
        <sz val="10"/>
        <rFont val="Gill Sans MT"/>
        <family val="2"/>
      </rPr>
      <t>3.4.4    Sie berechnen Längen, Umfang und Flächen der vier Grundkörper (Rechteck, Dreieck, Kreis, Trapez). (K3)</t>
    </r>
  </si>
  <si>
    <r>
      <rPr>
        <sz val="10"/>
        <rFont val="Gill Sans MT"/>
        <family val="2"/>
      </rPr>
      <t>3.4.4    Sie berechnen Längen, Umfang und Flächen der Grundkörper (Rechteck, Dreieck, Kreis, Trapez). (K3)</t>
    </r>
  </si>
  <si>
    <r>
      <rPr>
        <sz val="10"/>
        <rFont val="Gill Sans MT"/>
        <family val="2"/>
      </rPr>
      <t>3.4.3    Sie erläutern die wichtigsten Ausmass-Regeln gemäss SIA. (K2)</t>
    </r>
  </si>
  <si>
    <r>
      <rPr>
        <sz val="10"/>
        <rFont val="Gill Sans MT"/>
        <family val="2"/>
      </rPr>
      <t>3.4.1    Sie benennen die gebräuchlichen Fachbegriffe für die Ausmass-Aufnahme. (K1)</t>
    </r>
  </si>
  <si>
    <r>
      <rPr>
        <sz val="10"/>
        <rFont val="Gill Sans MT"/>
        <family val="2"/>
      </rPr>
      <t>3.3.7    Sie beschreiben die Möglichkeiten von An- und Abschlüssen bei Bauteilen. (K2)</t>
    </r>
  </si>
  <si>
    <r>
      <rPr>
        <sz val="10"/>
        <rFont val="Gill Sans MT"/>
        <family val="2"/>
      </rPr>
      <t>3.3.4    Sie benennen die gängigen Dimensionen und Formen von Fertigbauteilen (z.B. Dachrinnen, Ablaufrohre. (K1)</t>
    </r>
  </si>
  <si>
    <r>
      <rPr>
        <sz val="10"/>
        <rFont val="Gill Sans MT"/>
        <family val="2"/>
      </rPr>
      <t>3.3.3    Sie benennen die gängigen Vorschriften zur Entwässerung von Bauteilen. (K1)</t>
    </r>
  </si>
  <si>
    <r>
      <rPr>
        <sz val="10"/>
        <rFont val="Gill Sans MT"/>
        <family val="2"/>
      </rPr>
      <t>3.3.2    Sie benennen den Schichtaufbau eines Baukörpers (z.B. Flachdach, geneigtes Dach, Fassade). (K1)</t>
    </r>
  </si>
  <si>
    <r>
      <rPr>
        <sz val="10"/>
        <rFont val="Gill Sans MT"/>
        <family val="2"/>
      </rPr>
      <t>3.2.9    Sie beschreiben den korrekten Arbeitsablauf zur Erstellung einer Abdichtung (z.B. Fuge, Kitt) an einem angrenzenden Bauteil. (K2)</t>
    </r>
  </si>
  <si>
    <r>
      <rPr>
        <sz val="10"/>
        <rFont val="Gill Sans MT"/>
        <family val="2"/>
      </rPr>
      <t>3.2.6    Sie zeichnen Details von Blechausschnitten (z.B. Gehrung einer Abdeckung). (K3)</t>
    </r>
  </si>
  <si>
    <r>
      <rPr>
        <sz val="10"/>
        <rFont val="Gill Sans MT"/>
        <family val="2"/>
      </rPr>
      <t>3.2.5    Sie benennen die relevanten Richtlinien in Bezug auf die Montage von Blechprofilen. (K1)</t>
    </r>
  </si>
  <si>
    <r>
      <rPr>
        <sz val="10"/>
        <rFont val="Gill Sans MT"/>
        <family val="2"/>
      </rPr>
      <t>3.2.4    Sie beschreiben die Einsatzmöglichkeiten von verschiedenen Dilatationen. (K2)</t>
    </r>
  </si>
  <si>
    <r>
      <rPr>
        <sz val="10"/>
        <rFont val="Gill Sans MT"/>
        <family val="2"/>
      </rPr>
      <t>3.2.3    Sie benennen geeignete Befestigungsmittel für Blechprofile und Einfassungen. (K1)</t>
    </r>
  </si>
  <si>
    <r>
      <rPr>
        <sz val="10"/>
        <rFont val="Gill Sans MT"/>
        <family val="2"/>
      </rPr>
      <t>3.2.2    Sie benennen geeignete Befestigungsmittel für Unterkonstruktionen (z.B. Einhängeblech). (K1)</t>
    </r>
  </si>
  <si>
    <r>
      <rPr>
        <sz val="10"/>
        <rFont val="Gill Sans MT"/>
        <family val="2"/>
      </rPr>
      <t>3.1.8    Sie benennen die gängigen Entsorgungs- konzepte auf Baustellen. (K1)</t>
    </r>
  </si>
  <si>
    <t>3.1.8    Sie benennen die gängigen Entsorgungskonzepte auf Baustellen. (K1)</t>
  </si>
  <si>
    <r>
      <rPr>
        <sz val="10"/>
        <rFont val="Gill Sans MT"/>
        <family val="2"/>
      </rPr>
      <t>3.1.6    Sie erläutern die Gefahren bei der Demontage von Bauteilen bezüglich Sonderabfällen (z.B. Asbest). (K2)</t>
    </r>
  </si>
  <si>
    <r>
      <rPr>
        <sz val="10"/>
        <rFont val="Gill Sans MT"/>
        <family val="2"/>
      </rPr>
      <t>3.1.5    Sie berechnen Gewichte anhand von einfachen Beispielen. (K3)</t>
    </r>
  </si>
  <si>
    <r>
      <rPr>
        <sz val="10"/>
        <rFont val="Gill Sans MT"/>
        <family val="2"/>
      </rPr>
      <t>3.1.4    Sie benennen gebräuchliche Deckungsarten. (K1)</t>
    </r>
  </si>
  <si>
    <r>
      <rPr>
        <sz val="10"/>
        <rFont val="Gill Sans MT"/>
        <family val="2"/>
      </rPr>
      <t>3.1.1    Sie schätzen das Wetter für Arbeiten auf der Baustelle anhand von Wetter-Informationen ein (z.B. anhand von Wetter-Apps). (K3)</t>
    </r>
  </si>
  <si>
    <r>
      <rPr>
        <sz val="10"/>
        <rFont val="Gill Sans MT"/>
        <family val="2"/>
      </rPr>
      <t>2.4.2  Sie benennen die Ladevorschriften gemäss Strassenverkehrsgesetz. (K1)</t>
    </r>
  </si>
  <si>
    <t>2.4.1  Sie benennen verschiedene Transportbehältnisse. (K1)</t>
  </si>
  <si>
    <r>
      <rPr>
        <sz val="10"/>
        <rFont val="Gill Sans MT"/>
        <family val="2"/>
      </rPr>
      <t>2.3.10  Sie benennen gebräuchliche Halbfabrikate. (K1)</t>
    </r>
  </si>
  <si>
    <r>
      <rPr>
        <sz val="10"/>
        <rFont val="Gill Sans MT"/>
        <family val="2"/>
      </rPr>
      <t>2.3.4    Sie beschreiben die gebräuchlichen Verbindungstechniken. (K2)</t>
    </r>
  </si>
  <si>
    <r>
      <rPr>
        <sz val="10"/>
        <rFont val="Gill Sans MT"/>
        <family val="2"/>
      </rPr>
      <t>2.3.3    Sie beschreiben die Auswirkungen beim Verbinden verschiedener Materialien (z.B. Korrosion). (K2)</t>
    </r>
  </si>
  <si>
    <r>
      <rPr>
        <sz val="10"/>
        <rFont val="Gill Sans MT"/>
        <family val="2"/>
      </rPr>
      <t>2.3.1    Sie benennen die gebräuchlichen Bauteile. (K1)</t>
    </r>
  </si>
  <si>
    <t>LA 2_2.06</t>
  </si>
  <si>
    <r>
      <rPr>
        <sz val="10"/>
        <rFont val="Gill Sans MT"/>
        <family val="2"/>
      </rPr>
      <t>2.2.8    Sie konstruieren Abwicklungen von einfachen Blechprofilen. (K3)</t>
    </r>
  </si>
  <si>
    <r>
      <rPr>
        <sz val="10"/>
        <rFont val="Gill Sans MT"/>
        <family val="2"/>
      </rPr>
      <t>2.2.7    Sie optimieren anhand von Beispielen die Blechprofile auf Normabwicklungen und Standardformate. (K3)</t>
    </r>
  </si>
  <si>
    <r>
      <rPr>
        <sz val="10"/>
        <rFont val="Gill Sans MT"/>
        <family val="2"/>
      </rPr>
      <t>2.2.4    Sie benennen die relevanten Normen in Bezug auf die Herstellung von Blechprofilen. (K1)</t>
    </r>
  </si>
  <si>
    <r>
      <rPr>
        <sz val="10"/>
        <rFont val="Gill Sans MT"/>
        <family val="2"/>
      </rPr>
      <t>2.2.3    Sie unterscheiden die verschiedenen Ausführungsvarianten von Blechprofilen. (K4)</t>
    </r>
  </si>
  <si>
    <r>
      <rPr>
        <sz val="10"/>
        <rFont val="Gill Sans MT"/>
        <family val="2"/>
      </rPr>
      <t>2.2.2    Sie beschreiben die gebräuchlichen Materialien und ihre Eigenschaften. (K2)</t>
    </r>
  </si>
  <si>
    <t>2.2.2   Sie beschreiben die gebräuchlichen Materialien und ihre Eigenschaften. (K2)</t>
  </si>
  <si>
    <r>
      <rPr>
        <sz val="10"/>
        <rFont val="Gill Sans MT"/>
        <family val="2"/>
      </rPr>
      <t>2.2.2     Sie beschreiben die gebräuchlichen Materialien und ihre Eigenschaften. (K2)</t>
    </r>
  </si>
  <si>
    <r>
      <rPr>
        <sz val="10"/>
        <rFont val="Gill Sans MT"/>
        <family val="2"/>
      </rPr>
      <t>2.2.1    Sie beschreiben die gebräuchlichen Blechprofile. (K2)</t>
    </r>
  </si>
  <si>
    <t>LA 2_2.05
LA 1_2.03</t>
  </si>
  <si>
    <t>LA 1_2.01</t>
  </si>
  <si>
    <r>
      <rPr>
        <sz val="10"/>
        <rFont val="Gill Sans MT"/>
        <family val="2"/>
      </rPr>
      <t>2.1.5    Sie benennen die gebräuchlichen Messinstrumente. (K1)</t>
    </r>
  </si>
  <si>
    <t>2.1.5    Sie benennen die gebräuchlichen Messinstrumente. (K1)</t>
  </si>
  <si>
    <r>
      <rPr>
        <sz val="10"/>
        <rFont val="Gill Sans MT"/>
        <family val="2"/>
      </rPr>
      <t>2.1.4    Sie benennen für die Massaufnahme relevante Normen und Richtlinien. (K1)</t>
    </r>
  </si>
  <si>
    <r>
      <rPr>
        <sz val="10"/>
        <rFont val="Gill Sans MT"/>
        <family val="2"/>
      </rPr>
      <t>2.1.3    Sie zeichnen anhand von Plänen, Fotos oder Handskizzen dreidimensionale Bauteile mittels digitaler Hilfsmittel. (K3)</t>
    </r>
  </si>
  <si>
    <r>
      <rPr>
        <sz val="10"/>
        <rFont val="Gill Sans MT"/>
        <family val="2"/>
      </rPr>
      <t>2.1.2    Sie interpretieren die gängigen Symbole in Bauplänen. (K3)</t>
    </r>
  </si>
  <si>
    <r>
      <rPr>
        <sz val="10"/>
        <rFont val="Gill Sans MT"/>
        <family val="2"/>
      </rPr>
      <t>2.1.1    Sie erstellen einfache Schnitt- und Isometrie- Zeichnungen von Bauteilen und Blechprofilen analog oder digital. (K3)</t>
    </r>
  </si>
  <si>
    <r>
      <rPr>
        <sz val="10"/>
        <rFont val="Gill Sans MT"/>
        <family val="2"/>
      </rPr>
      <t>1.5.4    Sie erklären, welche Reparatur- und Wartungs- arbeiten an Maschinen erlaubt sind. (K2)</t>
    </r>
  </si>
  <si>
    <t>1.5.3    Sie beschreiben den Personen- und Sachschutz bei Elektro-Installationen. (K2)</t>
  </si>
  <si>
    <r>
      <rPr>
        <sz val="10"/>
        <rFont val="Gill Sans MT"/>
        <family val="2"/>
      </rPr>
      <t>1.5.2    Sie erläutern die Gefahren, welche vom Strom ausgehen können. (K2)</t>
    </r>
  </si>
  <si>
    <r>
      <rPr>
        <sz val="10"/>
        <rFont val="Gill Sans MT"/>
        <family val="2"/>
      </rPr>
      <t>1.4.7     Sie ordnen die verschiedenen Gefahrensymbole korrekt zu. (K2)</t>
    </r>
  </si>
  <si>
    <r>
      <rPr>
        <sz val="10"/>
        <rFont val="Gill Sans MT"/>
        <family val="2"/>
      </rPr>
      <t>1.5.1    Sie benennen die gebräuchlichen Werkzeuge und Maschinen. (K1)</t>
    </r>
  </si>
  <si>
    <r>
      <rPr>
        <sz val="10"/>
        <rFont val="Gill Sans MT"/>
        <family val="2"/>
      </rPr>
      <t>1.4.6    Sie benennen die Gefahren von Sonderabfällen (z.B. Asbest, Lösungsmittel, Chemikalien). (K1)</t>
    </r>
  </si>
  <si>
    <r>
      <rPr>
        <sz val="10"/>
        <rFont val="Gill Sans MT"/>
        <family val="2"/>
      </rPr>
      <t>1.4.5    Sie benennen die relevanten Umweltvorschrif- ten im Zusammenhang mit der Vermeidung und Entsorgung von Abfällen. (K1)</t>
    </r>
  </si>
  <si>
    <r>
      <rPr>
        <sz val="10"/>
        <rFont val="Gill Sans MT"/>
        <family val="2"/>
      </rPr>
      <t>1.4.4    Sie erläutern den Recycling-Kreislauf und den Zusammenhang zur Kreislaufwirtschaft im Baugewerbe. (K2)</t>
    </r>
  </si>
  <si>
    <r>
      <rPr>
        <sz val="10"/>
        <rFont val="Gill Sans MT"/>
        <family val="2"/>
      </rPr>
      <t>1.4.3    Sie schätzen das Gewicht von verschiedenen Komponenten ab (z.B. Last Dachträger, Profilierte Bleche, Dachrinne). (K3)</t>
    </r>
  </si>
  <si>
    <r>
      <rPr>
        <sz val="10"/>
        <rFont val="Gill Sans MT"/>
        <family val="2"/>
      </rPr>
      <t>1.4.2    Sie berechnen das Volumen verschiedener Behältnisse. (K3)</t>
    </r>
  </si>
  <si>
    <r>
      <rPr>
        <sz val="10"/>
        <rFont val="Gill Sans MT"/>
        <family val="2"/>
      </rPr>
      <t xml:space="preserve">1.4.3    Sie schätzen das Gewicht von verschiedenen
</t>
    </r>
    <r>
      <rPr>
        <sz val="10"/>
        <rFont val="Gill Sans MT"/>
        <family val="2"/>
      </rPr>
      <t>Komponenten ab z.B. (Last Dachträger, Profilierte Bleche, Dachrinne). (K3)</t>
    </r>
  </si>
  <si>
    <r>
      <rPr>
        <sz val="10"/>
        <rFont val="Gill Sans MT"/>
        <family val="2"/>
      </rPr>
      <t>1.4.3    Sie schätzen das Gewicht von verschiedenen Komponenten ab (z.B. Heizkörper, WC- Schüssel, Lüftungsrohre, Dachrinne). (K3)</t>
    </r>
  </si>
  <si>
    <r>
      <rPr>
        <sz val="10"/>
        <rFont val="Gill Sans MT"/>
        <family val="2"/>
      </rPr>
      <t>1.4.1    Sie erklären anhand eines einfachen Beispiels den organisatorischen Ablauf bei der Trennung und Entsorgung von Abfällen gemäss Abfallverordnung. (K2)</t>
    </r>
  </si>
  <si>
    <r>
      <rPr>
        <sz val="10"/>
        <rFont val="Gill Sans MT"/>
        <family val="2"/>
      </rPr>
      <t>1.4.1    Sie erklären anhand eines einfachen Beispiels den organisatorischen Ablauf bei der Trennung und Entsorgung von Abfällen gemäss Abfall- verordnung. (K2)</t>
    </r>
  </si>
  <si>
    <r>
      <rPr>
        <sz val="10"/>
        <rFont val="Gill Sans MT"/>
        <family val="2"/>
      </rPr>
      <t>1.3.2    Sie erläutern den Sinn und Zweck des Rapportierens. (K2)</t>
    </r>
  </si>
  <si>
    <r>
      <rPr>
        <sz val="10"/>
        <rFont val="Gill Sans MT"/>
        <family val="2"/>
      </rPr>
      <t>1.3.1    Sie erläutern die Unterschiede der verschiedenen Rapport-Arten. (K2)</t>
    </r>
  </si>
  <si>
    <r>
      <rPr>
        <sz val="10"/>
        <rFont val="Gill Sans MT"/>
        <family val="2"/>
      </rPr>
      <t xml:space="preserve">1.2.8    Sie erläutern die Gefahren und Risiken auf
</t>
    </r>
    <r>
      <rPr>
        <sz val="10"/>
        <rFont val="Gill Sans MT"/>
        <family val="2"/>
      </rPr>
      <t>der Baustelle und in der Werkstatt (z.B. Strom- bezug für die verschiedenen Maschinen, Lagerung von Gas, Asbest, Gerüstbau, Brandschutz). (K2)</t>
    </r>
  </si>
  <si>
    <r>
      <rPr>
        <sz val="10"/>
        <rFont val="Gill Sans MT"/>
        <family val="2"/>
      </rPr>
      <t xml:space="preserve">1.2.8    Sie erläutern die Gefahren und Risiken auf der Baustelle und in der Werkstatt (z.B.
</t>
    </r>
    <r>
      <rPr>
        <sz val="10"/>
        <rFont val="Gill Sans MT"/>
        <family val="2"/>
      </rPr>
      <t>Strombezug für die verschiedenen Maschinen, Lagerung von Gas, Asbest, Gerüstbau, Brandschutz). (K2)</t>
    </r>
  </si>
  <si>
    <r>
      <rPr>
        <sz val="10"/>
        <rFont val="Gill Sans MT"/>
        <family val="2"/>
      </rPr>
      <t>1.2.5    Sie beschreiben, bei welchen Situationen und Tätigkeiten eine entsprechende PSA getragen werden muss. (K2)</t>
    </r>
  </si>
  <si>
    <r>
      <rPr>
        <sz val="10"/>
        <rFont val="Gill Sans MT"/>
        <family val="2"/>
      </rPr>
      <t>1.2.3    Sie erläutern einen einfachen Stromkreislauf. (K2)</t>
    </r>
  </si>
  <si>
    <r>
      <rPr>
        <sz val="10"/>
        <rFont val="Gill Sans MT"/>
        <family val="2"/>
      </rPr>
      <t>1.1.6    Sie bestimmen die Montagezeit aufgrund von einfachen Beispielen. (K3)</t>
    </r>
  </si>
  <si>
    <r>
      <rPr>
        <sz val="10"/>
        <rFont val="Gill Sans MT"/>
        <family val="2"/>
      </rPr>
      <t>1.1.5    Sie organisieren sich anhand eines Beispielauftrags im Team. (K3)</t>
    </r>
  </si>
  <si>
    <r>
      <rPr>
        <sz val="10"/>
        <rFont val="Gill Sans MT"/>
        <family val="2"/>
      </rPr>
      <t>1.1.4    Sie benennen die Akteure auf dem Bau und deren Funktionen. (K1)</t>
    </r>
  </si>
  <si>
    <r>
      <rPr>
        <sz val="10"/>
        <rFont val="Gill Sans MT"/>
        <family val="2"/>
      </rPr>
      <t>1.1.3    Sie erläutern einen Auftrag aus ihrem Betrieb mit den korrekten Fachbegriffen. (K2)</t>
    </r>
  </si>
  <si>
    <r>
      <rPr>
        <sz val="10"/>
        <rFont val="Gill Sans MT"/>
        <family val="2"/>
      </rPr>
      <t>1.1.2    Sie beschreiben verschiedene Planarten (z.B. Montage (Verlege)plan, Koordinationsplan, Abschottungsplan, Schnittplan, Grundrisse und Ansichten). (K2)</t>
    </r>
  </si>
  <si>
    <r>
      <rPr>
        <sz val="10"/>
        <rFont val="Gill Sans MT"/>
        <family val="2"/>
      </rPr>
      <t>1.1.2    Sie beschreiben verschiedene Planarten (z.B. Montageplan, Einlageplan, Koordinationsplan, Aussparungsplan, Schema, Schnittplan, Fassadenansicht). (K2)</t>
    </r>
  </si>
  <si>
    <r>
      <rPr>
        <sz val="10"/>
        <rFont val="Gill Sans MT"/>
        <family val="2"/>
      </rPr>
      <t>1.1.1    Sie beschreiben einen Bauablauf auf der Baustelle. (K2)</t>
    </r>
  </si>
  <si>
    <t>Spengler</t>
  </si>
  <si>
    <t>Sanitär</t>
  </si>
  <si>
    <t>4. Semester</t>
  </si>
  <si>
    <t>3. Semester</t>
  </si>
  <si>
    <t>2. Semester</t>
  </si>
  <si>
    <t>1. Semester</t>
  </si>
  <si>
    <t>1.1.1 Sie beschreiben einen Bauablauf auf der Baustelle. (K2)</t>
  </si>
  <si>
    <t>1.1.1  Sie beschreiben einen Bauablauf auf der Baustelle. (K2)</t>
  </si>
  <si>
    <t>1.1.4  Sie benennen die Akteure auf dem Bau und deren Funktionen. (K1)</t>
  </si>
  <si>
    <t>1.1.2  Sie beschreiben verschiedene Planarten  (z.B.Montageplan, Einlageplan, Koordinationsplan,
          Aussparungsplan, Schema, Schnittplan, Fassadenansicht). (K2)</t>
  </si>
  <si>
    <t>Inhalte Grundlagen</t>
  </si>
  <si>
    <t>Bauablauf, Enstehung
eines Gebäudes</t>
  </si>
  <si>
    <t>Planarten unterscheiden, Planlesen (Koten,Bemassung, Materialien)</t>
  </si>
  <si>
    <t>Am Bau beteiligte Gewerke und Personen</t>
  </si>
  <si>
    <t>Leistungsziele Berufsfachschule</t>
  </si>
  <si>
    <t>Lektionen</t>
  </si>
  <si>
    <t>1.2.3 Sie erläutern einen einfachen Stromkreislauf. (K2)</t>
  </si>
  <si>
    <t>Grundlagen Elektrotechnik, 
einfacher Stromkreislauf</t>
  </si>
  <si>
    <t>1.2.5 Sie beschreiben, bei welchen Situationen und Tätigkeiten eine entsprechende PSA getragen
          werden muss. (K2)</t>
  </si>
  <si>
    <t>Arbeitssicherheit PSA, PSAgA, SUVA-Merkblätter</t>
  </si>
  <si>
    <t>Arbeitssicherheit SUVA
– Gas, Flüssigkeiten, Strom
– Asbest, gefährliche Stoffe
– Gerüste, Rollgerüste, tragbare Leitern</t>
  </si>
  <si>
    <t>1.2.8 Sie erläutern die Gefahren und Risiken auf der Baustelle und in der Werkstatt (z.B.
          Strombezug für die verschiedenen Maschinen, Lagerung von Gas, Asbest, Gerüstbau,
          Brandschutz, Gasinstallationen). (K2)</t>
  </si>
  <si>
    <t>1.3.1 Sie erläutern die Unterschiede der verschiedenen Rapport-Arten. (K2)</t>
  </si>
  <si>
    <t>1.3.2 Sie erläutern den Sinn und Zweck des
         Rapportierens. (K2)</t>
  </si>
  <si>
    <t>Lieferschein, Stundenrapport, Materialrapport, Regierapport</t>
  </si>
  <si>
    <t>Sinn und Zweck der verschiedenen Dokumente,
Wirtschaftlichkeit des Betriebes</t>
  </si>
  <si>
    <t>1.4.3 Sie schätzen das Gewicht von verschiedenen Komponenten ab (z.B. Heizkörper, WCSchüssel,
          Lüftungsrohre, Dachrinne) (K3)</t>
  </si>
  <si>
    <t>1.4.4 Sie erläutern den Recycling-Kreislauf und den
         Zusammenhang zur Kreislaufwirtschaft im
         Baugewerbe. (K2)</t>
  </si>
  <si>
    <t>Stoffkreislauf, Recycling, Kreislaufwirtschaft,
ökologische Kriterien zur Abfallentsorgung</t>
  </si>
  <si>
    <t>1.4.5 Sie benennen die relevanten Umweltvorschriften im Zusammenhang mit der Vermeidung 
          und Entsorgung von Abfällen. (K1)</t>
  </si>
  <si>
    <t>Nachhaltigkeit, Umweltschutz, Gewässerschutz</t>
  </si>
  <si>
    <t>1.4.6 Sie zählen die Gefahren von Sonderabfällen (z.B. Asbest, Kältemittel, Chemikalien) auf. (K1)</t>
  </si>
  <si>
    <t>Nachhaltigkeit, Arbeitssicherheit, 
Sonderabfälle</t>
  </si>
  <si>
    <t>1.4.7 Sie ordnen die verschiedenen Gefahrensymbole korrekt zu. (K2)</t>
  </si>
  <si>
    <t>Säuren, Laugen, Gifte, pH-Wert, GHS-Gefahrensymbole</t>
  </si>
  <si>
    <t>1.5.1 Sie benennen die gebräuchlichen Werkzeuge und Maschinen. (K1)</t>
  </si>
  <si>
    <t>Maschinen und Werkzeuge</t>
  </si>
  <si>
    <t>1.5.2 Sie erläutern die Gefahren, welche vom Strom ausgehen können. (K2)</t>
  </si>
  <si>
    <t>Wirkungen und Gefahren des
Stroms, Grundlagen elektrischer Strom</t>
  </si>
  <si>
    <t>1.5.3 Sie beschreiben den Personen- und Sachschutz bei Elektro-Installationen. (K2)</t>
  </si>
  <si>
    <t>Arbeitssicherheit, SUVA, Gefahren erkennen, erlaubte Arbeiten, Sicherheitseinrichtungen (z. B. FI-Schalter)</t>
  </si>
  <si>
    <t>1.5.4 Sie erklären, welche Reparatur- und Wartungsarbeiten an Maschinen erlaubt sind. (K2)</t>
  </si>
  <si>
    <t>Reparatur und Wartungsarbeiten an Werkzeug und Maschinen</t>
  </si>
  <si>
    <t>2.1.1 Sie erstellen genaue und vollständige Isometrie-Zeichnungen von einfachen    Trinkwasserinstallationen anhand von Grundriss- und Ansichtsplänen. (K3)</t>
  </si>
  <si>
    <t>Grundlagen Isometrie, perspektivisches Zeichnen, räumliches Vorstellungsvermögen, einfache Beispiele</t>
  </si>
  <si>
    <t>2.1.4 Sie wenden die Z-Mass-Methode an verschiedenen Beispielen an. (K3)</t>
  </si>
  <si>
    <t>Grundlagen Arbeitsvorbereitung, einfache Beispiele</t>
  </si>
  <si>
    <t>Grundlagen Arbeitsvorbereitung, einfache 
Beispiele</t>
  </si>
  <si>
    <t>2.1.5 Sie berechnen Längen- und Höhenmasse von einfachen Trinkwasserinstallationen. (K3)</t>
  </si>
  <si>
    <t>M-M, Höhenkoten, Bezugspunkt, einfache Beispiele</t>
  </si>
  <si>
    <t>Installieren von Entsorgungsleitungen</t>
  </si>
  <si>
    <t xml:space="preserve">HF3     </t>
  </si>
  <si>
    <t xml:space="preserve">HF4 / HF5       </t>
  </si>
  <si>
    <t>2.4.2 Sie benennen die Grundlagen bezüglich Trinkwasserhygiene (K1).</t>
  </si>
  <si>
    <t>Lebensmittelgesetzgebung, SVGW
 kennenlernen, Trinkwasserqualität (chemische und physikalische
Parameter)</t>
  </si>
  <si>
    <t>2.4.3 Sie beschreiben die wichtigsten Eigenschaften von Wasser. (K2)</t>
  </si>
  <si>
    <t>Chemisch physikalische Eigenheiten von Wasser. Warum steigt warmes Wasser? Aggregatszustände etc.</t>
  </si>
  <si>
    <t>2.4.6 Sie erläutern die Gefahren, die von verschmutztem
         Trinkwasser ausgehen können
         (z.B. durch Schmutzwasserverbindungen). (K2)</t>
  </si>
  <si>
    <t>Evtl. mit Bezug zu W3 / Gefahren von verschmutztem Trinkwasser / Sicherheitsventil etc.</t>
  </si>
  <si>
    <t>3.4.7 Sie beschreiben die unterschiedlichen
         Abwasserarten. (K2)</t>
  </si>
  <si>
    <t>Unterschiedliche Arten, Fachbuch «Abwasserentsorgung»</t>
  </si>
  <si>
    <t>17_LA_HK_3.4
Grundlagen_SN-592000_erarbeiten</t>
  </si>
  <si>
    <t>LA suissetec</t>
  </si>
  <si>
    <t>3.4.8 Sie beschreiben die Unterschiede die
         gebräuchlichen Systeme von Entsorgungsleitungen
         nach Verwendungszweck. (K2)</t>
  </si>
  <si>
    <t>Wichtigste Fachbegriffe, z.B. Fallleitung,
Anschlussleitung etc.</t>
  </si>
  <si>
    <t>Gruppierung, Anwendung öffentlich und / oder privat, Sanitärapparate zuordnen, Anforderungen,Geruchsverschluss Werkstoffe, Spülsysteme WC und Urinalanlagen</t>
  </si>
  <si>
    <t>3.4.10 Sie beschreiben die gebräuchlichen
Entwässerungsgegenstände. (K2)</t>
  </si>
  <si>
    <t>5.1.1 Sie beschreiben die Materialeigenschaften der verschiedenen Apparate, Entnahmearmaturen
und Garnituren. (K2)</t>
  </si>
  <si>
    <t>LA Materialeigenschaften, Werkstoffe erkennen mit «Werkstoff-Parcours» im Schulhaus, im Ausbildungsbetrieb oder privat</t>
  </si>
  <si>
    <t>03_LA_HK_5.1_
Grundlagen_Materialeigenschaften
Apparate Entnahmearmaturen
Garnituren</t>
  </si>
  <si>
    <t>LA GBS SG</t>
  </si>
  <si>
    <t>1.4.1 Sie erklären anhand eines einfachen Beispiels
den organisatorischen Ablauf bei der Trennung
und Entsorgung von Abfällen gemäss
Abfallverordnung. (K2)</t>
  </si>
  <si>
    <t>Muldenkonzept, ökologische Kriterien zur
Abfallentsorgung, Recycling – Abfalltrennung</t>
  </si>
  <si>
    <t>1.4.2 Sie berechnen das Volumen verschiedener
Behältnisse. (K3)</t>
  </si>
  <si>
    <t>Grundlagen Fachrechnen, Funktion Taschenrechner, SI-Einheiten, Einheitenvorzeichen, Strecken, Flächen,
Volumen</t>
  </si>
  <si>
    <t>Volumen, Masse, Dichte</t>
  </si>
  <si>
    <t>1.4.3 Sie schätzen das Gewicht von verschiedenen
Komponenten ab (z.B. Heizkörper, WCSchüssel,
Lüftungsrohre, Dachrinne) (K3)</t>
  </si>
  <si>
    <t>2.1.1 Sie erstellen genaue und vollständige
Isometrie-Zeichnungen von einfachen
Trinkwasserinstallationen anhand von
Grundriss- und Ansichtsplänen. (K3)</t>
  </si>
  <si>
    <t>Grundlagen Isometrie, perspektivisches Zeichnen,
räumliches Vorstellungsvermögen, einfache Beispiele</t>
  </si>
  <si>
    <t>04_LA_HK_2.1_Grundlagen_
Werkstattplan_Isometrie_Trinkwasserleitungen</t>
  </si>
  <si>
    <t>2.1.4 Sie wenden die Z-Mass-Methode an
verschiedenen Beispielen an. (K3)</t>
  </si>
  <si>
    <t>05_LA_HK_2.1_Z-Mass-Methode_anwenden</t>
  </si>
  <si>
    <t>2.1.5 Sie berechnen Längen- und Höhenmasse von
einfachen Trinkwasserinstallationen. (K3)</t>
  </si>
  <si>
    <t>2.1.6 Sie erstellen anhand von isometrischen
Zeichnungen vollständige Stücklisten von
einfachen Trinkwasserinstallationen. (K3)</t>
  </si>
  <si>
    <t>Einfache Beispiele</t>
  </si>
  <si>
    <t>2.3.1 Sie erstellen einen einfachen Materialauszug
aufgrund einer typischen Baustellensituation.
(K3)</t>
  </si>
  <si>
    <t>Materialauzüge mit einfachen Beispielen erstellen, Evtl. in Kombination mit Rapporten / Regierapporte und «Stückliste» HK 2.1</t>
  </si>
  <si>
    <t>2.3.2 Sie benennen die gebräuchlichen
Installationssysteme und deren Material und
Verwendungszweck. (K1)</t>
  </si>
  <si>
    <t>Materialien und gängige Systeme im Bereich Verteilund Ausstossleitungen. Einsatz der Systeme. Evtl. Arbeit über Systeme im eigenen Betrieb</t>
  </si>
  <si>
    <t>07_LA_HK_2.1_Installationssysteme
_Trinkwasserleitungen</t>
  </si>
  <si>
    <t>Verbindungsarten in Kombination mit Dichtstoffen</t>
  </si>
  <si>
    <t>2.3.4 Sie benennen die Verbindungsmöglichkeiten
der gebräuchlichen Installationssysteme. (K1)</t>
  </si>
  <si>
    <t>2.3.5 Sie erläutern den richtigen Einsatz der
Dichtungsmaterialien bei Trinkwasserleitungen.
(K2)</t>
  </si>
  <si>
    <t>Arten von Dichtstoffen in Kombination mit
Verbindungsmöglichkeiten</t>
  </si>
  <si>
    <t>2.3.7 Sie ordnen die gebräuchlichen Armaturen den
Armaturengruppen korrekt zu. (K1)</t>
  </si>
  <si>
    <t>Armaturen zuordnen in die Gruppen gem. Fachbuch «Kaltwasserversorgung»</t>
  </si>
  <si>
    <t>08_LA_HK_2.3_Armaturen_
Trinkwasserleitungen
gruppieren</t>
  </si>
  <si>
    <t>2.3.8 Sie benennen verschiedene
Rohrbefestigungen. (K1)</t>
  </si>
  <si>
    <t>Baustoffe, Werkstoffe, Schallschutz</t>
  </si>
  <si>
    <t>2.4.1 Sie benennen geeignete Leitungsbefestigungen
und deren Funktion. (K1)</t>
  </si>
  <si>
    <t>Unterschiedliche Arten und Einsatz der Befestigungen, Kombi mit LZ 2.3.8 HK 2.3</t>
  </si>
  <si>
    <t>09_LA_HK_2.3.4_Anforderungen_
Schallschutz</t>
  </si>
  <si>
    <t>2.4.5 Sie erklären den Zweck und die Funktion
verschiedener Armaturen für Trinkwasserleitungen. (K2)</t>
  </si>
  <si>
    <t>Armaturengruppen, Werkstoffe, Bauarten, Funktion</t>
  </si>
  <si>
    <t>2.4.7 Sie erklären die Trinkwassergewinnung.
(K2)</t>
  </si>
  <si>
    <t>Gewinnung Trinkwasser (Grundwasser, Seewasser, Quellen), SVGW kennenlernen, Aufbereitung,Trinkwasserqualität</t>
  </si>
  <si>
    <t>2.4.8 Sie beschreiben die Funktionsweise der
Wasserversorgung. (K2)</t>
  </si>
  <si>
    <t>Trinkwasserverteilung, -speicherung, Verteilleitungen, Armaturen, Hauszuleitung, Hauseinführung</t>
  </si>
  <si>
    <t>3.3.4 Sie beschreiben die verschiedenen Rohrmaterialien
für Entsorgungsleitungen. (K2)</t>
  </si>
  <si>
    <t>Werkstoffeigenschaften, Rohrarten, Einsatzgebiete von schalldämmenden
Rohren</t>
  </si>
  <si>
    <t>13_LA_HK_3.3_Rohrmaterialien_
Verbindungen_Entsorgungsleitungen</t>
  </si>
  <si>
    <t>3.3.5 Sie erläutern die Verbindungsmöglichkeiten
der verschiedenen Installationssysteme. (K2)</t>
  </si>
  <si>
    <t>Unterschiedliche Verbindungsarten bei Abwasserleitungen in Verbindung den Rohrarten und Einsatzgebiete</t>
  </si>
  <si>
    <t>3.4.3 Sie erläutern die Problematik der Ausdehnung
von Entsorgungsleitungen. (K2)</t>
  </si>
  <si>
    <t>Ausdehnung verschiedener Werkstoffe, Unterschiede (Versuche, Demo)</t>
  </si>
  <si>
    <t>3.4.4 Sie beschreiben die Ausdehnung von Entsorgungsleitungen
mit Hilfe von Montagehandbüchern. (K2)</t>
  </si>
  <si>
    <t>Anwendung Montagehandbücher, Lehrmittel</t>
  </si>
  <si>
    <t>3.4.5 Sie bestimmen die geeigneten Massnahmen
gegen Tritt-, Luft- und Körperschall. (K3)</t>
  </si>
  <si>
    <t>Schallschutz, Dämmungen, Entkoppelung</t>
  </si>
  <si>
    <t>3.4.6 Sie beschreiben die relevanten Inhalte der
geltenden Vorschriften in Bezug auf die
Installation von Entsorgungsleitungen. (K2)</t>
  </si>
  <si>
    <t>Grundlagen Anschluss- und Fallleitungen / Fachbuch «Abwasserentsorgung»</t>
  </si>
  <si>
    <t>3.4.9 Sie beschreiben die wichtigsten Materialien
und Werkstoffe, die bei Entsorgungsleitungen
eingesetzt werden. (K2)</t>
  </si>
  <si>
    <t>Fachbuch suissetec, Werkstoffe, Verbindungen, Installationstechnik nach Abwasserart, Befestigung</t>
  </si>
  <si>
    <t>Grundlagen Fachrechnen, Funktion Taschenrechner,SI-Einheiten, Einheitenvorzeichen, Strecken, Flächen,
Volumen</t>
  </si>
  <si>
    <t>Beispiele aus Fachbuch «Arbeitsvorbereitung»
Grundlage 45° Etagierungen rechnen</t>
  </si>
  <si>
    <t>Umfangreichere Beispiele</t>
  </si>
  <si>
    <t>06_LA_HK_2.1_Stueckliste_
Materialauszug_erstellen</t>
  </si>
  <si>
    <t>Materialauzüge mit einfachen Beispielen erstellen. Evtl. in Kombination mit Rapporten / Regierapporten und «Stückliste» HK 2.1</t>
  </si>
  <si>
    <t>2.3.2 Sie benennen die gebräuchlichen Installationssysteme
und deren Material und Verwendungszweck.
(K1)</t>
  </si>
  <si>
    <t>Fokus «Warmwasserversorgung»
Materialien und gängige Systeme im Bereich Verteilund Ausstossleitungen. Einsatz der Systeme Kombi HK 2.4</t>
  </si>
  <si>
    <t>Fokus «Warmwasserversorgung»
Kombi HK 2.4</t>
  </si>
  <si>
    <t>Unterschiedliche Arten und Einsatz der Befestigungen
Fokus «Warmwasserversorgung»</t>
  </si>
  <si>
    <t>2.4.4 Sie beschreiben die verschiedenen
Verteilsysteme für Warmwasser. (K2)</t>
  </si>
  <si>
    <t>Wassererwärmer, Gruppenversorgung, Zentralversorgung, Einzelzapfstellen, Warmhalteband, Zirkulation, Ausstosszeiten</t>
  </si>
  <si>
    <t>Armaturengruppen, Werkstoffe, Bauarten, Funktion Fokus «Warmwasserversorgung»</t>
  </si>
  <si>
    <t>2.4.9 Sie beschreiben die Bedeutung des sparsamen
Trinkwasserverbrauches. (K2)</t>
  </si>
  <si>
    <t>Fokus «Warmwasserversorgung»</t>
  </si>
  <si>
    <t>Arten der Dämmungen, PIR, Mineralwolle, Kautschuk etc. Einsatzgebiete und Anwendungen</t>
  </si>
  <si>
    <t>3.1.1 Sie erstellen genaue und vollständige Isometrie-Zeichnungen von einfachen Entsorgungsinstallationen anhand von Grundriss- und Ansichtsplänen. (K3)</t>
  </si>
  <si>
    <t>Einfache Beispiele aus Fachbuch «Arbeitsvorbereitung» / Dreiecke zeichnen</t>
  </si>
  <si>
    <t>2.4.5 Sie erklären den Zweck und die Funktion verschiedener Armaturen für Trinkwasserleitungen.(K2)</t>
  </si>
  <si>
    <t>2.4.10 Sie beschreiben Massnahmen zur Reduktion des Energie- und Trinkwasserverbrauches in der Haustechnik. (K2)</t>
  </si>
  <si>
    <t>2.5.1 Sie beschreiben Einsatzgebiete, Anwendungen und Eigenschaften der gebräuchlichen Dämmmaterialien für Trinkwasserleitungen. (K2)</t>
  </si>
  <si>
    <t>3.1.4 Sie wenden die x-Mass-Methode an
verschiedenen Beispielen an. (K3)</t>
  </si>
  <si>
    <t>3.1.5 Sie berechnen 45° Dreiecke mit Faktoren. (K3)</t>
  </si>
  <si>
    <t>Einfache Dreiecksberechnungen in Bezug auf AVOR X-Mass Aufgaben</t>
  </si>
  <si>
    <t>3.1.6 Sie berechnen Längen- und Höhenmasse von einfachen Entsorgungsinstallationen. (K3)</t>
  </si>
  <si>
    <t>3.1.7 Sie erstellen anhand von isometrischen Zeichnungen vollständige Stücklisten von einfachen Entsorgungsinstallationen. (K3)</t>
  </si>
  <si>
    <t>Werkstoffeigenschaften, Rohrarten, Einsatzgebiete von schalldämmenden Rohren, Vertiefung vom Inhalt 2.Sem</t>
  </si>
  <si>
    <t>Unterschiedliche Verbindungsarten bei Abwasserleitungen in Verbindung den Rohrarten und Einsatzgebiete. Vertiefung vom Inhalt 2.Sem</t>
  </si>
  <si>
    <t>3.4.2 Sie berechnen das Gefälle von Entsorgungsleitungen
anhand von Beispielen (K3).</t>
  </si>
  <si>
    <t>Minimalgefälle, Gefällsberechnung mit Faktoren, Kombi mit HK 3.1</t>
  </si>
  <si>
    <t>3.4.11 Sie erläutern den Einsatz und die Funktion
einfacher Abwasserhebeanlagen. (K2)</t>
  </si>
  <si>
    <t>Rückstauebene, unterschiedliche Anlagen einfach beschreiben, evtl. Sicherheitsregeln zum Einbau und Unterhalt.</t>
  </si>
  <si>
    <t>3.4.12 Sie beschreiben die Funktionsweise der
Abwasserentsorgung. (K2)</t>
  </si>
  <si>
    <t>Grundstückentwässerung, (Funktion, Möglichkeiten), Versickerung (Prioritäten, Möglichkeiten), Kanalisation,Funktion Abwasserreinigungsanlage, künstlicher
Wasserkreislauf</t>
  </si>
  <si>
    <t>Aufgaben von Dämmmaterialien, Körperschall,Kondenswasser, Arten etc.</t>
  </si>
  <si>
    <t>3.5.1 Sie beschreiben Einsatzgebiete, Anwendungen und Eigenschaften der gebräuchlichen Dämmmaterialien für Entsorgungsleitungen. (K2)</t>
  </si>
  <si>
    <t>4.1.1 Sie beschreiben die handelsüblichen Vorwandsysteme. (K2)</t>
  </si>
  <si>
    <t>Montagehandbücher Hersteller / Systemanbieter</t>
  </si>
  <si>
    <t>4.1.5 Sie erläutern die Befestigungstechnik und Schallschutzmassnahmen bei einfachen Vorwänden. (K2)</t>
  </si>
  <si>
    <t>Befestigungstechnik und Vorfabrikation in
Kombination mit Schallschutz</t>
  </si>
  <si>
    <t>4.2.4 Sie erklären, wie und mit welchen Materialien
einfache Vorwände beplankt werden. (K2)</t>
  </si>
  <si>
    <t>Feuchtigkeitsschutz, Massnahmen bei Anschlüssen</t>
  </si>
  <si>
    <t>5.2.1 Sie benennen gebräuchliche Apparate, Entnahmearmaturen und Garnituren sowie deren Bestandteile. (K1)</t>
  </si>
  <si>
    <t>suissetec-Fachbuch, Gruppierung, Anwendung öffentlich und / oder privat, Sanitärapparate zuordnen, Werkstoffe</t>
  </si>
  <si>
    <t>5.2.2 Sie beschreiben Mass-Skizzen und Detailpläne anhand von Beispielen. (K2)</t>
  </si>
  <si>
    <t>Massskizzen, Platzbedarf, Achsabstände und Montagehöhen von Apparaten und den zugehörigen Garnituren, einfache Beispiele</t>
  </si>
  <si>
    <t>5.2.3 Sie beschreiben die Material-Eigenschaften von Apparaten (z.B. Keramik, Kunststoff). (K2)</t>
  </si>
  <si>
    <t>LA Materialeigenschaften, Fachbegriffe nennen mit «Sanitär-Parcours» im Schulhaus, im Ausbildungsbetrieb
oder privat</t>
  </si>
  <si>
    <t>Bauablauf, Entstehung eines Gebäudes</t>
  </si>
  <si>
    <t>1.1.3 Sie erläutern einen Auftrag aus ihrem Betrieb mit den korrekten Fachbegriffen. (K2)</t>
  </si>
  <si>
    <t>Fachbegriffe, Praxisbeispiele, Aufträge 
(Arbeitssituation)</t>
  </si>
  <si>
    <t>1.1.5 Sie organisieren sich anhand eines
Beispielauftrags im Team. (K3)</t>
  </si>
  <si>
    <t>Absprachen, Schnittstellen und Koordination
im Team</t>
  </si>
  <si>
    <t>Terminprogramm, Zeiteinteilung</t>
  </si>
  <si>
    <t>1.1.6 Sie bestimmen die Montagezeit aufgrund von einfachen Beispielen. (K3)</t>
  </si>
  <si>
    <t>1.2.5 Sie beschreiben, bei welchen Situationen und
Tätigkeiten eine entsprechende PSA getragen
werden muss. (K2)</t>
  </si>
  <si>
    <t>1.2.8 Sie erläutern die Gefahren und Risiken auf der Baustelle und in der Werkstatt (z.B. Strombezug für die verschiedenen Maschinen, Lagerung von Gas, Asbest, Gerüstbau,Brandschutz, Gasinstallationen). (K2)</t>
  </si>
  <si>
    <t>Arbeitssicherheit PSA, PSAgA, 
SUVA-Merkblätter</t>
  </si>
  <si>
    <t>Grundlagen Fachrechnen, Funktion 
Taschenrechner,SI-Einheiten, 
Einheitenvorzeichen, Strecken, Flächen, Volumen</t>
  </si>
  <si>
    <t>1.4.6 Sie zählen die Gefahren von Sonderabfällen
(z.B. Asbest, Kältemittel, Chemikalien) auf. (K1)</t>
  </si>
  <si>
    <t>1.4.7 Sie ordnen die verschiedenen
Gefahrensymbole korrekt zu. (K2)</t>
  </si>
  <si>
    <t>Säuren, Laugen, Gifte, pH-Wert, 
GHS-Gefahrensymbole</t>
  </si>
  <si>
    <t>Vertiefung / Vernetzung</t>
  </si>
  <si>
    <t>Gruppenversorgung, Zentralversorgung, Einzelzapfstellen, Warmhalte- band, 
Zirkulation, Ausstosszeiten</t>
  </si>
  <si>
    <t>2.4.5 Sie erklären den Zweck und die Funktion
verschiedener Armaturen für Trinkwasserleitungen.
(K2)</t>
  </si>
  <si>
    <t>Funktion</t>
  </si>
  <si>
    <t>Nachhaltigkeit / Klimaerwärmung /</t>
  </si>
  <si>
    <t>2.4.10 Sie beschreiben Massnahmen zur Reduktion
des Energie- und Trinkwasserverbrauches in
der Haustechnik. (K2)</t>
  </si>
  <si>
    <t>Wassersparmassnahmen, Nachhaltigkeit</t>
  </si>
  <si>
    <t>Vorbereitung «LAP»</t>
  </si>
  <si>
    <t>Vertiefung / Vorbereitung "LAP"</t>
  </si>
  <si>
    <t>3.4.4 Sie beschreiben die Ausdehnung von Entsorgungsleitungen
mit Hilfe von Montagehandbüchern.
(K2)</t>
  </si>
  <si>
    <t>3.4.7 Sie beschreiben die unterschiedlichen
Abwasserarten. (K2)</t>
  </si>
  <si>
    <t>3.4.8 Sie beschreiben die Unterschiede die
gebräuchlichen Systeme von Entsorgungsleitungen
nach Verwendungszweck. (K2)</t>
  </si>
  <si>
    <t>3.4.9 Sie beschreiben die wichtigsten Materialen
und Werkstoffe, die bei Entsorgungsleitungen
eingesetzt werden. (K2)</t>
  </si>
  <si>
    <t>Vertiefung / Vorbereitung «LAP»</t>
  </si>
  <si>
    <t>Rückstauebene, unterschiedliche Anlagen einfach Beschreiben, evtl. Sicherheitsregeln zum Einbau und
Unterhalt</t>
  </si>
  <si>
    <t>3.4.13 Sie beschreiben die Anwendungsmöglichkeiten
von Regen- und Grauwasseranlagen.
(K2)</t>
  </si>
  <si>
    <t>Regenwassernutzungsanlagen</t>
  </si>
  <si>
    <t>3.5.1 Sie beschreiben Einsatzgebiete, Anwendungen
und Eigenschaften der gebräuchlichen Dämmmaterialien
für Entsorgungsleitungen. (K2)</t>
  </si>
  <si>
    <t>LA Materialeigenschaften, Fachbegriffe nennen mit «Sanitär-Parcours» im Schulhaus, im Ausbildungsbetrieb oder privat</t>
  </si>
  <si>
    <t>Leistungsziele Spengler-Sanitärpraktiker 1.- 4.Semester</t>
  </si>
  <si>
    <t>V</t>
  </si>
  <si>
    <t>G/V</t>
  </si>
  <si>
    <t>G</t>
  </si>
  <si>
    <r>
      <rPr>
        <b/>
        <sz val="11"/>
        <color theme="1"/>
        <rFont val="Calibri"/>
        <family val="2"/>
        <scheme val="minor"/>
      </rPr>
      <t xml:space="preserve">Berufsfachschule:
G = </t>
    </r>
    <r>
      <rPr>
        <sz val="11"/>
        <color theme="1"/>
        <rFont val="Calibri"/>
        <family val="2"/>
        <scheme val="minor"/>
      </rPr>
      <t>Grundlagen</t>
    </r>
    <r>
      <rPr>
        <b/>
        <sz val="11"/>
        <color theme="1"/>
        <rFont val="Calibri"/>
        <family val="2"/>
        <scheme val="minor"/>
      </rPr>
      <t xml:space="preserve">
V= </t>
    </r>
    <r>
      <rPr>
        <sz val="11"/>
        <color theme="1"/>
        <rFont val="Calibri"/>
        <family val="2"/>
        <scheme val="minor"/>
      </rPr>
      <t>Vertiefung</t>
    </r>
    <r>
      <rPr>
        <b/>
        <sz val="11"/>
        <color theme="1"/>
        <rFont val="Calibri"/>
        <family val="2"/>
        <scheme val="minor"/>
      </rPr>
      <t xml:space="preserve">
Vn= </t>
    </r>
    <r>
      <rPr>
        <sz val="11"/>
        <color theme="1"/>
        <rFont val="Calibri"/>
        <family val="2"/>
        <scheme val="minor"/>
      </rPr>
      <t>Vernetzung</t>
    </r>
  </si>
  <si>
    <r>
      <rPr>
        <b/>
        <sz val="11"/>
        <color theme="1"/>
        <rFont val="Calibri"/>
        <family val="2"/>
        <scheme val="minor"/>
      </rPr>
      <t>Handlungskompetenz 1.4: Abfälle trennen und entsorgen (10 Lektionen) 3. Semester</t>
    </r>
    <r>
      <rPr>
        <sz val="11"/>
        <color theme="1"/>
        <rFont val="Calibri"/>
        <family val="2"/>
        <scheme val="minor"/>
      </rPr>
      <t xml:space="preserve">
Sanitärpraktikerinnen und Sanitärpraktiker EBA trennen und entsorgen die Abfälle auf der Baustelle und in der Werkstatt fachgerecht.
Sie informieren sich bei der Montage- oder Projektleitung über den Ablauf und den Standort der Abfallentsorgung. Bei Verdacht auf Asbest oder andere Gefahrengüter
(z.B. Entkalkungsmittel, Ablaufreiniger) unterbrechen sie die Entsorgung und weisen die Bauleitung auf diese Gefahrengüter hin. Sie informieren die zuständige Person,
wenn Mulden oder Behältnisse ausgewechselt werden müssen.</t>
    </r>
  </si>
  <si>
    <r>
      <rPr>
        <b/>
        <sz val="11"/>
        <color theme="1"/>
        <rFont val="Calibri"/>
        <family val="2"/>
        <scheme val="minor"/>
      </rPr>
      <t>Handlungskompetenz 2.1: Werkstattplan für einfache Trinkwasserinstallationen erstellen (10 Lektionen) 3. Semester</t>
    </r>
    <r>
      <rPr>
        <sz val="11"/>
        <color theme="1"/>
        <rFont val="Calibri"/>
        <family val="2"/>
        <scheme val="minor"/>
      </rPr>
      <t xml:space="preserve">
Sanitärpraktikerinnen und Sanitärpraktiker EBA erstellen einen Werkstattplan für einfache Trinkwasserinstallationen fachgerecht. In diesem werden die geplanten
Leitungen zeichnerisch dargestellt und die benötigten Materialien und Mengen bestimmt.
Grundriss- und Ansichtsplan dienen als Grundlage, um für eine einfache Trinkwasserinstallation einen Werkstattplan zu erstellen. Sie zeichnen die vorgesehene einfache
Trinkwasserinstallation in isometrischer Darstellung auf, messen benötigte Längen aus, tragen die Werte in der Zeichnung ein und beschriften diese korrekt. Sie achten
dabei auf eine genaue Vorgehensweise und eine saubere Darstellung.
In einem nächsten Schritt berechnen sie die benötigten Rohrlängen. Dazu wenden sie die Z-Mass-Methode an. Sie setzen die zur Verfügung stehenden Hilfsmittel wie
Taschenrechner, Z-Mass-Tabellen oder entsprechende digitale Hilfsmittel gezielt ein. Die errechneten Rohrlängen und Mengen stellen sie in einer Stückliste zusammen.</t>
    </r>
  </si>
  <si>
    <r>
      <t>H</t>
    </r>
    <r>
      <rPr>
        <b/>
        <sz val="11"/>
        <color theme="1"/>
        <rFont val="Calibri"/>
        <family val="2"/>
        <scheme val="minor"/>
      </rPr>
      <t>andlungskompetenz 2.4: Trinkwasserleitungen nach Absprache montieren (15 Lektionen) 3. Semester</t>
    </r>
    <r>
      <rPr>
        <sz val="11"/>
        <color theme="1"/>
        <rFont val="Calibri"/>
        <family val="2"/>
        <scheme val="minor"/>
      </rPr>
      <t xml:space="preserve">
Sanitärpraktikerinnen und Sanitärpraktiker EBA montieren vorfabrizierte Trinkwasserleitungen fachgerecht. Trinkwasserleitungen werden im Um- und Neubau verlegt.
Sie führen vom Hausanschluss zur Verteilbatterie und von dort über Verteil- und Steigleitungen zu den einzelnen Entnahmestellen im Haus.
Vor Ort kontrollieren sie, ob das benötigte Material und Werkzeug für die Installation vollständig vorhanden sind. Sie montieren die Befestigungen nach Absprache. Sie
berücksichtigen dabei den Befestigungstyp und den Schallschutz. Anschliessend befestigen sie die Leitungsteile an Wand oder Decke. Dabei setzen sie verschiedene
Werkzeuge und Maschinen fachgerecht ein. Sie halten sich bei allen Arbeitsschritten genau an den vorgegebenen Auftrag. Besonders wichtig ist eine genaue, zuverlässige
und rationelle Arbeitsweise.</t>
    </r>
  </si>
  <si>
    <r>
      <rPr>
        <b/>
        <sz val="11"/>
        <color theme="1"/>
        <rFont val="Calibri"/>
        <family val="2"/>
        <scheme val="minor"/>
      </rPr>
      <t>Handlungskompetenz 2.5: Trinkwasserleitungen, Formstücke und Armaturen nach Absprache dämmen (5 Lektionen) 3. Semester</t>
    </r>
    <r>
      <rPr>
        <sz val="11"/>
        <color theme="1"/>
        <rFont val="Calibri"/>
        <family val="2"/>
        <scheme val="minor"/>
      </rPr>
      <t xml:space="preserve">
Sanitärpraktikerinnen und Sanitärpraktiker EBA dämmen Trinkwasserleitungen, Formstücke und Armaturen fachgerecht. Damit schützen sie diese vor Temperaturverlust,
Kondenswasserbildung, Korrosion sowie vor Schallübertragung. Leitungsdurchführungen in Wänden oder Böden müssen je nach Brandgefahr speziell gedämmt werden.
Zunächst stellen sie nach Absprache das benötigte Material bereit, wie z.B. Dämmmaterial, Ummantelung, Klebstoff usw.
In einem weiteren Schritt schneiden sie das Dämmmaterial auf die passende Grösse zu und montieren es nach Absprache an Leitungen und Armaturen. Ebenfalls schneiden
sie einfache Formstücke zu und montieren diese nach Absprache. Sie halten sich dabei an die betrieblichen Vorgaben und an den Auftrag.
Bei Arbeiten mit ätzenden Stoffen und Klebstoffen wenden sie Massnahmen gemäss den Sicherheitsvorschriften an, z.B. Lüften oder die Verwendung von Handschuhen
und Augenschutz.</t>
    </r>
  </si>
  <si>
    <r>
      <rPr>
        <b/>
        <sz val="11"/>
        <color theme="1"/>
        <rFont val="Calibri"/>
        <family val="2"/>
        <scheme val="minor"/>
      </rPr>
      <t>Handlungskompetenz 3.1: Werkstattplan für einfache Entsorgungsinstallationen erstellen (20 Lektionen) 3. Semester</t>
    </r>
    <r>
      <rPr>
        <sz val="11"/>
        <color theme="1"/>
        <rFont val="Calibri"/>
        <family val="2"/>
        <scheme val="minor"/>
      </rPr>
      <t xml:space="preserve">
Sanitärpraktikerinnen und Sanitärpraktiker EBA erstellen einen Werkstattplan für einfache Entsorgungsinstallationen. In diesem werden die geplanten Leitungen
zeichnerisch dargestellt und die benötigten Materialien und Mengen bestimmt.
Grundriss- und Ansichtsplan dienen ihnen als Grundlage, um für eine einfache Entsorgungsinstallation einen Werkstattplan zu erstellen. Sie zeichnen die vorgesehene
Entsorgungsinstallation in isometrischer Darstellung auf, messen benötigte Längen aus, tragen die Werte in der Zeichnung ein und beschriften diese korrekt. Sie achten
dabei auf eine genaue Vorgehensweise und eine saubere Darstellung.
In einem nächsten Schritt berechnen sie die benötigten Rohrlängen. Dazu wenden sie die x-Mass-Methode an. Sie setzen die zur Verfügung stehenden Hilfsmittel wie
Taschenrechner, x-Mass-Tabellen oder entsprechende digitale Hilfsmittel gezielt ein. Die errechneten Rohrlängen und Mengen stellen sie in einer Stückliste zusammen.</t>
    </r>
  </si>
  <si>
    <r>
      <rPr>
        <b/>
        <sz val="11"/>
        <color theme="1"/>
        <rFont val="Calibri"/>
        <family val="2"/>
        <scheme val="minor"/>
      </rPr>
      <t>Handlungskompetenz 3.3: Entsorgungsleitungen gemäss Werkstattplan vorfabrizieren (5 Lektionen) 3. Semester</t>
    </r>
    <r>
      <rPr>
        <sz val="11"/>
        <color theme="1"/>
        <rFont val="Calibri"/>
        <family val="2"/>
        <scheme val="minor"/>
      </rPr>
      <t xml:space="preserve">
Sanitärpraktikerinnen und Sanitärpraktiker EBA fabrizieren Entsorgungsleitungen gemäss Werkstattplan vor. Diese Arbeit wird in der Werkstatt oder bei Grossobjekten
in der Bauwerkstatt ausgeführt.Anhand der Werkstattpläne stellen sie zunächst das benötigte Material bereit. Anschliessend schneiden sie die Rohre auf die ausgerechneten oder vorgegebenen Längen
zu. Sie halten sich dabei an die Vorgaben des Werkstattplans. Sie achten darauf, dass sie rationell, präzise und massgenau arbeiten. Sie verbinden Rohre und Formstücke
mit geeigneten Verbindungstechniken (z.B. Spiegelschweissstellen, Steckmuffen). Häufig arbeiten sie dabei nach Anleitung.Nebst den Leitungen fabrizieren Sanitärpraktikerinnen und Sanitärpraktiker EBA auch Befestigungssysteme vor. Die Anforderungen (z.B. Dimension, Material, Qualität) entnehmen sie dem Auftrag oder dem Werkstattplan sowie den Herstellerangaben. Sie setzen geeignete Arbeitstechniken ein wie Stecken, Schweissen oder Kuppeln. Schliesslich verladen sie die vorfabrizierten Entsorgungsleitungen und Befestigungen sowie das notwendige Montagewerkzeug auf das Fahrzeug. Sie arbeiten sorgfältig
und sichern die Ladung im Team gemäss den Vorschriften der Strassenverkehrsordnung. Ausserdem schützen sie die Ladung mit geeigneten Massnahmen vor Witterungseinflüssen und Verunreinigungen.</t>
    </r>
  </si>
  <si>
    <r>
      <rPr>
        <b/>
        <sz val="11"/>
        <color theme="1"/>
        <rFont val="Calibri"/>
        <family val="2"/>
        <scheme val="minor"/>
      </rPr>
      <t>Handlungskompetenz 3.5: Entsorgungsleitungen nach Absprache dämmen (5 Lektionen) 3. Semester</t>
    </r>
    <r>
      <rPr>
        <sz val="11"/>
        <color theme="1"/>
        <rFont val="Calibri"/>
        <family val="2"/>
        <scheme val="minor"/>
      </rPr>
      <t xml:space="preserve">
Sanitärpraktikerinnen und Sanitärpraktiker EBA dämmen Entsorgungsleitungen. Damit schützen sie diese vor Kondenswasserbildung, Korrosion sowie vor Schallübertragung. Leitungsdurchführungen in Wänden oder Böden müssen je nach Brandgefahr speziell gedämmt werden. Zunächst stellen sie nach Absprache das benötigte Material bereit, wie z.B. Dämmmaterial, Ummantelung und Klebstoff.
In einem weiteren Schritt schneiden sie das Dämmmaterial auf die passende Grösse zu und montieren es nach Absprache an Leitungen und Armaturen. Ebenfalls schneiden sie einfache Formstücke zu und montieren diese. Sie halten sich dabei an die betrieblichen Vorgaben und an den Auftrag. Bei Arbeiten mit ätzenden Stoffen und Klebstoffen wenden sie Massnahmen gemäss den Sicherheitsvorschriften an, z.B. Lüften oder die Verwendung von Handschuhen und Augenschutz.</t>
    </r>
  </si>
  <si>
    <r>
      <rPr>
        <b/>
        <sz val="11"/>
        <color theme="1"/>
        <rFont val="Calibri"/>
        <family val="2"/>
        <scheme val="minor"/>
      </rPr>
      <t>Handlungskompetenz 3.4: Entsorgungsleitungen nach Absprache montieren (5 Lektionen) 3. Semester</t>
    </r>
    <r>
      <rPr>
        <sz val="11"/>
        <color theme="1"/>
        <rFont val="Calibri"/>
        <family val="2"/>
        <scheme val="minor"/>
      </rPr>
      <t xml:space="preserve">
Sanitärpraktikerinnen und Sanitärpraktiker EBA montieren vorfabrizierte Entsorgungsleitungen (dazu gehören: Regenwasserleitungen, Schmutzwasserleitungen,
Grundleitungen und Entlüftungsleitungen) fachgerecht. Entsorgungsleitungen werden im Um- und Neubau verlegt. Sie führen von den einzelnen Entwässerungsgegenständen
über Anschluss-, Fall-, Sammel- und Grundleitung zur öffentlichen Kanalisation. Vor Ort kontrollieren sie, ob das benötigte Material und Werkzeug für die Installation vollständig vorhanden sind. Weiter überprüfen sie, ob das Gefälle der vorgesehenen Entsorgungsleitungen gegeben ist. Sie montieren die Befestigungen nach Absprache. Sie berücksichtigen dabei den Befestigungstyp und den Schallschutz. Anschliessend befestigen sie die Entsorgungsleitungsteile an Wand oder Decke. Nach dem die Entsorgungsleitung durch eine vorgesetzte Person abgedichtet wurden, spülen sie die Entsorgungsleitungen durch.
Bei allen Arbeitsschritten halten sie sich an den vorgegebenen Auftrag. Besonders wichtig ist eine genaue, zuverlässige und rationelle Arbeitsweise.</t>
    </r>
  </si>
  <si>
    <r>
      <rPr>
        <b/>
        <sz val="11"/>
        <color theme="1"/>
        <rFont val="Calibri"/>
        <family val="2"/>
        <scheme val="minor"/>
      </rPr>
      <t>Handlungskompetenz 4.1: Einfache Vorwände vorfabrizieren (5 Lektionen) 3. Semster</t>
    </r>
    <r>
      <rPr>
        <sz val="11"/>
        <color theme="1"/>
        <rFont val="Calibri"/>
        <family val="2"/>
        <scheme val="minor"/>
      </rPr>
      <t xml:space="preserve">
Sanitärpraktikerinnen und Sanitärpraktiker EBA fabrizieren in der Werkstatt einfache Vorwände vor. Zunächst schneiden sie anhand des Werkstattplans Vorwandprofile auf die vorgegebenen Längen zu. Sie achten darauf, dass sie rationell, präzise und massgenau arbeiten. Mit den zugeschnittenen Profilen, Installationselementen und Montageplatten bauen sie die Vorwand zusammen. Je nach Vorwandsystem setzen sie verschiedene Arbeitstechniken ein. Bei Bedarf bestücken sie die vorfabrizierten Vorwände mit Leitungen gemäss den Werkstattplänen. Schliesslich verladen sie im Team die vorfabrizierten Vorwände sowie das notwendige Montagewerkzeug auf das Fahrzeug. Sie arbeiten sorgfältig und sichern die Ladung gemäss den Vorschriften der Strassenverkehrsordnung. Ausserdem schützen sie die Ladung mit geeigneten Massnahmen vor Witterungseinflüssen.</t>
    </r>
  </si>
  <si>
    <r>
      <rPr>
        <b/>
        <sz val="11"/>
        <color theme="1"/>
        <rFont val="Calibri"/>
        <family val="2"/>
        <scheme val="minor"/>
      </rPr>
      <t>Handlungskompetenz 4.2: Einfache Vorwände nach Absprache montieren (5 Lektionen) 3. Semester</t>
    </r>
    <r>
      <rPr>
        <sz val="11"/>
        <color theme="1"/>
        <rFont val="Calibri"/>
        <family val="2"/>
        <scheme val="minor"/>
      </rPr>
      <t xml:space="preserve">
Sanitärpraktikerinnen und Sanitärpraktiker EBA montieren einfache Vorwände, teilweise mit Verrohrung, in Um- und Neubauten. Vor Ort kontrollieren sie zunächst, ob das benötigte Material und Werkzeug für die Montage der Vorwand vollständig vorhanden sind. Als Grundlage dienen ihnen Werkstattpläne. In einem nächsten Schritt markieren und bohren sie die Befestigungspunkte. Sie halten sich dabei an den Auftrag sowie an Absprachen mit der vorgesetzten Person. Ausserdem berücksichtigen sie die Montagevorschriften des Vorwandsystems. Danach montieren sie die Vorwandteile. 
Dabei setzen sie verschiedene Werkzeuge und Maschinen ein (z.B. Bohrmaschine, Bandsäge, Profitrenner). Weiter unterstützen sie das Montageteam beim Beplanken der Vorwände, das heisst, sie verkleiden die Vorwände mit geeigneten Materialien. Schliesslich übergeben sie die montierten Vorwände der vorgesetzten Person zur Abnahme. Dabei achten sie auf eine klare Kommunikation. Besonders wichtig ist bei allen Arbeitsschritten eine genaue, zuverlässige und rationelle Arbeitsweise.</t>
    </r>
  </si>
  <si>
    <r>
      <rPr>
        <b/>
        <sz val="11"/>
        <color theme="1"/>
        <rFont val="Calibri"/>
        <family val="2"/>
        <scheme val="minor"/>
      </rPr>
      <t>Handlungskompetenz 5.2: Einfache Apparate, Entnahmearmaturen und Garnituren nach Absprache montieren (5 Lektionen) 3. Semester</t>
    </r>
    <r>
      <rPr>
        <sz val="11"/>
        <color theme="1"/>
        <rFont val="Calibri"/>
        <family val="2"/>
        <scheme val="minor"/>
      </rPr>
      <t xml:space="preserve">
Sanitärpraktikerinnen und Sanitärpraktiker EBA montieren Apparate, Entnahmearmaturen und Garnituren fachgerecht.
Am Montageort verteilen sie die Apparate, Entnahmearmaturen und Garnituren nach Absprache. Bei grösseren Lieferungen arbeiten sie dabei im Team. Sie achten
darauf, dass sie geeignete Hebe- und Tragetechniken anwenden, um Gesundheitsschäden vorzubeugen. Sie bohren die benötigten Löcher, schrauben die Apparate fest
und dichten sie ab. In einem weiteren Schritt montieren sie die Entnahmearmaturen. Sie achten auf eine genaue und sorgfältige Arbeitsweise. Die Platzierung der
Garnituren (z.B. Glashalter, Rollenhalter, Badetuchstange) werden durch die vorgesetzte Person bestimmt. Während des gesamten Arbeitsablaufs sprechen sie sich im
Team resp. mit der vorgesetzten Person ab.
Nach der Montage kontrollieren sie die Apparate und Entnahmearmaturen auf Dichtheit. Falls nötig reinigen sie alle Teile und nehmen sie in Betrieb.
Die montierten Apparate schützen sie mit geeigneten Massnahmen vor Beschädigungen und Verschmutzungen.</t>
    </r>
  </si>
  <si>
    <t>3.Semester_Leistungsziele Sanitärpraktiker EBA</t>
  </si>
  <si>
    <t>Grundlagen Fachrechnen, Funktion Taschenrechner,SI-Einheiten, Einheitenvorzeichen, Strecken, Flächen, Volumen</t>
  </si>
  <si>
    <r>
      <rPr>
        <b/>
        <sz val="11"/>
        <color theme="1"/>
        <rFont val="Calibri"/>
        <family val="2"/>
        <scheme val="minor"/>
      </rPr>
      <t>Handlungskompetenz 2.3: Trinkwasserleitungen gemäss Werkstattplan vorfabrizieren (10 Lektionen) 3. Semester</t>
    </r>
    <r>
      <rPr>
        <sz val="11"/>
        <color theme="1"/>
        <rFont val="Calibri"/>
        <family val="2"/>
        <scheme val="minor"/>
      </rPr>
      <t xml:space="preserve">
Sanitärpraktikerinnen und Sanitärpraktiker EBA fabrizieren Trinkwasserleitungen gemäss Werkstattplan vor. Diese Arbeit wird in der Werkstatt oder bei Grossobjekten in der Bauwerkstatt ausgeführt.
Anhand der vorgegebenen Werkstattpläne stellen sie zunächst das benötigte Material bereit. Anschliessend schneiden sie die Rohre auf die ausgerechneten oder vorgegebenen Längen zu. Sie halten sich dabei an die Vorgaben des Werkstattplans. Sie achten darauf, dass sie rationell, präzise und massgenau arbeiten. Bei Bedarf stellen sie auch spezielle Leitungsteile wie Bogen, Etagen, Befestigungshilfen usw. her. Dazu setzen sie verschiedene Arbeitstechniken ein (z.B. Leitungen von Hand oder mit Maschinen biegen). Sanitärpraktikerinnen und Sanitärpraktiker EBA bauen nach Absprache auch Armaturengruppen zusammen (z.B. eine Verteilbatterie) und bereiten Befestigungen vor. Die Anforderungen (z.B. Dimension, Material, Qualität) entnehmen sie dem Werkstattplan. Je nach Leitungssystem und Verbindungsart setzen sie verschiedene
Arbeitstechniken ein. Schliesslich verladen sie die vorfabrizierten Leitungen, Armaturen und Befestigungen sowie das notwendige Montagewerkzeug auf das Fahrzeug. Sie arbeiten dabei im
Team und sichern die Ladung gemäss den Vorschriften der Strassenverkehrsordnung. Ausserdem schützen sie die Ladung mit geeigneten Massnahmen vor
Witterungseinflüssen und Verunreinigungen.</t>
    </r>
  </si>
  <si>
    <t>3.6/Auftrag 5</t>
  </si>
  <si>
    <t>2.4+3.6</t>
  </si>
  <si>
    <t>2.4 + 
3.9 Auftrag 3</t>
  </si>
  <si>
    <t>2.2
3.11</t>
  </si>
  <si>
    <t>4.2+3.3+5.3</t>
  </si>
  <si>
    <t>1.6+2.6+2.7 
(evtl.Anfang 5.7)</t>
  </si>
  <si>
    <t>1.6+1.8</t>
  </si>
  <si>
    <t>3.1 x-Mass-Methode anwenden</t>
  </si>
  <si>
    <t>3.1 Hilfsdreiecke Dreiecksberechnungen</t>
  </si>
  <si>
    <t>LA+2.1+Vertiefung+Werkstattplan+ Trinkwasserinstallationen</t>
  </si>
  <si>
    <t>3 Schultage (10L)</t>
  </si>
  <si>
    <t>3.1   |  3.2</t>
  </si>
  <si>
    <t>4 Schultage (10L)</t>
  </si>
  <si>
    <t>Installieren von Versorgungslei
tungen
Trinkwasser</t>
  </si>
  <si>
    <t>2.1.1 Sie erstellen selbstständig anspruchsvolle Z-Mass Vorfabrikationszeichnungen inkl. Rohrlängen und Stückliste.(K3)</t>
  </si>
  <si>
    <t>2.1.4 Sie wenden die 
Z-Mass-Methode an
verschiedenen Beispielen an. (K3)</t>
  </si>
  <si>
    <t>2.1.5 Sie berechnen Längen- und Höhen-masse von TW-Installationen. (K3)</t>
  </si>
  <si>
    <t>2.1.6 Sie erstellen anhand von isometrischen Zeich-nungen vollständige Stklisten von einfachen TW-installationen. (K3)</t>
  </si>
  <si>
    <t xml:space="preserve">1.4.2 Sie berechnen das Volumen verschiedener
Behältnisse. (K3)
</t>
  </si>
  <si>
    <t>1.4.1 Sie können Abfälle unterscheiden 
und fachgerecht trennen und entsorgen
(K3)</t>
  </si>
  <si>
    <t>2.3.1 Sie erstellen einen einfachen Materialauszug
aufgrund einer typischen Baustellensitu-ation.
(K3)</t>
  </si>
  <si>
    <t>5 Schultage (10L)</t>
  </si>
  <si>
    <t>2.4.5 Sie erklären den Zweck und die Funktion verschiedener Armaturen für Trinkwasserleitungen.
(K2)</t>
  </si>
  <si>
    <t xml:space="preserve">2.4.9 Sie beschreiben dieBedeutung des sparsamen
Trinkwasserverbrauches. </t>
  </si>
  <si>
    <t>5 Schultage (15L)</t>
  </si>
  <si>
    <t>3.1.7 Sie erstellen anhand
 von isometrischen Zeichnungen vollständige Stücklisten von einfachen Entsorgungsinstallationen. (K3)</t>
  </si>
  <si>
    <t>3.3.5 Sie erläutern die 
Verbindungsmöglichkeiten
der verschiedenen 
Installationssysteme. (K2)</t>
  </si>
  <si>
    <t>4Schultage (10L)</t>
  </si>
  <si>
    <t>3.5.1 Sie beschreiben 
Einsatzgebiete, Anwendungen 
und Eigenschaften 
der gebräuchlichen 
Dämmmaterialien für 
Entsorgungsleitungen. (K2)</t>
  </si>
  <si>
    <t>Auftrag3.5</t>
  </si>
  <si>
    <t>2 Schultage (10L)</t>
  </si>
  <si>
    <t>2Schultage(10L)</t>
  </si>
  <si>
    <t xml:space="preserve">3 Schultage (10L) </t>
  </si>
  <si>
    <t xml:space="preserve">2 Schultage (5L) </t>
  </si>
  <si>
    <t>3.4  |  3.2</t>
  </si>
  <si>
    <t>3.4  |  3.3</t>
  </si>
  <si>
    <t>3.5  |  3.3</t>
  </si>
  <si>
    <t>3.5  |  3.6</t>
  </si>
  <si>
    <t>3.7  |  3.6</t>
  </si>
  <si>
    <t>3.8  |  3.6</t>
  </si>
  <si>
    <t xml:space="preserve">7 Schultage (20L) </t>
  </si>
  <si>
    <t>3.8  |  3.9</t>
  </si>
  <si>
    <t>Volumenberechnung</t>
  </si>
  <si>
    <t>Arbeitsvorbereitung Z-Mass</t>
  </si>
  <si>
    <t>Warmwasser &amp; Leitungsbefestigung</t>
  </si>
  <si>
    <t>Rohrmaterialien und Armaturen TW</t>
  </si>
  <si>
    <t>Materialauszug von Trinkwasserleitungen</t>
  </si>
  <si>
    <t>Rohrbefestigungen von Trinkwasserleitungen</t>
  </si>
  <si>
    <t>Dämmungen Ver- und Entsorgungsleitungen</t>
  </si>
  <si>
    <t>Arbeitsvorbereitung X-Mass</t>
  </si>
  <si>
    <t>Rohrmaterialien Entsorgungsleitungen</t>
  </si>
  <si>
    <t>Verbindungen &amp; Richtlinien Entsorg.Leitungen</t>
  </si>
  <si>
    <t>Gefällsberechnungen Entsorgungsleitungen</t>
  </si>
  <si>
    <t>Funktionsweise Abwasserentsorgung</t>
  </si>
  <si>
    <t>Vorwandsysteme</t>
  </si>
  <si>
    <t>Apparate, Entnahmearmaturen &amp; Garnituren</t>
  </si>
  <si>
    <t>Zeugnisbesprechung</t>
  </si>
  <si>
    <t xml:space="preserve">Abschluss &amp; </t>
  </si>
  <si>
    <t>TAR</t>
  </si>
  <si>
    <t>Lernaufträge</t>
  </si>
  <si>
    <t>NR.</t>
  </si>
  <si>
    <t>Die Note aus den Lernprodukten zählt zu 25%. Alle Noten der Prüfungen zählen zu 60%.</t>
  </si>
  <si>
    <t>Neue 
Auftrags-
Nummer</t>
  </si>
  <si>
    <t>Taschenrechner mitnehmen!</t>
  </si>
  <si>
    <t>Ausblick nächste Woche:</t>
  </si>
  <si>
    <t>Administratives:</t>
  </si>
  <si>
    <t>Hausaufgaben:</t>
  </si>
  <si>
    <t>Lektion 5</t>
  </si>
  <si>
    <t>PL</t>
  </si>
  <si>
    <t>LV</t>
  </si>
  <si>
    <t>25'</t>
  </si>
  <si>
    <t>Lektion 4</t>
  </si>
  <si>
    <r>
      <rPr>
        <b/>
        <sz val="11"/>
        <color theme="1"/>
        <rFont val="Calibri"/>
        <family val="2"/>
      </rPr>
      <t xml:space="preserve">Pause </t>
    </r>
    <r>
      <rPr>
        <i/>
        <sz val="11"/>
        <color theme="1"/>
        <rFont val="Calibri"/>
        <family val="2"/>
      </rPr>
      <t xml:space="preserve">
09:55Uhr-10:15Uhr</t>
    </r>
  </si>
  <si>
    <t>15'</t>
  </si>
  <si>
    <t>20'</t>
  </si>
  <si>
    <t>Lektion 3</t>
  </si>
  <si>
    <t>Lektion 2</t>
  </si>
  <si>
    <t>30'</t>
  </si>
  <si>
    <t>5'</t>
  </si>
  <si>
    <t>Lektion 1</t>
  </si>
  <si>
    <t>Material / Links</t>
  </si>
  <si>
    <t>SF</t>
  </si>
  <si>
    <t>Inhalt</t>
  </si>
  <si>
    <t>min.</t>
  </si>
  <si>
    <t>Zeit</t>
  </si>
  <si>
    <t>Lernziele</t>
  </si>
  <si>
    <t>Themen:</t>
  </si>
  <si>
    <t>Unterrichtsplanung BKU</t>
  </si>
  <si>
    <t>Standortbestimmung / AVOR Z-Mass</t>
  </si>
  <si>
    <t>MVS</t>
  </si>
  <si>
    <t>PDA</t>
  </si>
  <si>
    <t xml:space="preserve">*Sie frischen Ihre Rechnungskentnisse auf </t>
  </si>
  <si>
    <t>* Gemeinsames Kennenlernen</t>
  </si>
  <si>
    <t>*Erklärung Administratives</t>
  </si>
  <si>
    <t>Repetition &amp; Standortbestimmung / Rechnen</t>
  </si>
  <si>
    <t xml:space="preserve">*Sie frischen Ihre Kenntnisse über Trinkwassersysteme auf </t>
  </si>
  <si>
    <t>*Gemeinsames Erarbeiten Auftrag 1.5</t>
  </si>
  <si>
    <t>*Gemeinsames Erarbeiten Auftrag 2.4</t>
  </si>
  <si>
    <t>*Repetition Normprojektion</t>
  </si>
  <si>
    <t>*Repetition Z-Mass</t>
  </si>
  <si>
    <t>*Selbständige Arbeit an Auftrag 2.2</t>
  </si>
  <si>
    <t>*Abschluss und Ausblick</t>
  </si>
  <si>
    <t>07:30 - 08:15</t>
  </si>
  <si>
    <t>08:20 - 09:05</t>
  </si>
  <si>
    <t>09:10 - 09:55</t>
  </si>
  <si>
    <t>10:15 - 11:00</t>
  </si>
  <si>
    <t>11:05 - 11:50</t>
  </si>
  <si>
    <t>*Sie repetieren ihre Normprojektionskenntnisse</t>
  </si>
  <si>
    <t>*Sie repetieren ihre Z-Mass Vorfabrikationskenntnisse</t>
  </si>
  <si>
    <t>*Repetition Fachrechnen / Umrechnung von Masseinheiten</t>
  </si>
  <si>
    <t>*Übungen Fachrechnen / Flächen- und Volumenberechnungen</t>
  </si>
  <si>
    <t>1.1_Übung_1</t>
  </si>
  <si>
    <t>1.1_Übung_2</t>
  </si>
  <si>
    <t>1.1_Übung_3</t>
  </si>
  <si>
    <t>Fragen 1-7 / + Fragen 8-17</t>
  </si>
  <si>
    <t>2.1_Übung_3</t>
  </si>
  <si>
    <t>Fragen 1-3 / Kurze Rep. Gruppe 1-12</t>
  </si>
  <si>
    <t>*Selbständige Arbeit an 2.2_Übungen_1</t>
  </si>
  <si>
    <t>2.2_Übung_1</t>
  </si>
  <si>
    <t>Auftrag 1.2</t>
  </si>
  <si>
    <t xml:space="preserve">HF1(PDA)       </t>
  </si>
  <si>
    <r>
      <t>HF1</t>
    </r>
    <r>
      <rPr>
        <sz val="18"/>
        <color theme="1"/>
        <rFont val="Century Gothic"/>
        <family val="2"/>
      </rPr>
      <t xml:space="preserve">(PDA) </t>
    </r>
    <r>
      <rPr>
        <b/>
        <sz val="18"/>
        <color theme="1"/>
        <rFont val="Century Gothic"/>
        <family val="2"/>
      </rPr>
      <t xml:space="preserve">      </t>
    </r>
  </si>
  <si>
    <r>
      <t xml:space="preserve">HF2 </t>
    </r>
    <r>
      <rPr>
        <sz val="18"/>
        <color theme="1"/>
        <rFont val="Century Gothic"/>
        <family val="2"/>
      </rPr>
      <t>(MVS)</t>
    </r>
    <r>
      <rPr>
        <b/>
        <sz val="18"/>
        <color theme="1"/>
        <rFont val="Century Gothic"/>
        <family val="2"/>
      </rPr>
      <t xml:space="preserve">     </t>
    </r>
  </si>
  <si>
    <r>
      <t xml:space="preserve">HF3 </t>
    </r>
    <r>
      <rPr>
        <sz val="18"/>
        <color theme="1"/>
        <rFont val="Century Gothic"/>
        <family val="2"/>
      </rPr>
      <t>(MVS)</t>
    </r>
    <r>
      <rPr>
        <b/>
        <sz val="18"/>
        <color theme="1"/>
        <rFont val="Century Gothic"/>
        <family val="2"/>
      </rPr>
      <t xml:space="preserve">     </t>
    </r>
  </si>
  <si>
    <r>
      <t xml:space="preserve">HF4 / HF5  </t>
    </r>
    <r>
      <rPr>
        <sz val="18"/>
        <color theme="1"/>
        <rFont val="Century Gothic"/>
        <family val="2"/>
      </rPr>
      <t>(MVS)</t>
    </r>
    <r>
      <rPr>
        <b/>
        <sz val="18"/>
        <color theme="1"/>
        <rFont val="Century Gothic"/>
        <family val="2"/>
      </rPr>
      <t xml:space="preserve">     </t>
    </r>
  </si>
  <si>
    <t>Die Zeugnisnote setzt sich aus den Leistungsnachweisen und Kompetenzprüfungen zusammen. Die Note aus den Leistungsnachweisen zählt zu ca. 30% an die Zeugnisnote. Alle Noten der Prüfungen zählen zu ca. 60% an die Zeugnisnote.</t>
  </si>
  <si>
    <t>Leistungsnachweise</t>
  </si>
  <si>
    <t xml:space="preserve">Die Note der Leistungsnachweise entsteht aus den während des Semestes erzielten Punkten. </t>
  </si>
  <si>
    <t xml:space="preserve">Total Punkte </t>
  </si>
  <si>
    <t>Montieren von Sanitäranlagen</t>
  </si>
  <si>
    <t xml:space="preserve">9 Schultage (18L) </t>
  </si>
  <si>
    <t>3 Schultage (4L)</t>
  </si>
  <si>
    <t>Schulferien&amp; Feiertage</t>
  </si>
  <si>
    <t>Herbstferien
29.09.2024 - 20.10.2024</t>
  </si>
  <si>
    <t>Weihnachtsferien
22.12.2024 - 05.01.2025</t>
  </si>
  <si>
    <t>Winterferien 
29.01.-05.02.25</t>
  </si>
  <si>
    <t>Planen der Arbeiten (PDA)</t>
  </si>
  <si>
    <t>*Einstieg &amp; Unterrichtsplanung</t>
  </si>
  <si>
    <t>*Kennenlernen der 5 Armaturengruppen Trinkwasser</t>
  </si>
  <si>
    <t>10'</t>
  </si>
  <si>
    <t xml:space="preserve">*Gruppierungsübung </t>
  </si>
  <si>
    <t>EA</t>
  </si>
  <si>
    <t>1.5_Übung_1</t>
  </si>
  <si>
    <t>*Diskussionsrunde Fragen 1-12</t>
  </si>
  <si>
    <t>45'</t>
  </si>
  <si>
    <t>*Gemeinsamer Einstieg Leitungsisometrie</t>
  </si>
  <si>
    <t xml:space="preserve"> 1.1_Übung_1 Seite 1-4 fertigstellen</t>
  </si>
  <si>
    <t>2.2_Übung_1 fertigstellen</t>
  </si>
  <si>
    <t>1.4.2 Sie berechnen das Volumen verschiedener Behältnisse. (K3)</t>
  </si>
  <si>
    <t xml:space="preserve">Erklärung Gruppenarbeit / </t>
  </si>
  <si>
    <t>*Arbeit in der Gruppe</t>
  </si>
  <si>
    <t>GA</t>
  </si>
  <si>
    <t>*Vorstellung Gruppe 1-4</t>
  </si>
  <si>
    <t>*Vorstellung Gruppe 5-8</t>
  </si>
  <si>
    <t>*Vorstellung Gruppe 9-12</t>
  </si>
  <si>
    <t>*Ergänzung aller Fragen 1-12</t>
  </si>
  <si>
    <t>*Selbständige Arbeit 2.1_Übung 3</t>
  </si>
  <si>
    <t>*Kontrolle Arbeit an 2.2_Übungen_1</t>
  </si>
  <si>
    <t>*Gemeinsamer Start mit Auftrag 2 / Zeichnung 1</t>
  </si>
  <si>
    <t>*Selbständiges Zeichnen Zeichnung 2</t>
  </si>
  <si>
    <t>*Abschluss Zeichnung 2</t>
  </si>
  <si>
    <t xml:space="preserve">*Start mit Aufgabe 10 </t>
  </si>
  <si>
    <t>2.2_Übung_3 fertigstellen bis Seite 5</t>
  </si>
  <si>
    <t>(Aufgabe 12)</t>
  </si>
  <si>
    <t>Fertigstellen der Zeichnung 10</t>
  </si>
  <si>
    <t>AVOR Z-Mass</t>
  </si>
  <si>
    <t xml:space="preserve">Repetition  Rechnen / Armaturen </t>
  </si>
  <si>
    <t>Volumenberechnungen</t>
  </si>
  <si>
    <t>Z-Mass Zeichnungen</t>
  </si>
  <si>
    <t>*Beantwortung der 12 Fragen Auftrag 2.4</t>
  </si>
  <si>
    <t>2.3_Auftrag sui</t>
  </si>
  <si>
    <t>*Start mit Auftrag 2.3 / Teil 1+2</t>
  </si>
  <si>
    <t>*Arbeit im Tandem / Teil 3 Aufgabe 1&amp;2</t>
  </si>
  <si>
    <t>*Einzelarbeit /Teil 3 Aufgabe 3</t>
  </si>
  <si>
    <t>*Arbeit Teil 4 / Aufgabe 1-3</t>
  </si>
  <si>
    <t>*Arbeit Teil 5 / Aufgabe Reflexion</t>
  </si>
  <si>
    <t>*Besprechung Prüfung nächste Woche Mathe</t>
  </si>
  <si>
    <t>*Kontrolle Hausaufgaben Aufgabe 10a,b,c</t>
  </si>
  <si>
    <t>35'</t>
  </si>
  <si>
    <t>*selbstständige Arbeit an Übungsaufgaben 3.1 - 4.6</t>
  </si>
  <si>
    <t>*Erklärung Leistungsnachweis 2.2 / Aufgabe 4.6</t>
  </si>
  <si>
    <t>*Arbeit an Leistungsnachweis 2.2</t>
  </si>
  <si>
    <t>Abgabe Leistungsnachweis 2.2</t>
  </si>
  <si>
    <t>Üben für Prüfung 3.4 / Mathe</t>
  </si>
  <si>
    <t>Prüfung 3.4_Mathe rep. 11.09.2024</t>
  </si>
  <si>
    <t>ARTO</t>
  </si>
  <si>
    <t>3.1_Prüfung Fachrechnen</t>
  </si>
  <si>
    <t>Formelbuch +</t>
  </si>
  <si>
    <t>Taschenrechner</t>
  </si>
  <si>
    <t>40'</t>
  </si>
  <si>
    <t>60 Minuten</t>
  </si>
  <si>
    <t xml:space="preserve">*Besprechung offener Fragen </t>
  </si>
  <si>
    <t>*Einstieg in Prüfungsvorbereitung Trinkwassersysteme</t>
  </si>
  <si>
    <t>*Einstieg &amp; Kontrolle Auftrag 2.2</t>
  </si>
  <si>
    <t xml:space="preserve">*Individuelle Prüfungsvorbereitung </t>
  </si>
  <si>
    <t>*offene Fragerunde</t>
  </si>
  <si>
    <t>Üben für Prüfung Trinkwasserversorgung</t>
  </si>
  <si>
    <t>Arbeit an Leistungsnachweis, Abgabe per</t>
  </si>
  <si>
    <t>Teams am 22.09.2024</t>
  </si>
  <si>
    <t>Einstieg Auftrag 3.4</t>
  </si>
  <si>
    <t>Warmwassersysteme</t>
  </si>
  <si>
    <t>Prüfung Trinkwasserversorgung</t>
  </si>
  <si>
    <t>40 Minuten</t>
  </si>
  <si>
    <t>Prüfung nachholen (Valentin, Lorik, Lorenzo)</t>
  </si>
  <si>
    <t>(60')</t>
  </si>
  <si>
    <t>*Einstieg Auftrag 3.01</t>
  </si>
  <si>
    <t>*Selbständige Arbeit an Auftrag 3.01</t>
  </si>
  <si>
    <t>*Abschlussbesprechung</t>
  </si>
  <si>
    <t>Entsorgungsleitungen montieren</t>
  </si>
  <si>
    <t>*selbstständige Arbeit an Übungsaufgabe - 4.4</t>
  </si>
  <si>
    <t>Übung_4.4</t>
  </si>
  <si>
    <t>*Gemeinsamer Einstieg Übung 4.4</t>
  </si>
  <si>
    <t>*Abschluss &amp; Ausblick</t>
  </si>
  <si>
    <t>Abgabe per Teams am 23.10.2024</t>
  </si>
  <si>
    <t>Fertigstellung Leistungsnachweis 2.2</t>
  </si>
  <si>
    <t>2.2_LNW</t>
  </si>
  <si>
    <t>*Sie erstellen anspruchsvollere Z-Mass Zeichnungen inkl. Rohr- und Stückliste</t>
  </si>
  <si>
    <t>*Sie beschreiben die unterschiedlichen Abwasserarten</t>
  </si>
  <si>
    <t>*Sie beschreiben die Materialien und Werkstoffe der Entsorgungsleitungssysteme</t>
  </si>
  <si>
    <t>*Gemeinsame Betrachtung Auftrag 3.01</t>
  </si>
  <si>
    <t>*Selbständige Arbeit an Fragen 1-11</t>
  </si>
  <si>
    <t>*Sichtung verschiedener Systeme im Labor</t>
  </si>
  <si>
    <t>*Start mit Übersichtsplan _Aufgabe 12</t>
  </si>
  <si>
    <t>*Diskussion Leitungsteile</t>
  </si>
  <si>
    <t>Übersichtsplan</t>
  </si>
  <si>
    <t>*Selbständige Bearbeitung Aufgabe 15</t>
  </si>
  <si>
    <t>*Einstieg und Besprechung Gewichtskraft</t>
  </si>
  <si>
    <t>Ergänzung Auftrag 3.01 bis und mit</t>
  </si>
  <si>
    <t>Aufgabe 15</t>
  </si>
  <si>
    <t>Schulferien</t>
  </si>
  <si>
    <t>29.09.-20.10.2024</t>
  </si>
  <si>
    <t>nächster Schultag:</t>
  </si>
  <si>
    <t>*Einstieg &amp; Begrüssung</t>
  </si>
  <si>
    <t>*Gemeinsame Kontrolle Auftrag 3.01</t>
  </si>
  <si>
    <t>*Sie lesen die suissetec Theorie S.28-30</t>
  </si>
  <si>
    <t>suissetecEdu</t>
  </si>
  <si>
    <t>*Input zu Gewichtskraft</t>
  </si>
  <si>
    <t>*Rückgabe Prüfung / Einheiten umwandeln + Kaltwasserversorg.</t>
  </si>
  <si>
    <t>*Start mit Auftrag 5 (Auftrag 3.01) Aufgabe 16,17,18</t>
  </si>
  <si>
    <t>*Selbständige Weiterarbeit an Aufgaben 19-22</t>
  </si>
  <si>
    <t>*Besprechung Leistungsnachweis 2.2</t>
  </si>
  <si>
    <t>2.2_Leistungsnachweis</t>
  </si>
  <si>
    <t>*Kontrolle und Besprechung der Aufgaben</t>
  </si>
  <si>
    <t>*Abschluss und Kontrolle Aufgabe 4.5 &amp; 4.6</t>
  </si>
  <si>
    <t>*Selbständiges Üben für Prüfung 2.2</t>
  </si>
  <si>
    <t>Vorbereitung Z-Mass Prüfung</t>
  </si>
  <si>
    <t>Auftrag 3.01 fertigstellen bis Aufgabe 22</t>
  </si>
  <si>
    <r>
      <rPr>
        <b/>
        <sz val="11"/>
        <color rgb="FFFF0000"/>
        <rFont val="Calibri"/>
        <family val="2"/>
      </rPr>
      <t>Prüfung 2.2_Z-Mass</t>
    </r>
    <r>
      <rPr>
        <sz val="11"/>
        <color theme="1"/>
        <rFont val="Calibri"/>
        <family val="2"/>
      </rPr>
      <t xml:space="preserve"> 30.10.2024</t>
    </r>
  </si>
  <si>
    <t>VOR Z-Mass</t>
  </si>
  <si>
    <t>*Einstieg und Vorbereitung für Prüfung</t>
  </si>
  <si>
    <t>*Prüfung 2.2</t>
  </si>
  <si>
    <t>65'</t>
  </si>
  <si>
    <t>*Repetition Gewichtskraft</t>
  </si>
  <si>
    <t>*Arbeit an Auftrag 5 / Aufgabe 15-18</t>
  </si>
  <si>
    <t>*Kontrolle Aufgabe 15-18</t>
  </si>
  <si>
    <t xml:space="preserve">*Selbständige Arbeit an Augabe 19-22 danach 1.6_ Übung_1 </t>
  </si>
  <si>
    <t xml:space="preserve"> 1.6_ Übung_1 </t>
  </si>
  <si>
    <t>*Gemeinsamer Start mit Auftrag 6 / Dichte</t>
  </si>
  <si>
    <t>*Sie lesen die Theorie zur Masse &amp; Dichte</t>
  </si>
  <si>
    <t>*Fertigstellung Auftrag 3.01</t>
  </si>
  <si>
    <t>Fertigstellung Auftrag 3.01 / ohne Übungen</t>
  </si>
  <si>
    <t>AVOR X-Mass</t>
  </si>
  <si>
    <t>*Sie beschreiben verschiedene Rohrmaterialien für Entsorgungsleitungen</t>
  </si>
  <si>
    <t>*Start mit Auftrag 3.7 Fragen 1-10</t>
  </si>
  <si>
    <t>*Erklärung Übung 1</t>
  </si>
  <si>
    <t>*Selbständige Bearbeitung Übung 1</t>
  </si>
  <si>
    <t>*Selbständige Arbeit an Übung 2</t>
  </si>
  <si>
    <t>*Einstieg in X-Mass</t>
  </si>
  <si>
    <t>*Selbständiger Start mit Aufgabe 1-7</t>
  </si>
  <si>
    <t>*Sie lesen die Theorie S.44</t>
  </si>
  <si>
    <t>*Input Gefällsberechnung</t>
  </si>
  <si>
    <t>Fertigstellung Übung 1+2 Auftrag 3.7</t>
  </si>
  <si>
    <t>X-Mass Übungen</t>
  </si>
  <si>
    <t xml:space="preserve">* Sie beschreiben Einsatzgebiete, und Eigenschaften der Dämmmaterialien für Entsorgungsleitungen. </t>
  </si>
  <si>
    <t>* Sie kennen die Grundlagen der X-Mass Methode und wenden diese in einfachen Beispielen an.</t>
  </si>
  <si>
    <t>* Sie erstellen einfache X-Mass Vorfabrikationszeichnungen inkl. Rohr- und Stückliste</t>
  </si>
  <si>
    <t>Kontrolle &amp; Besprechung Übung 1 &amp; 2</t>
  </si>
  <si>
    <t>*Selbständige Bearbeitung Übung 3</t>
  </si>
  <si>
    <t>*Input zu Leistungsnachweis 3.7</t>
  </si>
  <si>
    <t>*Selbständige Bearbeitung Leistungsnachweis 3.7</t>
  </si>
  <si>
    <t>*Input zu Aufgabe 7</t>
  </si>
  <si>
    <t>*Selbständige Bearbeitung Aurgabe 7 inkl. gemeinsamer Kontrolle</t>
  </si>
  <si>
    <t>Abschluss Leistungsnachweis 3.7</t>
  </si>
  <si>
    <t>Abgabe per Teams bis 20.11.2024</t>
  </si>
  <si>
    <t>3.7_LNW</t>
  </si>
  <si>
    <t>Schallschutz Abwasser, Dämmung</t>
  </si>
  <si>
    <t>Kontrolle &amp; Besprechung Leistungsnachweis 3.7</t>
  </si>
  <si>
    <t>* Einstieg Thema Schall</t>
  </si>
  <si>
    <t>* Sie studieren die Theorie auf S.108-111</t>
  </si>
  <si>
    <t>* Gemeinsame Bearbeitung Fragen 15-19</t>
  </si>
  <si>
    <t>*Selbständige Bearbeitung Fragen 21-24</t>
  </si>
  <si>
    <t>* Start mit Aufgabe 6.5 "Bodenkloset</t>
  </si>
  <si>
    <t>* Selbständige Bearbeitung Aufgabe 6.5</t>
  </si>
  <si>
    <t>* Selbständige Arbeit an Aufgabe 6.6</t>
  </si>
  <si>
    <t>* Abschluss und Ausblick</t>
  </si>
  <si>
    <t>Abschluss Aufgabe 6.5 &amp; 6.6</t>
  </si>
  <si>
    <t>* Einstieg Aufgabe 20</t>
  </si>
  <si>
    <t>*Abschluss Lernauftrag 3.7</t>
  </si>
  <si>
    <t>*Überprüfen der Fragen</t>
  </si>
  <si>
    <t>* Selbständiges Lernen für die Prüfung 3.7</t>
  </si>
  <si>
    <t>* Einstieg in Auftrag 3.10 / Vorwände</t>
  </si>
  <si>
    <t>Vorwände</t>
  </si>
  <si>
    <t>*Erklärung Auftrag 2</t>
  </si>
  <si>
    <t>* Bearbeitung Auftrag 2</t>
  </si>
  <si>
    <t>Vorwandtechnik</t>
  </si>
  <si>
    <t>*Sie beschreiben die handeslüblichen Vorwandsysteme</t>
  </si>
  <si>
    <t>*Erklärung Lernziele 3.7Prüfung</t>
  </si>
  <si>
    <t>*Bearbeitung Auftrag 3</t>
  </si>
  <si>
    <t>*Besprechung Auftrag 3</t>
  </si>
  <si>
    <t>*Besprechung Leistungsnachweis 3.10</t>
  </si>
  <si>
    <t>*Selbständige Arbeit an Leistungsnachweis</t>
  </si>
  <si>
    <t>Arbeit an Leistungsnachweis 3.10</t>
  </si>
  <si>
    <t>Prüfung 3.7</t>
  </si>
  <si>
    <t xml:space="preserve">Formelbuch &amp; </t>
  </si>
  <si>
    <t xml:space="preserve">* Pause </t>
  </si>
  <si>
    <t>Abgabe am 18.12.2024</t>
  </si>
  <si>
    <t>*Abschluss Aufgabe 6.6 "Reservestutzen"</t>
  </si>
  <si>
    <t>*Start mit der Aufgabe 6.7 "Duschwannenanschluss"</t>
  </si>
  <si>
    <t>*Abschluss</t>
  </si>
  <si>
    <t>* Arbeit an 3.10 Leistungsnachweis</t>
  </si>
  <si>
    <t xml:space="preserve">*Abschluss Aufgabe 6.7 </t>
  </si>
  <si>
    <t>*Abschluss &amp; Ausblick auf Prüfung 3.3</t>
  </si>
  <si>
    <t>Lernen für die Prüfung 3.3 / 18.12.2024</t>
  </si>
  <si>
    <t>75'</t>
  </si>
  <si>
    <t>Prüfung 3.3</t>
  </si>
  <si>
    <t>*Überprüfung und gemeinsame Betrachtung  Leistungsnachweis 3.10</t>
  </si>
  <si>
    <t>*Abschluss Aufgabe  6.5, 6.6, 6.7</t>
  </si>
  <si>
    <t>3 unterzeichnete X-Mass Blätter abgeben 3.3 LNW</t>
  </si>
  <si>
    <t>*Gemeinsamer Abschluss / Diskussion</t>
  </si>
  <si>
    <t>*Abschluss und Ausblick nach den Ferien</t>
  </si>
  <si>
    <t xml:space="preserve">Nächster Schultag: </t>
  </si>
  <si>
    <t xml:space="preserve">Schulferien: </t>
  </si>
  <si>
    <t>23.12.2024 - 06.01.2025</t>
  </si>
  <si>
    <t>Besprechung Prüfung 3.3</t>
  </si>
  <si>
    <t>*Abschluss 3.3_Prüfung</t>
  </si>
  <si>
    <t>*Arbeit an Leistungsnachweis 3.3</t>
  </si>
  <si>
    <t>Abgabe Leistungsnachweis 3.3</t>
  </si>
  <si>
    <t>*Korrektur/ Verbesserung  3.3_Prüfung</t>
  </si>
  <si>
    <t>*Abschluss Auftrag 3.10</t>
  </si>
  <si>
    <t>Skitag Savognin</t>
  </si>
  <si>
    <t>*Besprechung 3.3_LNW</t>
  </si>
  <si>
    <t>*Korrektur 3.3_LNW</t>
  </si>
  <si>
    <t>*Gruppenbildung / Start Zusammenfassung 3.Semester</t>
  </si>
  <si>
    <t>*Arbeit an Zusammenfassung</t>
  </si>
  <si>
    <t>Gr.01</t>
  </si>
  <si>
    <t>Gr.02</t>
  </si>
  <si>
    <t>Gr.03</t>
  </si>
  <si>
    <t>Gr.04</t>
  </si>
  <si>
    <t>Gr.05</t>
  </si>
  <si>
    <t>*Präsentation Semesterzusammenfassung</t>
  </si>
  <si>
    <t>*Abschlussdiskussion / Infos Skitag</t>
  </si>
  <si>
    <t>Keine</t>
  </si>
  <si>
    <t>Skitag nächste Woche</t>
  </si>
  <si>
    <t xml:space="preserve">Danach Sportferien </t>
  </si>
  <si>
    <t>Nächster Schultag:</t>
  </si>
  <si>
    <t>Rückblick 3.Semester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</si>
</sst>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L\=\ #"/>
    <numFmt numFmtId="165" formatCode="[$-F800]dddd\,\ mmmm\ dd\,\ yyyy"/>
  </numFmts>
  <fonts count="57" x14ac:knownFonts="1">
    <font>
      <sz val="11"/>
      <color theme="1"/>
      <name val="Calibri"/>
      <family val="2"/>
      <scheme val="minor"/>
    </font>
    <font>
      <sz val="10"/>
      <color theme="1"/>
      <name val="Century Gothic"/>
      <family val="2"/>
    </font>
    <font>
      <sz val="11"/>
      <color theme="1"/>
      <name val="Century Gothic"/>
      <family val="2"/>
    </font>
    <font>
      <sz val="24"/>
      <color theme="1"/>
      <name val="Century Gothic"/>
      <family val="2"/>
    </font>
    <font>
      <b/>
      <sz val="14"/>
      <color theme="1"/>
      <name val="Century Gothic"/>
      <family val="2"/>
    </font>
    <font>
      <sz val="8"/>
      <color theme="1"/>
      <name val="Century Gothic"/>
      <family val="2"/>
    </font>
    <font>
      <b/>
      <sz val="11"/>
      <color theme="1"/>
      <name val="Century Gothic"/>
      <family val="2"/>
    </font>
    <font>
      <sz val="10"/>
      <color theme="1"/>
      <name val="Calibri"/>
      <family val="2"/>
      <scheme val="minor"/>
    </font>
    <font>
      <u/>
      <sz val="11"/>
      <color theme="10"/>
      <name val="Calibri"/>
      <family val="2"/>
      <scheme val="minor"/>
    </font>
    <font>
      <b/>
      <sz val="10"/>
      <color theme="1"/>
      <name val="Century Gothic"/>
      <family val="2"/>
    </font>
    <font>
      <b/>
      <sz val="10"/>
      <color theme="1"/>
      <name val="Calibri"/>
      <family val="2"/>
      <scheme val="minor"/>
    </font>
    <font>
      <sz val="12"/>
      <color theme="1"/>
      <name val="Century Gothic"/>
      <family val="2"/>
    </font>
    <font>
      <b/>
      <sz val="18"/>
      <color theme="1"/>
      <name val="Century Gothic"/>
      <family val="2"/>
    </font>
    <font>
      <b/>
      <sz val="12"/>
      <color theme="1"/>
      <name val="Century Gothic"/>
      <family val="2"/>
    </font>
    <font>
      <sz val="9"/>
      <color theme="1"/>
      <name val="Century Gothic"/>
      <family val="2"/>
    </font>
    <font>
      <b/>
      <sz val="10"/>
      <name val="Century Gothic"/>
      <family val="2"/>
    </font>
    <font>
      <b/>
      <sz val="10"/>
      <name val="Calibri"/>
      <family val="2"/>
      <scheme val="minor"/>
    </font>
    <font>
      <sz val="6.5"/>
      <color theme="1"/>
      <name val="Century Gothic"/>
      <family val="2"/>
    </font>
    <font>
      <i/>
      <sz val="11"/>
      <color theme="1"/>
      <name val="Century Gothic"/>
      <family val="2"/>
    </font>
    <font>
      <b/>
      <sz val="8"/>
      <color theme="1"/>
      <name val="Century Gothic"/>
      <family val="2"/>
    </font>
    <font>
      <i/>
      <sz val="10"/>
      <color theme="0" tint="-0.34998626667073579"/>
      <name val="Century Gothic"/>
      <family val="2"/>
    </font>
    <font>
      <sz val="12"/>
      <color theme="0"/>
      <name val="Calibri"/>
      <family val="2"/>
      <scheme val="minor"/>
    </font>
    <font>
      <sz val="10"/>
      <color theme="6" tint="0.79998168889431442"/>
      <name val="Century Gothic"/>
      <family val="2"/>
    </font>
    <font>
      <b/>
      <sz val="9"/>
      <color theme="1"/>
      <name val="Century Gothic"/>
      <family val="2"/>
    </font>
    <font>
      <b/>
      <sz val="11"/>
      <color theme="1"/>
      <name val="Calibri"/>
      <family val="2"/>
      <scheme val="minor"/>
    </font>
    <font>
      <i/>
      <sz val="8"/>
      <name val="Century Gothic"/>
      <family val="2"/>
    </font>
    <font>
      <i/>
      <sz val="8"/>
      <name val="Calibri"/>
      <family val="2"/>
      <scheme val="minor"/>
    </font>
    <font>
      <sz val="18"/>
      <color theme="1"/>
      <name val="Century Gothic"/>
      <family val="2"/>
    </font>
    <font>
      <sz val="11"/>
      <name val="Calibri"/>
      <family val="2"/>
      <scheme val="minor"/>
    </font>
    <font>
      <b/>
      <sz val="11"/>
      <name val="Calibri"/>
      <family val="2"/>
      <scheme val="minor"/>
    </font>
    <font>
      <sz val="9"/>
      <color theme="1"/>
      <name val="Arial"/>
      <family val="2"/>
    </font>
    <font>
      <sz val="11"/>
      <color theme="0"/>
      <name val="Calibri"/>
      <family val="2"/>
      <scheme val="minor"/>
    </font>
    <font>
      <sz val="10"/>
      <name val="Gill Sans MT"/>
      <family val="2"/>
    </font>
    <font>
      <sz val="18"/>
      <color theme="1"/>
      <name val="Calibri"/>
      <family val="2"/>
      <scheme val="minor"/>
    </font>
    <font>
      <b/>
      <sz val="28"/>
      <color theme="1"/>
      <name val="Calibri"/>
      <family val="2"/>
      <scheme val="minor"/>
    </font>
    <font>
      <sz val="18"/>
      <color theme="0"/>
      <name val="Calibri"/>
      <family val="2"/>
      <scheme val="minor"/>
    </font>
    <font>
      <b/>
      <sz val="22"/>
      <color theme="1"/>
      <name val="Calibri"/>
      <family val="2"/>
      <scheme val="minor"/>
    </font>
    <font>
      <sz val="6"/>
      <color theme="1"/>
      <name val="Century Gothic"/>
      <family val="2"/>
    </font>
    <font>
      <sz val="6"/>
      <color theme="1"/>
      <name val="Calibri"/>
      <family val="2"/>
      <scheme val="minor"/>
    </font>
    <font>
      <b/>
      <sz val="18"/>
      <color rgb="FF92D050"/>
      <name val="Calibri"/>
      <family val="2"/>
      <scheme val="minor"/>
    </font>
    <font>
      <sz val="11"/>
      <color theme="1"/>
      <name val="Calibri"/>
      <family val="2"/>
    </font>
    <font>
      <b/>
      <sz val="11"/>
      <color theme="1"/>
      <name val="Calibri"/>
      <family val="2"/>
    </font>
    <font>
      <b/>
      <i/>
      <sz val="11"/>
      <color theme="1"/>
      <name val="Calibri"/>
      <family val="2"/>
    </font>
    <font>
      <i/>
      <sz val="11"/>
      <color theme="1"/>
      <name val="Calibri"/>
      <family val="2"/>
    </font>
    <font>
      <sz val="9"/>
      <color theme="1"/>
      <name val="Calibri"/>
      <family val="2"/>
    </font>
    <font>
      <sz val="18"/>
      <color theme="1"/>
      <name val="Calibri"/>
      <family val="2"/>
    </font>
    <font>
      <b/>
      <sz val="18"/>
      <color theme="1"/>
      <name val="Calibri"/>
      <family val="2"/>
    </font>
    <font>
      <b/>
      <sz val="14"/>
      <color theme="1"/>
      <name val="Calibri"/>
      <family val="2"/>
    </font>
    <font>
      <b/>
      <sz val="12"/>
      <color theme="1"/>
      <name val="Calibri"/>
      <family val="2"/>
    </font>
    <font>
      <sz val="11"/>
      <color theme="1"/>
      <name val="Calibri"/>
      <family val="2"/>
      <scheme val="minor"/>
    </font>
    <font>
      <b/>
      <sz val="11"/>
      <color theme="0"/>
      <name val="Calibri"/>
      <family val="2"/>
      <scheme val="minor"/>
    </font>
    <font>
      <sz val="11"/>
      <color theme="0"/>
      <name val="Calibri"/>
      <family val="2"/>
    </font>
    <font>
      <b/>
      <sz val="11"/>
      <color theme="0"/>
      <name val="Calibri"/>
      <family val="2"/>
    </font>
    <font>
      <b/>
      <sz val="11"/>
      <color rgb="FFFF0000"/>
      <name val="Calibri"/>
      <family val="2"/>
      <scheme val="minor"/>
    </font>
    <font>
      <b/>
      <sz val="11"/>
      <color rgb="FFFF0000"/>
      <name val="Calibri"/>
      <family val="2"/>
    </font>
    <font>
      <u/>
      <sz val="8"/>
      <color theme="10"/>
      <name val="Calibri"/>
      <family val="2"/>
      <scheme val="minor"/>
    </font>
    <font>
      <u/>
      <sz val="11"/>
      <color theme="1"/>
      <name val="Calibri"/>
      <family val="2"/>
      <scheme val="minor"/>
    </font>
  </fonts>
  <fills count="21">
    <fill>
      <patternFill patternType="none"/>
    </fill>
    <fill>
      <patternFill patternType="gray125"/>
    </fill>
    <fill>
      <patternFill patternType="solid">
        <fgColor theme="6"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AFAFAF"/>
      </patternFill>
    </fill>
    <fill>
      <patternFill patternType="solid">
        <fgColor rgb="FFFFFF99"/>
        <bgColor indexed="64"/>
      </patternFill>
    </fill>
    <fill>
      <patternFill patternType="solid">
        <fgColor theme="3" tint="0.39997558519241921"/>
        <bgColor indexed="64"/>
      </patternFill>
    </fill>
    <fill>
      <patternFill patternType="solid">
        <fgColor theme="9" tint="0.59999389629810485"/>
        <bgColor indexed="64"/>
      </patternFill>
    </fill>
    <fill>
      <patternFill patternType="solid">
        <fgColor rgb="FF00B0F0"/>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4" tint="0.59999389629810485"/>
        <bgColor indexed="64"/>
      </patternFill>
    </fill>
  </fills>
  <borders count="77">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right/>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top style="thin">
        <color rgb="FFFFDC19"/>
      </top>
      <bottom style="thin">
        <color rgb="FFAFAFAF"/>
      </bottom>
      <diagonal/>
    </border>
    <border>
      <left style="thin">
        <color rgb="FF000000"/>
      </left>
      <right/>
      <top style="medium">
        <color indexed="64"/>
      </top>
      <bottom style="thin">
        <color rgb="FF000000"/>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medium">
        <color indexed="64"/>
      </top>
      <bottom/>
      <diagonal/>
    </border>
    <border>
      <left/>
      <right/>
      <top style="medium">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1058">
    <xf numFmtId="0" fontId="0" fillId="0" borderId="0" xfId="0"/>
    <xf numFmtId="0" fontId="2" fillId="0" borderId="0" xfId="0" applyFont="1"/>
    <xf numFmtId="0" fontId="6" fillId="0" borderId="0" xfId="0" applyFont="1"/>
    <xf numFmtId="0" fontId="9" fillId="0" borderId="0" xfId="0" applyFont="1" applyAlignment="1">
      <alignment horizontal="left" vertical="center" wrapText="1"/>
    </xf>
    <xf numFmtId="0" fontId="3" fillId="0" borderId="0" xfId="0" applyFont="1" applyAlignment="1">
      <alignment horizontal="center" vertical="center"/>
    </xf>
    <xf numFmtId="0" fontId="4" fillId="0" borderId="0" xfId="0" applyFont="1" applyAlignment="1">
      <alignment vertical="center"/>
    </xf>
    <xf numFmtId="0" fontId="2" fillId="0" borderId="0" xfId="0" applyFont="1" applyAlignment="1">
      <alignment wrapText="1"/>
    </xf>
    <xf numFmtId="0" fontId="1" fillId="0" borderId="0" xfId="0" applyFont="1"/>
    <xf numFmtId="0" fontId="16" fillId="0" borderId="0" xfId="0" applyFont="1" applyAlignment="1">
      <alignment horizontal="center"/>
    </xf>
    <xf numFmtId="0" fontId="17" fillId="0" borderId="0" xfId="0" applyFont="1"/>
    <xf numFmtId="0" fontId="17" fillId="0" borderId="0" xfId="0" applyFont="1" applyAlignment="1">
      <alignment horizontal="center" vertical="center"/>
    </xf>
    <xf numFmtId="0" fontId="9" fillId="0" borderId="0" xfId="0" applyFont="1" applyAlignment="1">
      <alignment vertical="center"/>
    </xf>
    <xf numFmtId="0" fontId="2" fillId="0" borderId="0" xfId="0" applyFont="1" applyAlignment="1">
      <alignment horizontal="center"/>
    </xf>
    <xf numFmtId="0" fontId="0" fillId="0" borderId="0" xfId="0" applyAlignment="1">
      <alignment horizontal="center"/>
    </xf>
    <xf numFmtId="0" fontId="10" fillId="0" borderId="0" xfId="0" applyFont="1" applyAlignment="1">
      <alignment horizontal="center" vertical="center"/>
    </xf>
    <xf numFmtId="0" fontId="2" fillId="0" borderId="0" xfId="0" applyFont="1" applyAlignment="1">
      <alignment vertical="center"/>
    </xf>
    <xf numFmtId="0" fontId="0" fillId="0" borderId="0" xfId="0" applyAlignment="1">
      <alignment horizontal="left" vertical="center"/>
    </xf>
    <xf numFmtId="0" fontId="14" fillId="0" borderId="0" xfId="0" applyFont="1" applyAlignment="1">
      <alignment horizontal="left"/>
    </xf>
    <xf numFmtId="0" fontId="21" fillId="0" borderId="0" xfId="0" applyFont="1" applyAlignment="1">
      <alignment horizontal="center"/>
    </xf>
    <xf numFmtId="14" fontId="19" fillId="3" borderId="30" xfId="0" applyNumberFormat="1" applyFont="1" applyFill="1" applyBorder="1" applyAlignment="1">
      <alignment horizontal="center" vertical="center"/>
    </xf>
    <xf numFmtId="0" fontId="19" fillId="3" borderId="26" xfId="0" applyFont="1" applyFill="1" applyBorder="1" applyAlignment="1">
      <alignment horizontal="center" vertical="center"/>
    </xf>
    <xf numFmtId="0" fontId="9" fillId="4" borderId="1" xfId="0" applyFont="1" applyFill="1" applyBorder="1" applyAlignment="1">
      <alignment vertical="center"/>
    </xf>
    <xf numFmtId="0" fontId="9" fillId="4" borderId="3" xfId="0" applyFont="1" applyFill="1" applyBorder="1" applyAlignment="1">
      <alignment vertical="center"/>
    </xf>
    <xf numFmtId="0" fontId="9" fillId="4" borderId="2" xfId="0" applyFont="1" applyFill="1" applyBorder="1" applyAlignment="1">
      <alignment vertical="center"/>
    </xf>
    <xf numFmtId="0" fontId="19" fillId="4" borderId="4" xfId="0" applyFont="1" applyFill="1" applyBorder="1" applyAlignment="1">
      <alignment horizontal="left"/>
    </xf>
    <xf numFmtId="0" fontId="2" fillId="4" borderId="5" xfId="0" applyFont="1" applyFill="1" applyBorder="1"/>
    <xf numFmtId="0" fontId="9" fillId="4" borderId="7" xfId="0" applyFont="1" applyFill="1" applyBorder="1" applyAlignment="1">
      <alignment horizontal="left" vertical="center"/>
    </xf>
    <xf numFmtId="0" fontId="9" fillId="4" borderId="8" xfId="0" applyFont="1" applyFill="1" applyBorder="1" applyAlignment="1">
      <alignment horizontal="left" vertical="center"/>
    </xf>
    <xf numFmtId="0" fontId="0" fillId="4" borderId="13" xfId="0" applyFill="1" applyBorder="1" applyAlignment="1">
      <alignment horizontal="left" vertical="center"/>
    </xf>
    <xf numFmtId="14" fontId="14" fillId="4" borderId="27" xfId="0" applyNumberFormat="1" applyFont="1" applyFill="1" applyBorder="1" applyAlignment="1">
      <alignment horizontal="left" vertical="center"/>
    </xf>
    <xf numFmtId="14" fontId="14" fillId="4" borderId="4" xfId="0" applyNumberFormat="1" applyFont="1" applyFill="1" applyBorder="1" applyAlignment="1">
      <alignment horizontal="left" vertical="center"/>
    </xf>
    <xf numFmtId="14" fontId="14" fillId="4" borderId="28" xfId="0" applyNumberFormat="1" applyFont="1" applyFill="1" applyBorder="1" applyAlignment="1">
      <alignment horizontal="left" vertical="center"/>
    </xf>
    <xf numFmtId="0" fontId="4" fillId="5" borderId="1" xfId="0" applyFont="1" applyFill="1" applyBorder="1" applyAlignment="1">
      <alignment vertical="center"/>
    </xf>
    <xf numFmtId="0" fontId="2" fillId="5" borderId="3" xfId="0" applyFont="1" applyFill="1" applyBorder="1"/>
    <xf numFmtId="0" fontId="6" fillId="5" borderId="3" xfId="0" applyFont="1" applyFill="1" applyBorder="1" applyAlignment="1">
      <alignment horizontal="center" vertical="center"/>
    </xf>
    <xf numFmtId="14" fontId="18" fillId="5" borderId="3" xfId="0" applyNumberFormat="1" applyFont="1" applyFill="1" applyBorder="1" applyAlignment="1">
      <alignment horizontal="center" vertical="center"/>
    </xf>
    <xf numFmtId="0" fontId="2" fillId="5" borderId="3" xfId="0" applyFont="1" applyFill="1" applyBorder="1" applyAlignment="1">
      <alignment horizontal="left" vertical="center"/>
    </xf>
    <xf numFmtId="0" fontId="2" fillId="5" borderId="3" xfId="0" applyFont="1" applyFill="1" applyBorder="1" applyAlignment="1">
      <alignment horizontal="center" vertical="center"/>
    </xf>
    <xf numFmtId="0" fontId="14" fillId="5" borderId="1" xfId="0" applyFont="1" applyFill="1" applyBorder="1" applyAlignment="1">
      <alignment horizontal="left" vertical="center"/>
    </xf>
    <xf numFmtId="0" fontId="14" fillId="5" borderId="3" xfId="0" applyFont="1" applyFill="1" applyBorder="1" applyAlignment="1">
      <alignment vertical="center"/>
    </xf>
    <xf numFmtId="0" fontId="14" fillId="5" borderId="3" xfId="0" applyFont="1" applyFill="1" applyBorder="1" applyAlignment="1">
      <alignment horizontal="left" vertical="center"/>
    </xf>
    <xf numFmtId="0" fontId="14" fillId="5" borderId="3" xfId="0" applyFont="1" applyFill="1" applyBorder="1" applyAlignment="1">
      <alignment horizontal="center" vertical="center"/>
    </xf>
    <xf numFmtId="0" fontId="2" fillId="0" borderId="0" xfId="0" applyFont="1" applyAlignment="1">
      <alignment horizontal="left"/>
    </xf>
    <xf numFmtId="0" fontId="1" fillId="0" borderId="0" xfId="0" applyFont="1" applyAlignment="1">
      <alignment horizontal="left" vertical="center"/>
    </xf>
    <xf numFmtId="0" fontId="7" fillId="0" borderId="0" xfId="0" applyFont="1" applyAlignment="1">
      <alignment horizontal="left"/>
    </xf>
    <xf numFmtId="0" fontId="14" fillId="5" borderId="2" xfId="0" applyFont="1" applyFill="1" applyBorder="1" applyAlignment="1">
      <alignment horizontal="left" vertical="center"/>
    </xf>
    <xf numFmtId="0" fontId="0" fillId="0" borderId="0" xfId="0" applyAlignment="1">
      <alignment horizontal="left"/>
    </xf>
    <xf numFmtId="0" fontId="1" fillId="0" borderId="0" xfId="0" applyFont="1" applyAlignment="1">
      <alignment horizontal="left"/>
    </xf>
    <xf numFmtId="0" fontId="15" fillId="0" borderId="0" xfId="0" applyFont="1" applyAlignment="1">
      <alignment horizontal="center"/>
    </xf>
    <xf numFmtId="0" fontId="23" fillId="4" borderId="4" xfId="0" applyFont="1" applyFill="1" applyBorder="1"/>
    <xf numFmtId="0" fontId="22" fillId="4" borderId="6" xfId="0" applyFont="1" applyFill="1" applyBorder="1" applyAlignment="1">
      <alignment horizontal="center"/>
    </xf>
    <xf numFmtId="0" fontId="13" fillId="4" borderId="12" xfId="0" applyFont="1" applyFill="1" applyBorder="1" applyAlignment="1">
      <alignment horizontal="center"/>
    </xf>
    <xf numFmtId="0" fontId="9" fillId="0" borderId="0" xfId="0" applyFont="1" applyAlignment="1">
      <alignment horizontal="center" vertical="center"/>
    </xf>
    <xf numFmtId="0" fontId="6" fillId="5" borderId="42" xfId="0" applyFont="1" applyFill="1" applyBorder="1" applyAlignment="1">
      <alignment horizontal="left" vertical="center"/>
    </xf>
    <xf numFmtId="0" fontId="6" fillId="5" borderId="34" xfId="0" applyFont="1" applyFill="1" applyBorder="1" applyAlignment="1">
      <alignment horizontal="left" vertical="center"/>
    </xf>
    <xf numFmtId="14" fontId="2" fillId="0" borderId="48" xfId="0" applyNumberFormat="1" applyFont="1" applyBorder="1" applyAlignment="1">
      <alignment horizontal="left"/>
    </xf>
    <xf numFmtId="14" fontId="2" fillId="0" borderId="45" xfId="0" applyNumberFormat="1" applyFont="1" applyBorder="1" applyAlignment="1">
      <alignment horizontal="left"/>
    </xf>
    <xf numFmtId="0" fontId="6" fillId="0" borderId="34" xfId="0" applyFont="1" applyBorder="1" applyAlignment="1">
      <alignment horizontal="left" vertical="center"/>
    </xf>
    <xf numFmtId="0" fontId="19" fillId="3" borderId="20" xfId="0" applyFont="1" applyFill="1" applyBorder="1" applyAlignment="1">
      <alignment horizontal="center" vertical="center"/>
    </xf>
    <xf numFmtId="14" fontId="19" fillId="3" borderId="49" xfId="0" applyNumberFormat="1" applyFont="1" applyFill="1" applyBorder="1" applyAlignment="1">
      <alignment horizontal="center" vertical="center"/>
    </xf>
    <xf numFmtId="0" fontId="0" fillId="0" borderId="0" xfId="0" applyAlignment="1">
      <alignment horizontal="left" vertical="top"/>
    </xf>
    <xf numFmtId="0" fontId="30" fillId="0" borderId="0" xfId="0" applyFont="1"/>
    <xf numFmtId="0" fontId="0" fillId="0" borderId="45" xfId="0" applyBorder="1"/>
    <xf numFmtId="0" fontId="9" fillId="4" borderId="7" xfId="0" applyFont="1" applyFill="1" applyBorder="1" applyAlignment="1">
      <alignment horizontal="left"/>
    </xf>
    <xf numFmtId="0" fontId="9" fillId="4" borderId="8" xfId="0" applyFont="1" applyFill="1" applyBorder="1" applyAlignment="1">
      <alignment horizontal="left"/>
    </xf>
    <xf numFmtId="0" fontId="0" fillId="4" borderId="13" xfId="0" applyFill="1" applyBorder="1" applyAlignment="1">
      <alignment horizontal="left"/>
    </xf>
    <xf numFmtId="14" fontId="0" fillId="0" borderId="0" xfId="0" applyNumberFormat="1"/>
    <xf numFmtId="0" fontId="0" fillId="0" borderId="0" xfId="0" applyAlignment="1">
      <alignment horizontal="left" vertical="center" wrapText="1"/>
    </xf>
    <xf numFmtId="0" fontId="0" fillId="0" borderId="34" xfId="0" applyBorder="1" applyAlignment="1">
      <alignment horizontal="center"/>
    </xf>
    <xf numFmtId="0" fontId="0" fillId="0" borderId="0" xfId="0" applyAlignment="1">
      <alignment vertical="center"/>
    </xf>
    <xf numFmtId="0" fontId="0" fillId="0" borderId="7" xfId="0" applyBorder="1"/>
    <xf numFmtId="0" fontId="0" fillId="0" borderId="51" xfId="0" applyBorder="1" applyAlignment="1">
      <alignment horizontal="center" vertical="center"/>
    </xf>
    <xf numFmtId="0" fontId="0" fillId="0" borderId="4" xfId="0" applyBorder="1"/>
    <xf numFmtId="0" fontId="0" fillId="6" borderId="26" xfId="0" applyFill="1" applyBorder="1"/>
    <xf numFmtId="0" fontId="0" fillId="6" borderId="35" xfId="0" applyFill="1" applyBorder="1" applyAlignment="1">
      <alignment horizontal="center"/>
    </xf>
    <xf numFmtId="14" fontId="0" fillId="0" borderId="0" xfId="0" applyNumberFormat="1" applyAlignment="1">
      <alignment horizontal="center"/>
    </xf>
    <xf numFmtId="0" fontId="0" fillId="6" borderId="34" xfId="0" applyFill="1" applyBorder="1" applyAlignment="1">
      <alignment wrapText="1"/>
    </xf>
    <xf numFmtId="0" fontId="0" fillId="0" borderId="7" xfId="0" applyBorder="1" applyAlignment="1">
      <alignment horizontal="left"/>
    </xf>
    <xf numFmtId="0" fontId="0" fillId="0" borderId="51" xfId="0" applyBorder="1" applyAlignment="1">
      <alignment horizontal="center"/>
    </xf>
    <xf numFmtId="0" fontId="0" fillId="0" borderId="57" xfId="0" applyBorder="1" applyAlignment="1">
      <alignment horizontal="center"/>
    </xf>
    <xf numFmtId="0" fontId="0" fillId="0" borderId="5" xfId="0" applyBorder="1"/>
    <xf numFmtId="0" fontId="0" fillId="0" borderId="35" xfId="0" applyBorder="1" applyAlignment="1">
      <alignment horizontal="center"/>
    </xf>
    <xf numFmtId="0" fontId="19" fillId="3" borderId="19" xfId="0" applyFont="1" applyFill="1" applyBorder="1" applyAlignment="1">
      <alignment horizontal="center" vertical="center"/>
    </xf>
    <xf numFmtId="0" fontId="2" fillId="0" borderId="11" xfId="0" applyFont="1" applyBorder="1" applyAlignment="1">
      <alignment horizontal="left"/>
    </xf>
    <xf numFmtId="0" fontId="17" fillId="0" borderId="0" xfId="0" applyFont="1" applyAlignment="1">
      <alignment horizontal="center" vertical="center" wrapText="1"/>
    </xf>
    <xf numFmtId="0" fontId="0" fillId="0" borderId="0" xfId="0" applyAlignment="1">
      <alignment horizontal="center" vertical="center"/>
    </xf>
    <xf numFmtId="0" fontId="0" fillId="7" borderId="36" xfId="0" applyFill="1" applyBorder="1"/>
    <xf numFmtId="0" fontId="0" fillId="7" borderId="34" xfId="0" applyFill="1" applyBorder="1" applyAlignment="1">
      <alignment horizontal="center"/>
    </xf>
    <xf numFmtId="14" fontId="0" fillId="0" borderId="37" xfId="0" applyNumberFormat="1" applyBorder="1" applyAlignment="1">
      <alignment horizontal="center"/>
    </xf>
    <xf numFmtId="14" fontId="0" fillId="3" borderId="37" xfId="0" applyNumberFormat="1" applyFill="1" applyBorder="1" applyAlignment="1">
      <alignment horizontal="center"/>
    </xf>
    <xf numFmtId="14" fontId="0" fillId="0" borderId="38" xfId="0" applyNumberFormat="1" applyBorder="1" applyAlignment="1">
      <alignment horizontal="center"/>
    </xf>
    <xf numFmtId="0" fontId="4" fillId="5" borderId="3" xfId="0" applyFont="1" applyFill="1" applyBorder="1" applyAlignment="1" applyProtection="1">
      <alignment vertical="center"/>
      <protection locked="0" hidden="1"/>
    </xf>
    <xf numFmtId="0" fontId="0" fillId="5" borderId="3" xfId="0" applyFill="1" applyBorder="1" applyAlignment="1" applyProtection="1">
      <alignment vertical="center"/>
      <protection locked="0" hidden="1"/>
    </xf>
    <xf numFmtId="164" fontId="0" fillId="0" borderId="0" xfId="0" applyNumberFormat="1" applyAlignment="1">
      <alignment horizontal="center" wrapText="1"/>
    </xf>
    <xf numFmtId="0" fontId="0" fillId="0" borderId="0" xfId="0" applyAlignment="1">
      <alignment wrapText="1"/>
    </xf>
    <xf numFmtId="0" fontId="32" fillId="10" borderId="58" xfId="0" applyFont="1" applyFill="1" applyBorder="1" applyAlignment="1">
      <alignment vertical="top" wrapText="1"/>
    </xf>
    <xf numFmtId="0" fontId="32" fillId="10" borderId="58" xfId="0" applyFont="1" applyFill="1" applyBorder="1" applyAlignment="1">
      <alignment horizontal="left" vertical="top" wrapText="1"/>
    </xf>
    <xf numFmtId="0" fontId="0" fillId="10" borderId="60" xfId="0" applyFill="1" applyBorder="1" applyAlignment="1">
      <alignment vertical="top" wrapText="1"/>
    </xf>
    <xf numFmtId="0" fontId="0" fillId="10" borderId="58" xfId="0" applyFill="1" applyBorder="1" applyAlignment="1">
      <alignment vertical="top" wrapText="1"/>
    </xf>
    <xf numFmtId="0" fontId="0" fillId="6" borderId="34" xfId="0" applyFill="1" applyBorder="1" applyAlignment="1">
      <alignment vertical="top" wrapText="1"/>
    </xf>
    <xf numFmtId="0" fontId="0" fillId="0" borderId="0" xfId="0" applyAlignment="1">
      <alignment vertical="top" wrapText="1"/>
    </xf>
    <xf numFmtId="0" fontId="0" fillId="6" borderId="34" xfId="0" applyFill="1" applyBorder="1" applyAlignment="1">
      <alignment horizontal="left" vertical="top" wrapText="1"/>
    </xf>
    <xf numFmtId="164" fontId="0" fillId="0" borderId="0" xfId="0" applyNumberFormat="1" applyAlignment="1">
      <alignment horizontal="left" vertical="top" wrapText="1"/>
    </xf>
    <xf numFmtId="0" fontId="0" fillId="0" borderId="0" xfId="0" applyAlignment="1">
      <alignment horizontal="left" vertical="top" wrapText="1"/>
    </xf>
    <xf numFmtId="0" fontId="24" fillId="3" borderId="34" xfId="0" applyFont="1" applyFill="1" applyBorder="1" applyAlignment="1">
      <alignment wrapText="1"/>
    </xf>
    <xf numFmtId="164" fontId="24" fillId="3" borderId="34" xfId="0" applyNumberFormat="1" applyFont="1" applyFill="1" applyBorder="1" applyAlignment="1">
      <alignment horizontal="center" wrapText="1"/>
    </xf>
    <xf numFmtId="0" fontId="24" fillId="6" borderId="34" xfId="0" applyFont="1" applyFill="1" applyBorder="1" applyAlignment="1">
      <alignment wrapText="1"/>
    </xf>
    <xf numFmtId="0" fontId="24" fillId="6" borderId="34" xfId="0" applyFont="1" applyFill="1" applyBorder="1" applyAlignment="1">
      <alignment horizontal="center"/>
    </xf>
    <xf numFmtId="164" fontId="0" fillId="6" borderId="34" xfId="0" applyNumberFormat="1" applyFill="1" applyBorder="1" applyAlignment="1">
      <alignment horizontal="center" vertical="center" wrapText="1"/>
    </xf>
    <xf numFmtId="164" fontId="24" fillId="6" borderId="34" xfId="0" applyNumberFormat="1" applyFont="1" applyFill="1" applyBorder="1" applyAlignment="1">
      <alignment horizontal="center" vertical="center" wrapText="1"/>
    </xf>
    <xf numFmtId="164" fontId="0" fillId="0" borderId="0" xfId="0" applyNumberFormat="1" applyAlignment="1">
      <alignment horizontal="center" vertical="center" wrapText="1"/>
    </xf>
    <xf numFmtId="164" fontId="0" fillId="0" borderId="0" xfId="0" applyNumberFormat="1" applyAlignment="1">
      <alignment vertical="top" wrapText="1"/>
    </xf>
    <xf numFmtId="0" fontId="24" fillId="3" borderId="39" xfId="0" applyFont="1" applyFill="1" applyBorder="1" applyAlignment="1">
      <alignment horizontal="center"/>
    </xf>
    <xf numFmtId="0" fontId="31" fillId="12" borderId="0" xfId="0" applyFont="1" applyFill="1"/>
    <xf numFmtId="0" fontId="31" fillId="12" borderId="0" xfId="0" applyFont="1" applyFill="1" applyAlignment="1">
      <alignment wrapText="1"/>
    </xf>
    <xf numFmtId="0" fontId="31" fillId="12" borderId="0" xfId="0" applyFont="1" applyFill="1" applyAlignment="1">
      <alignment vertical="center" wrapText="1"/>
    </xf>
    <xf numFmtId="164" fontId="31" fillId="12" borderId="0" xfId="0" applyNumberFormat="1" applyFont="1" applyFill="1" applyAlignment="1">
      <alignment horizontal="center" wrapText="1"/>
    </xf>
    <xf numFmtId="0" fontId="0" fillId="3" borderId="34" xfId="0" applyFill="1" applyBorder="1" applyAlignment="1">
      <alignment vertical="top" wrapText="1"/>
    </xf>
    <xf numFmtId="0" fontId="0" fillId="3" borderId="34" xfId="0" applyFill="1" applyBorder="1" applyAlignment="1">
      <alignment wrapText="1"/>
    </xf>
    <xf numFmtId="164" fontId="0" fillId="0" borderId="34" xfId="0" applyNumberFormat="1" applyBorder="1" applyAlignment="1">
      <alignment horizontal="left" vertical="top" wrapText="1"/>
    </xf>
    <xf numFmtId="164" fontId="24" fillId="9" borderId="39" xfId="0" applyNumberFormat="1" applyFont="1" applyFill="1" applyBorder="1" applyAlignment="1">
      <alignment horizontal="left" wrapText="1"/>
    </xf>
    <xf numFmtId="0" fontId="24" fillId="9" borderId="39" xfId="0" applyFont="1" applyFill="1" applyBorder="1" applyAlignment="1">
      <alignment horizontal="center"/>
    </xf>
    <xf numFmtId="0" fontId="24" fillId="9" borderId="34" xfId="0" applyFont="1" applyFill="1" applyBorder="1" applyAlignment="1">
      <alignment wrapText="1"/>
    </xf>
    <xf numFmtId="164" fontId="24" fillId="9" borderId="34" xfId="0" applyNumberFormat="1" applyFont="1" applyFill="1" applyBorder="1" applyAlignment="1">
      <alignment horizontal="center" wrapText="1"/>
    </xf>
    <xf numFmtId="0" fontId="0" fillId="8" borderId="34" xfId="0" applyFill="1" applyBorder="1" applyAlignment="1">
      <alignment vertical="top" wrapText="1"/>
    </xf>
    <xf numFmtId="164" fontId="0" fillId="8" borderId="34" xfId="0" applyNumberFormat="1" applyFill="1" applyBorder="1" applyAlignment="1">
      <alignment vertical="top" wrapText="1"/>
    </xf>
    <xf numFmtId="0" fontId="0" fillId="8" borderId="34" xfId="0" applyFill="1" applyBorder="1" applyAlignment="1">
      <alignment horizontal="left" vertical="top" wrapText="1"/>
    </xf>
    <xf numFmtId="164" fontId="0" fillId="8" borderId="34" xfId="0" applyNumberFormat="1" applyFill="1" applyBorder="1" applyAlignment="1">
      <alignment horizontal="left" vertical="top" wrapText="1"/>
    </xf>
    <xf numFmtId="0" fontId="0" fillId="8" borderId="34" xfId="0" applyFill="1" applyBorder="1" applyAlignment="1">
      <alignment wrapText="1"/>
    </xf>
    <xf numFmtId="164" fontId="0" fillId="8" borderId="34" xfId="0" applyNumberFormat="1" applyFill="1" applyBorder="1" applyAlignment="1">
      <alignment horizontal="center" vertical="center" wrapText="1"/>
    </xf>
    <xf numFmtId="164" fontId="0" fillId="0" borderId="0" xfId="0" applyNumberFormat="1" applyAlignment="1">
      <alignment vertical="center" wrapText="1"/>
    </xf>
    <xf numFmtId="0" fontId="24" fillId="13" borderId="39" xfId="0" applyFont="1" applyFill="1" applyBorder="1" applyAlignment="1">
      <alignment horizontal="center"/>
    </xf>
    <xf numFmtId="0" fontId="24" fillId="13" borderId="34" xfId="0" applyFont="1" applyFill="1" applyBorder="1" applyAlignment="1">
      <alignment wrapText="1"/>
    </xf>
    <xf numFmtId="0" fontId="0" fillId="13" borderId="34" xfId="0" applyFill="1" applyBorder="1" applyAlignment="1">
      <alignment horizontal="left" vertical="top" wrapText="1"/>
    </xf>
    <xf numFmtId="0" fontId="0" fillId="13" borderId="34" xfId="0" applyFill="1" applyBorder="1" applyAlignment="1">
      <alignment wrapText="1"/>
    </xf>
    <xf numFmtId="0" fontId="0" fillId="13" borderId="34" xfId="0" applyFill="1" applyBorder="1" applyAlignment="1">
      <alignment vertical="top" wrapText="1"/>
    </xf>
    <xf numFmtId="0" fontId="0" fillId="13" borderId="50" xfId="0" applyFill="1" applyBorder="1" applyAlignment="1">
      <alignment horizontal="left" vertical="top" wrapText="1"/>
    </xf>
    <xf numFmtId="0" fontId="0" fillId="13" borderId="50" xfId="0" applyFill="1" applyBorder="1" applyAlignment="1">
      <alignment wrapText="1"/>
    </xf>
    <xf numFmtId="0" fontId="0" fillId="13" borderId="50" xfId="0" applyFill="1" applyBorder="1" applyAlignment="1">
      <alignment vertical="top" wrapText="1"/>
    </xf>
    <xf numFmtId="164" fontId="24" fillId="13" borderId="42" xfId="0" applyNumberFormat="1" applyFont="1" applyFill="1" applyBorder="1" applyAlignment="1">
      <alignment horizontal="center" wrapText="1"/>
    </xf>
    <xf numFmtId="164" fontId="0" fillId="13" borderId="34" xfId="0" applyNumberFormat="1" applyFill="1" applyBorder="1" applyAlignment="1">
      <alignment horizontal="center" vertical="center" wrapText="1"/>
    </xf>
    <xf numFmtId="0" fontId="0" fillId="0" borderId="34" xfId="0" applyBorder="1" applyAlignment="1">
      <alignment horizontal="left" vertical="top" wrapText="1"/>
    </xf>
    <xf numFmtId="164" fontId="24" fillId="9" borderId="50" xfId="0" applyNumberFormat="1" applyFont="1" applyFill="1" applyBorder="1" applyAlignment="1">
      <alignment horizontal="left" wrapText="1"/>
    </xf>
    <xf numFmtId="0" fontId="0" fillId="0" borderId="4" xfId="0" applyBorder="1" applyAlignment="1">
      <alignment horizontal="left" wrapText="1"/>
    </xf>
    <xf numFmtId="0" fontId="0" fillId="0" borderId="0" xfId="0" applyAlignment="1">
      <alignment horizontal="left" wrapText="1"/>
    </xf>
    <xf numFmtId="0" fontId="0" fillId="0" borderId="11" xfId="0" applyBorder="1"/>
    <xf numFmtId="164" fontId="24" fillId="13" borderId="36" xfId="0" applyNumberFormat="1" applyFont="1" applyFill="1" applyBorder="1" applyAlignment="1">
      <alignment horizontal="left" wrapText="1"/>
    </xf>
    <xf numFmtId="164" fontId="24" fillId="13" borderId="37" xfId="0" applyNumberFormat="1" applyFont="1" applyFill="1" applyBorder="1" applyAlignment="1">
      <alignment horizontal="left" wrapText="1"/>
    </xf>
    <xf numFmtId="164" fontId="0" fillId="0" borderId="4" xfId="0" applyNumberFormat="1" applyBorder="1" applyAlignment="1">
      <alignment horizontal="center" wrapText="1"/>
    </xf>
    <xf numFmtId="164" fontId="0" fillId="13" borderId="29" xfId="0" applyNumberFormat="1" applyFill="1" applyBorder="1" applyAlignment="1">
      <alignment horizontal="left" vertical="top" wrapText="1"/>
    </xf>
    <xf numFmtId="0" fontId="0" fillId="13" borderId="29" xfId="0" applyFill="1" applyBorder="1" applyAlignment="1">
      <alignment horizontal="left" vertical="top" wrapText="1"/>
    </xf>
    <xf numFmtId="0" fontId="0" fillId="13" borderId="29" xfId="0" applyFill="1" applyBorder="1" applyAlignment="1">
      <alignment wrapText="1"/>
    </xf>
    <xf numFmtId="0" fontId="0" fillId="13" borderId="29" xfId="0" applyFill="1" applyBorder="1" applyAlignment="1">
      <alignment vertical="top"/>
    </xf>
    <xf numFmtId="0" fontId="0" fillId="0" borderId="11" xfId="0" applyBorder="1" applyAlignment="1">
      <alignment vertical="top"/>
    </xf>
    <xf numFmtId="0" fontId="0" fillId="13" borderId="37" xfId="0" applyFill="1" applyBorder="1" applyAlignment="1">
      <alignment vertical="top" wrapText="1"/>
    </xf>
    <xf numFmtId="0" fontId="0" fillId="13" borderId="37" xfId="0" applyFill="1" applyBorder="1" applyAlignment="1">
      <alignment horizontal="left" vertical="top" wrapText="1"/>
    </xf>
    <xf numFmtId="164" fontId="0" fillId="13" borderId="37" xfId="0" applyNumberFormat="1" applyFill="1" applyBorder="1" applyAlignment="1">
      <alignment horizontal="left" vertical="top" wrapText="1"/>
    </xf>
    <xf numFmtId="164" fontId="0" fillId="0" borderId="4" xfId="0" applyNumberFormat="1" applyBorder="1" applyAlignment="1">
      <alignment horizontal="left" vertical="top" wrapText="1"/>
    </xf>
    <xf numFmtId="0" fontId="0" fillId="13" borderId="37" xfId="0" applyFill="1" applyBorder="1" applyAlignment="1">
      <alignment horizontal="left" vertical="top"/>
    </xf>
    <xf numFmtId="0" fontId="0" fillId="0" borderId="11" xfId="0" applyBorder="1" applyAlignment="1">
      <alignment horizontal="left" vertical="top"/>
    </xf>
    <xf numFmtId="164" fontId="0" fillId="0" borderId="4" xfId="0" applyNumberFormat="1" applyBorder="1" applyAlignment="1">
      <alignment horizontal="center" vertical="top" wrapText="1"/>
    </xf>
    <xf numFmtId="164" fontId="0" fillId="0" borderId="0" xfId="0" applyNumberFormat="1" applyAlignment="1">
      <alignment horizontal="center" vertical="top" wrapText="1"/>
    </xf>
    <xf numFmtId="164" fontId="0" fillId="0" borderId="4" xfId="0" applyNumberFormat="1" applyBorder="1" applyAlignment="1">
      <alignment vertical="top" wrapText="1"/>
    </xf>
    <xf numFmtId="164" fontId="0" fillId="0" borderId="5" xfId="0" applyNumberFormat="1" applyBorder="1" applyAlignment="1">
      <alignment vertical="top" wrapText="1"/>
    </xf>
    <xf numFmtId="164" fontId="0" fillId="0" borderId="6" xfId="0" applyNumberFormat="1" applyBorder="1" applyAlignment="1">
      <alignment vertical="top" wrapText="1"/>
    </xf>
    <xf numFmtId="0" fontId="0" fillId="0" borderId="6" xfId="0" applyBorder="1" applyAlignment="1">
      <alignment horizontal="left" vertical="top" wrapText="1"/>
    </xf>
    <xf numFmtId="164" fontId="0" fillId="0" borderId="6" xfId="0" applyNumberFormat="1" applyBorder="1" applyAlignment="1">
      <alignment horizontal="left" vertical="top" wrapText="1"/>
    </xf>
    <xf numFmtId="0" fontId="0" fillId="0" borderId="12" xfId="0" applyBorder="1" applyAlignment="1">
      <alignment horizontal="left" vertical="top"/>
    </xf>
    <xf numFmtId="0" fontId="0" fillId="0" borderId="11" xfId="0" applyBorder="1" applyAlignment="1">
      <alignment horizontal="left" wrapText="1"/>
    </xf>
    <xf numFmtId="164" fontId="24" fillId="9" borderId="36" xfId="0" applyNumberFormat="1" applyFont="1" applyFill="1" applyBorder="1" applyAlignment="1">
      <alignment horizontal="left" wrapText="1"/>
    </xf>
    <xf numFmtId="164" fontId="24" fillId="9" borderId="37" xfId="0" applyNumberFormat="1" applyFont="1" applyFill="1" applyBorder="1" applyAlignment="1">
      <alignment horizontal="left" wrapText="1"/>
    </xf>
    <xf numFmtId="164" fontId="0" fillId="0" borderId="11" xfId="0" applyNumberFormat="1" applyBorder="1" applyAlignment="1">
      <alignment horizontal="center" wrapText="1"/>
    </xf>
    <xf numFmtId="164" fontId="0" fillId="8" borderId="37" xfId="0" applyNumberFormat="1" applyFill="1" applyBorder="1" applyAlignment="1">
      <alignment horizontal="left" vertical="top" wrapText="1"/>
    </xf>
    <xf numFmtId="164" fontId="0" fillId="0" borderId="11" xfId="0" applyNumberFormat="1" applyBorder="1" applyAlignment="1">
      <alignment horizontal="left" vertical="top" wrapText="1"/>
    </xf>
    <xf numFmtId="164" fontId="0" fillId="0" borderId="36" xfId="0" applyNumberFormat="1" applyBorder="1" applyAlignment="1">
      <alignment horizontal="left" vertical="top" wrapText="1"/>
    </xf>
    <xf numFmtId="164" fontId="0" fillId="8" borderId="37" xfId="0" applyNumberFormat="1" applyFill="1" applyBorder="1" applyAlignment="1">
      <alignment vertical="top" wrapText="1"/>
    </xf>
    <xf numFmtId="164" fontId="0" fillId="0" borderId="11" xfId="0" applyNumberFormat="1" applyBorder="1" applyAlignment="1">
      <alignment vertical="top" wrapText="1"/>
    </xf>
    <xf numFmtId="0" fontId="0" fillId="0" borderId="6" xfId="0" applyBorder="1" applyAlignment="1">
      <alignment vertical="top" wrapText="1"/>
    </xf>
    <xf numFmtId="164" fontId="0" fillId="0" borderId="12" xfId="0" applyNumberFormat="1" applyBorder="1" applyAlignment="1">
      <alignment vertical="top" wrapText="1"/>
    </xf>
    <xf numFmtId="0" fontId="24" fillId="0" borderId="4" xfId="0" applyFont="1" applyBorder="1" applyAlignment="1">
      <alignment horizontal="center" wrapText="1"/>
    </xf>
    <xf numFmtId="0" fontId="24" fillId="0" borderId="0" xfId="0" applyFont="1" applyAlignment="1">
      <alignment horizontal="center" wrapText="1"/>
    </xf>
    <xf numFmtId="0" fontId="24" fillId="0" borderId="11" xfId="0" applyFont="1" applyBorder="1" applyAlignment="1">
      <alignment horizontal="center" wrapText="1"/>
    </xf>
    <xf numFmtId="164" fontId="24" fillId="3" borderId="36" xfId="0" applyNumberFormat="1" applyFont="1" applyFill="1" applyBorder="1" applyAlignment="1">
      <alignment horizontal="left" wrapText="1"/>
    </xf>
    <xf numFmtId="164" fontId="24" fillId="3" borderId="37" xfId="0" applyNumberFormat="1" applyFont="1" applyFill="1" applyBorder="1" applyAlignment="1">
      <alignment horizontal="left" wrapText="1"/>
    </xf>
    <xf numFmtId="164" fontId="0" fillId="3" borderId="37" xfId="0" applyNumberFormat="1" applyFill="1" applyBorder="1" applyAlignment="1">
      <alignment horizontal="left" vertical="top" wrapText="1"/>
    </xf>
    <xf numFmtId="164" fontId="0" fillId="0" borderId="36" xfId="0" applyNumberFormat="1" applyBorder="1" applyAlignment="1">
      <alignment vertical="top" wrapText="1"/>
    </xf>
    <xf numFmtId="164" fontId="0" fillId="0" borderId="6" xfId="0" applyNumberFormat="1" applyBorder="1" applyAlignment="1">
      <alignment horizontal="center" wrapText="1"/>
    </xf>
    <xf numFmtId="0" fontId="0" fillId="0" borderId="6" xfId="0" applyBorder="1" applyAlignment="1">
      <alignment wrapText="1"/>
    </xf>
    <xf numFmtId="164" fontId="0" fillId="0" borderId="12" xfId="0" applyNumberFormat="1" applyBorder="1" applyAlignment="1">
      <alignment horizontal="left" vertical="top" wrapText="1"/>
    </xf>
    <xf numFmtId="0" fontId="24" fillId="0" borderId="4" xfId="0" applyFont="1" applyBorder="1" applyAlignment="1">
      <alignment horizontal="center" vertical="center" wrapText="1"/>
    </xf>
    <xf numFmtId="0" fontId="24" fillId="0" borderId="0" xfId="0" applyFont="1" applyAlignment="1">
      <alignment horizontal="center" vertical="center" wrapText="1"/>
    </xf>
    <xf numFmtId="0" fontId="24" fillId="0" borderId="11" xfId="0" applyFont="1" applyBorder="1" applyAlignment="1">
      <alignment horizontal="center" vertical="center" wrapText="1"/>
    </xf>
    <xf numFmtId="0" fontId="24" fillId="6" borderId="36" xfId="0" applyFont="1" applyFill="1" applyBorder="1"/>
    <xf numFmtId="164" fontId="24" fillId="6" borderId="37" xfId="0" applyNumberFormat="1" applyFont="1" applyFill="1" applyBorder="1" applyAlignment="1">
      <alignment horizontal="left" wrapText="1"/>
    </xf>
    <xf numFmtId="164" fontId="0" fillId="6" borderId="37" xfId="0" applyNumberFormat="1" applyFill="1" applyBorder="1" applyAlignment="1">
      <alignment horizontal="left" vertical="top" wrapText="1"/>
    </xf>
    <xf numFmtId="164" fontId="0" fillId="0" borderId="0" xfId="0" applyNumberFormat="1" applyAlignment="1">
      <alignment horizontal="left" vertical="center" wrapText="1"/>
    </xf>
    <xf numFmtId="164" fontId="0" fillId="6" borderId="37" xfId="0" applyNumberFormat="1" applyFill="1" applyBorder="1" applyAlignment="1">
      <alignment horizontal="left" wrapText="1"/>
    </xf>
    <xf numFmtId="164" fontId="0" fillId="6" borderId="37" xfId="0" applyNumberFormat="1" applyFill="1" applyBorder="1" applyAlignment="1">
      <alignment vertical="top" wrapText="1"/>
    </xf>
    <xf numFmtId="0" fontId="0" fillId="0" borderId="4" xfId="0" applyBorder="1" applyAlignment="1">
      <alignment horizontal="left" vertical="top"/>
    </xf>
    <xf numFmtId="0" fontId="0" fillId="0" borderId="36" xfId="0" applyBorder="1" applyAlignment="1">
      <alignment horizontal="left" vertical="top" wrapText="1"/>
    </xf>
    <xf numFmtId="0" fontId="0" fillId="0" borderId="5" xfId="0" applyBorder="1" applyAlignment="1">
      <alignment horizontal="left" vertical="top"/>
    </xf>
    <xf numFmtId="0" fontId="0" fillId="0" borderId="6" xfId="0" applyBorder="1"/>
    <xf numFmtId="164" fontId="0" fillId="0" borderId="6" xfId="0" applyNumberFormat="1" applyBorder="1" applyAlignment="1">
      <alignment horizontal="center" vertical="center" wrapText="1"/>
    </xf>
    <xf numFmtId="14" fontId="34" fillId="0" borderId="0" xfId="0" applyNumberFormat="1" applyFont="1" applyAlignment="1">
      <alignment vertical="center"/>
    </xf>
    <xf numFmtId="0" fontId="0" fillId="0" borderId="8" xfId="0" applyBorder="1"/>
    <xf numFmtId="0" fontId="32" fillId="10" borderId="61" xfId="0" applyFont="1" applyFill="1" applyBorder="1" applyAlignment="1">
      <alignment horizontal="left" vertical="top" wrapText="1"/>
    </xf>
    <xf numFmtId="164" fontId="0" fillId="0" borderId="8" xfId="0" applyNumberFormat="1" applyBorder="1" applyAlignment="1">
      <alignment horizontal="center" vertical="center" wrapText="1"/>
    </xf>
    <xf numFmtId="164" fontId="0" fillId="0" borderId="13" xfId="0" applyNumberFormat="1" applyBorder="1" applyAlignment="1">
      <alignment horizontal="center" wrapText="1"/>
    </xf>
    <xf numFmtId="164" fontId="0" fillId="0" borderId="12" xfId="0" applyNumberFormat="1" applyBorder="1" applyAlignment="1">
      <alignment horizontal="center" wrapText="1"/>
    </xf>
    <xf numFmtId="164" fontId="0" fillId="0" borderId="7" xfId="0" applyNumberFormat="1" applyBorder="1" applyAlignment="1">
      <alignment horizontal="center" wrapText="1"/>
    </xf>
    <xf numFmtId="164" fontId="0" fillId="0" borderId="8" xfId="0" applyNumberFormat="1" applyBorder="1" applyAlignment="1">
      <alignment horizontal="center" wrapText="1"/>
    </xf>
    <xf numFmtId="0" fontId="0" fillId="0" borderId="8" xfId="0" applyBorder="1" applyAlignment="1">
      <alignment wrapText="1"/>
    </xf>
    <xf numFmtId="164" fontId="0" fillId="0" borderId="5" xfId="0" applyNumberFormat="1" applyBorder="1" applyAlignment="1">
      <alignment horizontal="center" wrapText="1"/>
    </xf>
    <xf numFmtId="0" fontId="32" fillId="10" borderId="61" xfId="0" applyFont="1" applyFill="1" applyBorder="1" applyAlignment="1">
      <alignment vertical="top" wrapText="1"/>
    </xf>
    <xf numFmtId="0" fontId="0" fillId="0" borderId="13" xfId="0" applyBorder="1"/>
    <xf numFmtId="0" fontId="0" fillId="0" borderId="12" xfId="0" applyBorder="1"/>
    <xf numFmtId="0" fontId="0" fillId="0" borderId="37" xfId="0" applyBorder="1" applyAlignment="1">
      <alignment horizontal="left" vertical="top"/>
    </xf>
    <xf numFmtId="164" fontId="0" fillId="0" borderId="37" xfId="0" applyNumberFormat="1" applyBorder="1" applyAlignment="1">
      <alignment horizontal="left" vertical="top" wrapText="1"/>
    </xf>
    <xf numFmtId="0" fontId="0" fillId="0" borderId="50" xfId="0" applyBorder="1" applyAlignment="1">
      <alignment wrapText="1"/>
    </xf>
    <xf numFmtId="0" fontId="0" fillId="0" borderId="29" xfId="0" applyBorder="1"/>
    <xf numFmtId="0" fontId="0" fillId="13" borderId="29" xfId="0" applyFill="1" applyBorder="1" applyAlignment="1">
      <alignment horizontal="left" vertical="top"/>
    </xf>
    <xf numFmtId="0" fontId="0" fillId="0" borderId="62" xfId="0" applyBorder="1" applyAlignment="1">
      <alignment horizontal="center" vertical="center"/>
    </xf>
    <xf numFmtId="14" fontId="0" fillId="0" borderId="50" xfId="0" applyNumberFormat="1" applyBorder="1" applyAlignment="1">
      <alignment horizontal="center"/>
    </xf>
    <xf numFmtId="14" fontId="0" fillId="6" borderId="50" xfId="0" applyNumberFormat="1" applyFill="1" applyBorder="1" applyAlignment="1">
      <alignment horizontal="center"/>
    </xf>
    <xf numFmtId="14" fontId="0" fillId="7" borderId="50" xfId="0" applyNumberFormat="1" applyFill="1" applyBorder="1" applyAlignment="1">
      <alignment horizontal="center"/>
    </xf>
    <xf numFmtId="14" fontId="0" fillId="6" borderId="63" xfId="0" applyNumberFormat="1" applyFill="1" applyBorder="1" applyAlignment="1">
      <alignment horizontal="center"/>
    </xf>
    <xf numFmtId="0" fontId="33" fillId="0" borderId="0" xfId="0" applyFont="1" applyAlignment="1">
      <alignment vertical="center"/>
    </xf>
    <xf numFmtId="0" fontId="35" fillId="0" borderId="0" xfId="0" applyFont="1" applyAlignment="1">
      <alignment vertical="center"/>
    </xf>
    <xf numFmtId="0" fontId="24" fillId="0" borderId="0" xfId="0" applyFont="1" applyAlignment="1">
      <alignment vertical="top" wrapText="1"/>
    </xf>
    <xf numFmtId="0" fontId="33" fillId="14" borderId="31" xfId="0" applyFont="1" applyFill="1" applyBorder="1" applyAlignment="1">
      <alignment horizontal="center" vertical="center"/>
    </xf>
    <xf numFmtId="0" fontId="0" fillId="0" borderId="39" xfId="0" applyBorder="1" applyAlignment="1">
      <alignment horizontal="left" vertical="top" wrapText="1"/>
    </xf>
    <xf numFmtId="0" fontId="0" fillId="0" borderId="0" xfId="0" applyAlignment="1">
      <alignment vertical="center" wrapText="1"/>
    </xf>
    <xf numFmtId="2" fontId="0" fillId="0" borderId="0" xfId="0" applyNumberFormat="1" applyAlignment="1">
      <alignment horizontal="left" vertical="center" wrapText="1"/>
    </xf>
    <xf numFmtId="0" fontId="2" fillId="0" borderId="4" xfId="0" applyFont="1" applyBorder="1"/>
    <xf numFmtId="49" fontId="12" fillId="0" borderId="0" xfId="0" applyNumberFormat="1" applyFont="1" applyAlignment="1">
      <alignment vertical="center" wrapText="1"/>
    </xf>
    <xf numFmtId="0" fontId="13" fillId="0" borderId="0" xfId="0" applyFont="1" applyAlignment="1">
      <alignment vertical="center" wrapText="1"/>
    </xf>
    <xf numFmtId="0" fontId="15" fillId="2" borderId="52" xfId="0" applyFont="1" applyFill="1" applyBorder="1" applyAlignment="1">
      <alignment horizontal="center"/>
    </xf>
    <xf numFmtId="0" fontId="5" fillId="2" borderId="65" xfId="0" applyFont="1" applyFill="1" applyBorder="1" applyAlignment="1">
      <alignment horizontal="center"/>
    </xf>
    <xf numFmtId="14" fontId="19" fillId="3" borderId="69" xfId="0" applyNumberFormat="1" applyFont="1" applyFill="1" applyBorder="1" applyAlignment="1">
      <alignment horizontal="center" vertical="center"/>
    </xf>
    <xf numFmtId="14" fontId="19" fillId="3" borderId="70" xfId="0" applyNumberFormat="1" applyFont="1" applyFill="1" applyBorder="1" applyAlignment="1">
      <alignment horizontal="center"/>
    </xf>
    <xf numFmtId="0" fontId="19" fillId="3" borderId="71" xfId="0" applyFont="1" applyFill="1" applyBorder="1" applyAlignment="1">
      <alignment horizontal="center" vertical="center"/>
    </xf>
    <xf numFmtId="0" fontId="14" fillId="3" borderId="8" xfId="0" applyFont="1" applyFill="1" applyBorder="1" applyAlignment="1">
      <alignment vertical="center"/>
    </xf>
    <xf numFmtId="0" fontId="14" fillId="3" borderId="13" xfId="0" applyFont="1" applyFill="1" applyBorder="1" applyAlignment="1">
      <alignment vertical="center"/>
    </xf>
    <xf numFmtId="0" fontId="0" fillId="0" borderId="36" xfId="0" applyBorder="1" applyAlignment="1">
      <alignment horizontal="center"/>
    </xf>
    <xf numFmtId="0" fontId="0" fillId="0" borderId="37" xfId="0" applyBorder="1" applyAlignment="1">
      <alignment horizontal="center"/>
    </xf>
    <xf numFmtId="0" fontId="0" fillId="6" borderId="36" xfId="0" applyFill="1" applyBorder="1" applyAlignment="1">
      <alignment horizontal="center"/>
    </xf>
    <xf numFmtId="0" fontId="0" fillId="6" borderId="37" xfId="0" applyFill="1" applyBorder="1" applyAlignment="1">
      <alignment horizontal="center"/>
    </xf>
    <xf numFmtId="0" fontId="0" fillId="6" borderId="26" xfId="0" applyFill="1" applyBorder="1" applyAlignment="1">
      <alignment horizontal="center"/>
    </xf>
    <xf numFmtId="0" fontId="0" fillId="6" borderId="38" xfId="0" applyFill="1" applyBorder="1" applyAlignment="1">
      <alignment horizontal="center"/>
    </xf>
    <xf numFmtId="0" fontId="24" fillId="0" borderId="0" xfId="0" applyFont="1"/>
    <xf numFmtId="0" fontId="39" fillId="0" borderId="34" xfId="0" applyFont="1" applyBorder="1" applyAlignment="1">
      <alignment horizontal="center" vertical="center"/>
    </xf>
    <xf numFmtId="0" fontId="9" fillId="0" borderId="8" xfId="1" applyFont="1" applyBorder="1" applyAlignment="1">
      <alignment vertical="center" wrapText="1"/>
    </xf>
    <xf numFmtId="0" fontId="9" fillId="0" borderId="0" xfId="1" applyFont="1" applyBorder="1" applyAlignment="1">
      <alignment vertical="center" wrapText="1"/>
    </xf>
    <xf numFmtId="0" fontId="9" fillId="0" borderId="0" xfId="1" applyFont="1" applyAlignment="1">
      <alignment vertical="center" wrapText="1"/>
    </xf>
    <xf numFmtId="0" fontId="40" fillId="0" borderId="46" xfId="0" applyFont="1" applyBorder="1" applyAlignment="1">
      <alignment horizontal="left"/>
    </xf>
    <xf numFmtId="0" fontId="40" fillId="0" borderId="0" xfId="0" applyFont="1"/>
    <xf numFmtId="0" fontId="40" fillId="0" borderId="0" xfId="0" applyFont="1" applyAlignment="1">
      <alignment horizontal="center" vertical="center" textRotation="90"/>
    </xf>
    <xf numFmtId="0" fontId="40" fillId="0" borderId="0" xfId="0" applyFont="1" applyAlignment="1">
      <alignment vertical="center" textRotation="90"/>
    </xf>
    <xf numFmtId="0" fontId="40" fillId="0" borderId="21" xfId="0" applyFont="1" applyBorder="1"/>
    <xf numFmtId="0" fontId="40" fillId="0" borderId="68" xfId="0" applyFont="1" applyBorder="1" applyAlignment="1">
      <alignment horizontal="center"/>
    </xf>
    <xf numFmtId="0" fontId="40" fillId="0" borderId="74" xfId="0" applyFont="1" applyBorder="1"/>
    <xf numFmtId="0" fontId="40" fillId="0" borderId="6" xfId="0" applyFont="1" applyBorder="1"/>
    <xf numFmtId="0" fontId="40" fillId="0" borderId="64" xfId="0" applyFont="1" applyBorder="1"/>
    <xf numFmtId="0" fontId="40" fillId="0" borderId="68" xfId="0" applyFont="1" applyBorder="1" applyAlignment="1">
      <alignment horizontal="left"/>
    </xf>
    <xf numFmtId="0" fontId="40" fillId="0" borderId="16" xfId="0" applyFont="1" applyBorder="1"/>
    <xf numFmtId="0" fontId="40" fillId="0" borderId="48" xfId="0" applyFont="1" applyBorder="1" applyAlignment="1">
      <alignment horizontal="center"/>
    </xf>
    <xf numFmtId="0" fontId="40" fillId="0" borderId="46" xfId="0" applyFont="1" applyBorder="1"/>
    <xf numFmtId="0" fontId="40" fillId="0" borderId="47" xfId="0" applyFont="1" applyBorder="1"/>
    <xf numFmtId="0" fontId="40" fillId="0" borderId="48" xfId="0" applyFont="1" applyBorder="1" applyAlignment="1">
      <alignment horizontal="center" vertical="center"/>
    </xf>
    <xf numFmtId="0" fontId="40" fillId="0" borderId="48" xfId="0" applyFont="1" applyBorder="1" applyAlignment="1">
      <alignment horizontal="left" vertical="center" textRotation="90"/>
    </xf>
    <xf numFmtId="0" fontId="40" fillId="0" borderId="48" xfId="0" applyFont="1" applyBorder="1" applyAlignment="1">
      <alignment horizontal="left" vertical="center"/>
    </xf>
    <xf numFmtId="0" fontId="8" fillId="0" borderId="10" xfId="1" applyBorder="1"/>
    <xf numFmtId="0" fontId="40" fillId="0" borderId="42" xfId="0" applyFont="1" applyBorder="1" applyAlignment="1">
      <alignment horizontal="center"/>
    </xf>
    <xf numFmtId="0" fontId="40" fillId="0" borderId="42" xfId="0" applyFont="1" applyBorder="1" applyAlignment="1">
      <alignment horizontal="center" vertical="center"/>
    </xf>
    <xf numFmtId="0" fontId="41" fillId="0" borderId="42" xfId="0" applyFont="1" applyBorder="1" applyAlignment="1">
      <alignment horizontal="left" vertical="center"/>
    </xf>
    <xf numFmtId="0" fontId="40" fillId="0" borderId="9" xfId="0" applyFont="1" applyBorder="1"/>
    <xf numFmtId="0" fontId="40" fillId="0" borderId="44" xfId="0" applyFont="1" applyBorder="1" applyAlignment="1">
      <alignment horizontal="center"/>
    </xf>
    <xf numFmtId="0" fontId="40" fillId="0" borderId="44" xfId="0" applyFont="1" applyBorder="1"/>
    <xf numFmtId="0" fontId="40" fillId="0" borderId="23" xfId="0" applyFont="1" applyBorder="1"/>
    <xf numFmtId="0" fontId="40" fillId="0" borderId="43" xfId="0" applyFont="1" applyBorder="1"/>
    <xf numFmtId="0" fontId="40" fillId="0" borderId="43" xfId="0" applyFont="1" applyBorder="1" applyAlignment="1">
      <alignment horizontal="center" vertical="center"/>
    </xf>
    <xf numFmtId="0" fontId="40" fillId="0" borderId="45" xfId="0" applyFont="1" applyBorder="1" applyAlignment="1">
      <alignment horizontal="left" vertical="center" textRotation="90"/>
    </xf>
    <xf numFmtId="0" fontId="40" fillId="0" borderId="46" xfId="0" applyFont="1" applyBorder="1" applyAlignment="1">
      <alignment horizontal="center"/>
    </xf>
    <xf numFmtId="0" fontId="40" fillId="0" borderId="47" xfId="0" applyFont="1" applyBorder="1" applyAlignment="1">
      <alignment horizontal="center" vertical="center"/>
    </xf>
    <xf numFmtId="0" fontId="40" fillId="0" borderId="10" xfId="0" applyFont="1" applyBorder="1"/>
    <xf numFmtId="0" fontId="40" fillId="0" borderId="41" xfId="0" applyFont="1" applyBorder="1" applyAlignment="1">
      <alignment horizontal="center"/>
    </xf>
    <xf numFmtId="0" fontId="40" fillId="0" borderId="41" xfId="0" applyFont="1" applyBorder="1"/>
    <xf numFmtId="0" fontId="40" fillId="0" borderId="24" xfId="0" applyFont="1" applyBorder="1"/>
    <xf numFmtId="0" fontId="40" fillId="0" borderId="40" xfId="0" applyFont="1" applyBorder="1"/>
    <xf numFmtId="0" fontId="40" fillId="0" borderId="40" xfId="0" applyFont="1" applyBorder="1" applyAlignment="1">
      <alignment horizontal="center" vertical="center"/>
    </xf>
    <xf numFmtId="0" fontId="42" fillId="0" borderId="42" xfId="0" applyFont="1" applyBorder="1" applyAlignment="1">
      <alignment horizontal="left" vertical="center"/>
    </xf>
    <xf numFmtId="0" fontId="40" fillId="0" borderId="45" xfId="0" applyFont="1" applyBorder="1" applyAlignment="1">
      <alignment horizontal="center"/>
    </xf>
    <xf numFmtId="0" fontId="40" fillId="0" borderId="45" xfId="0" applyFont="1" applyBorder="1" applyAlignment="1">
      <alignment horizontal="center" vertical="center"/>
    </xf>
    <xf numFmtId="0" fontId="41" fillId="0" borderId="24" xfId="0" applyFont="1" applyBorder="1" applyAlignment="1">
      <alignment horizontal="center" vertical="center"/>
    </xf>
    <xf numFmtId="0" fontId="41" fillId="0" borderId="46" xfId="0" applyFont="1" applyBorder="1" applyAlignment="1">
      <alignment horizontal="center" vertical="center"/>
    </xf>
    <xf numFmtId="0" fontId="0" fillId="0" borderId="47" xfId="1" applyFont="1" applyBorder="1"/>
    <xf numFmtId="0" fontId="41" fillId="0" borderId="0" xfId="0" applyFont="1" applyAlignment="1">
      <alignment horizontal="center" vertical="center"/>
    </xf>
    <xf numFmtId="0" fontId="44" fillId="0" borderId="0" xfId="0" applyFont="1"/>
    <xf numFmtId="0" fontId="40" fillId="5" borderId="39" xfId="0" applyFont="1" applyFill="1" applyBorder="1"/>
    <xf numFmtId="0" fontId="41" fillId="5" borderId="31" xfId="0" applyFont="1" applyFill="1" applyBorder="1" applyAlignment="1">
      <alignment horizontal="left"/>
    </xf>
    <xf numFmtId="0" fontId="41" fillId="5" borderId="50" xfId="0" applyFont="1" applyFill="1" applyBorder="1" applyAlignment="1">
      <alignment horizontal="left"/>
    </xf>
    <xf numFmtId="0" fontId="45" fillId="0" borderId="0" xfId="0" applyFont="1" applyAlignment="1">
      <alignment horizontal="center" vertical="center"/>
    </xf>
    <xf numFmtId="0" fontId="46" fillId="0" borderId="0" xfId="0" applyFont="1" applyAlignment="1">
      <alignment horizontal="left" vertical="center"/>
    </xf>
    <xf numFmtId="0" fontId="45" fillId="0" borderId="0" xfId="0" applyFont="1" applyAlignment="1">
      <alignment horizontal="left" vertical="center"/>
    </xf>
    <xf numFmtId="0" fontId="40" fillId="0" borderId="46" xfId="0" applyFont="1" applyBorder="1" applyAlignment="1">
      <alignment horizontal="left" vertical="center"/>
    </xf>
    <xf numFmtId="0" fontId="42" fillId="0" borderId="41" xfId="0" applyFont="1" applyBorder="1" applyAlignment="1">
      <alignment horizontal="left" vertical="center"/>
    </xf>
    <xf numFmtId="0" fontId="40" fillId="0" borderId="46" xfId="0" applyFont="1" applyBorder="1" applyAlignment="1">
      <alignment horizontal="left" vertical="center" textRotation="90"/>
    </xf>
    <xf numFmtId="0" fontId="40" fillId="0" borderId="44" xfId="0" applyFont="1" applyBorder="1" applyAlignment="1">
      <alignment horizontal="left" vertical="center" textRotation="90"/>
    </xf>
    <xf numFmtId="0" fontId="41" fillId="0" borderId="41" xfId="0" applyFont="1" applyBorder="1" applyAlignment="1">
      <alignment horizontal="left" vertical="center"/>
    </xf>
    <xf numFmtId="0" fontId="42" fillId="0" borderId="46" xfId="0" applyFont="1" applyBorder="1" applyAlignment="1">
      <alignment horizontal="left" vertical="center"/>
    </xf>
    <xf numFmtId="0" fontId="40" fillId="0" borderId="47" xfId="0" applyFont="1" applyBorder="1" applyAlignment="1">
      <alignment horizontal="center"/>
    </xf>
    <xf numFmtId="0" fontId="41" fillId="0" borderId="16" xfId="0" applyFont="1" applyBorder="1" applyAlignment="1">
      <alignment horizontal="center"/>
    </xf>
    <xf numFmtId="0" fontId="40" fillId="2" borderId="42" xfId="0" applyFont="1" applyFill="1" applyBorder="1"/>
    <xf numFmtId="0" fontId="40" fillId="2" borderId="48" xfId="0" applyFont="1" applyFill="1" applyBorder="1"/>
    <xf numFmtId="0" fontId="40" fillId="2" borderId="45" xfId="0" applyFont="1" applyFill="1" applyBorder="1"/>
    <xf numFmtId="0" fontId="40" fillId="15" borderId="42" xfId="0" applyFont="1" applyFill="1" applyBorder="1"/>
    <xf numFmtId="0" fontId="40" fillId="15" borderId="45" xfId="0" applyFont="1" applyFill="1" applyBorder="1"/>
    <xf numFmtId="0" fontId="40" fillId="15" borderId="4" xfId="0" applyFont="1" applyFill="1" applyBorder="1"/>
    <xf numFmtId="0" fontId="40" fillId="15" borderId="5" xfId="0" applyFont="1" applyFill="1" applyBorder="1"/>
    <xf numFmtId="20" fontId="40" fillId="0" borderId="48" xfId="0" applyNumberFormat="1" applyFont="1" applyBorder="1" applyAlignment="1">
      <alignment horizontal="left" vertical="center"/>
    </xf>
    <xf numFmtId="0" fontId="8" fillId="0" borderId="16" xfId="1" applyBorder="1"/>
    <xf numFmtId="0" fontId="15" fillId="16" borderId="52" xfId="0" applyFont="1" applyFill="1" applyBorder="1" applyAlignment="1">
      <alignment horizontal="center"/>
    </xf>
    <xf numFmtId="0" fontId="5" fillId="16" borderId="65" xfId="0" applyFont="1" applyFill="1" applyBorder="1" applyAlignment="1">
      <alignment horizontal="center"/>
    </xf>
    <xf numFmtId="0" fontId="19" fillId="16" borderId="28" xfId="0" applyFont="1" applyFill="1" applyBorder="1" applyAlignment="1">
      <alignment horizontal="center" vertical="center"/>
    </xf>
    <xf numFmtId="0" fontId="19" fillId="16" borderId="0" xfId="0" applyFont="1" applyFill="1" applyAlignment="1">
      <alignment horizontal="center" vertical="center"/>
    </xf>
    <xf numFmtId="0" fontId="15" fillId="0" borderId="0" xfId="0" applyFont="1"/>
    <xf numFmtId="0" fontId="25" fillId="0" borderId="0" xfId="0" applyFont="1" applyAlignment="1">
      <alignment vertical="center"/>
    </xf>
    <xf numFmtId="0" fontId="2" fillId="0" borderId="3" xfId="0" applyFont="1" applyBorder="1"/>
    <xf numFmtId="0" fontId="9" fillId="5" borderId="1" xfId="0" applyFont="1" applyFill="1" applyBorder="1" applyAlignment="1">
      <alignment vertical="center"/>
    </xf>
    <xf numFmtId="0" fontId="9" fillId="5" borderId="3" xfId="0" applyFont="1" applyFill="1" applyBorder="1" applyAlignment="1">
      <alignment vertical="center"/>
    </xf>
    <xf numFmtId="0" fontId="9" fillId="5" borderId="2" xfId="0" applyFont="1" applyFill="1" applyBorder="1" applyAlignment="1">
      <alignment vertical="center"/>
    </xf>
    <xf numFmtId="0" fontId="5" fillId="2" borderId="22" xfId="0" applyFont="1" applyFill="1" applyBorder="1" applyAlignment="1">
      <alignment horizontal="left"/>
    </xf>
    <xf numFmtId="0" fontId="5" fillId="2" borderId="4" xfId="0" applyFont="1" applyFill="1" applyBorder="1" applyAlignment="1">
      <alignment horizontal="left"/>
    </xf>
    <xf numFmtId="0" fontId="5" fillId="2" borderId="14" xfId="0" applyFont="1" applyFill="1" applyBorder="1" applyAlignment="1">
      <alignment horizontal="left"/>
    </xf>
    <xf numFmtId="0" fontId="19" fillId="2" borderId="5" xfId="0" applyFont="1" applyFill="1" applyBorder="1" applyAlignment="1">
      <alignment horizontal="left"/>
    </xf>
    <xf numFmtId="0" fontId="19" fillId="16" borderId="7" xfId="0" applyFont="1" applyFill="1" applyBorder="1" applyAlignment="1">
      <alignment horizontal="left"/>
    </xf>
    <xf numFmtId="0" fontId="0" fillId="16" borderId="8" xfId="0" applyFill="1" applyBorder="1"/>
    <xf numFmtId="0" fontId="0" fillId="16" borderId="13" xfId="0" applyFill="1" applyBorder="1"/>
    <xf numFmtId="0" fontId="5" fillId="16" borderId="22" xfId="0" applyFont="1" applyFill="1" applyBorder="1" applyAlignment="1">
      <alignment horizontal="left"/>
    </xf>
    <xf numFmtId="0" fontId="5" fillId="16" borderId="4" xfId="0" applyFont="1" applyFill="1" applyBorder="1" applyAlignment="1">
      <alignment horizontal="left"/>
    </xf>
    <xf numFmtId="0" fontId="5" fillId="16" borderId="14" xfId="0" applyFont="1" applyFill="1" applyBorder="1" applyAlignment="1">
      <alignment horizontal="left"/>
    </xf>
    <xf numFmtId="0" fontId="19" fillId="16" borderId="5" xfId="0" applyFont="1" applyFill="1" applyBorder="1" applyAlignment="1">
      <alignment horizontal="left"/>
    </xf>
    <xf numFmtId="0" fontId="19" fillId="16" borderId="26" xfId="0" applyFont="1" applyFill="1" applyBorder="1" applyAlignment="1">
      <alignment horizontal="center" vertical="center"/>
    </xf>
    <xf numFmtId="0" fontId="19" fillId="16" borderId="22" xfId="0" applyFont="1" applyFill="1" applyBorder="1" applyAlignment="1">
      <alignment horizontal="center" vertical="center"/>
    </xf>
    <xf numFmtId="0" fontId="19" fillId="2" borderId="35" xfId="0" applyFont="1" applyFill="1" applyBorder="1" applyAlignment="1">
      <alignment horizontal="center" vertical="center"/>
    </xf>
    <xf numFmtId="0" fontId="19" fillId="2" borderId="71" xfId="0" applyFont="1" applyFill="1" applyBorder="1" applyAlignment="1">
      <alignment horizontal="center" vertical="center"/>
    </xf>
    <xf numFmtId="0" fontId="19" fillId="2" borderId="32" xfId="0" applyFont="1" applyFill="1" applyBorder="1" applyAlignment="1">
      <alignment horizontal="center" vertical="center"/>
    </xf>
    <xf numFmtId="0" fontId="40" fillId="0" borderId="40" xfId="0" applyFont="1" applyBorder="1" applyAlignment="1">
      <alignment horizontal="center"/>
    </xf>
    <xf numFmtId="0" fontId="40" fillId="0" borderId="43" xfId="0" applyFont="1" applyBorder="1" applyAlignment="1">
      <alignment horizontal="center"/>
    </xf>
    <xf numFmtId="0" fontId="40" fillId="0" borderId="42" xfId="0" applyFont="1" applyBorder="1"/>
    <xf numFmtId="0" fontId="40" fillId="0" borderId="48" xfId="0" applyFont="1" applyBorder="1"/>
    <xf numFmtId="0" fontId="8" fillId="0" borderId="48" xfId="1" applyBorder="1"/>
    <xf numFmtId="0" fontId="40" fillId="0" borderId="45" xfId="0" applyFont="1" applyBorder="1"/>
    <xf numFmtId="0" fontId="41" fillId="0" borderId="42" xfId="0" applyFont="1" applyBorder="1" applyAlignment="1">
      <alignment horizontal="center"/>
    </xf>
    <xf numFmtId="0" fontId="8" fillId="0" borderId="42" xfId="1" applyBorder="1"/>
    <xf numFmtId="0" fontId="8" fillId="0" borderId="45" xfId="1" applyBorder="1"/>
    <xf numFmtId="0" fontId="40" fillId="15" borderId="47" xfId="0" applyFont="1" applyFill="1" applyBorder="1"/>
    <xf numFmtId="0" fontId="40" fillId="15" borderId="43" xfId="0" applyFont="1" applyFill="1" applyBorder="1"/>
    <xf numFmtId="0" fontId="40" fillId="0" borderId="45" xfId="0" applyFont="1" applyBorder="1" applyAlignment="1">
      <alignment horizontal="left"/>
    </xf>
    <xf numFmtId="0" fontId="51" fillId="17" borderId="47" xfId="0" applyFont="1" applyFill="1" applyBorder="1" applyAlignment="1">
      <alignment horizontal="center" vertical="center"/>
    </xf>
    <xf numFmtId="0" fontId="51" fillId="17" borderId="47" xfId="0" applyFont="1" applyFill="1" applyBorder="1"/>
    <xf numFmtId="0" fontId="51" fillId="17" borderId="0" xfId="0" applyFont="1" applyFill="1"/>
    <xf numFmtId="0" fontId="51" fillId="17" borderId="46" xfId="0" applyFont="1" applyFill="1" applyBorder="1"/>
    <xf numFmtId="0" fontId="51" fillId="17" borderId="46" xfId="0" applyFont="1" applyFill="1" applyBorder="1" applyAlignment="1">
      <alignment horizontal="center"/>
    </xf>
    <xf numFmtId="0" fontId="51" fillId="17" borderId="43" xfId="0" applyFont="1" applyFill="1" applyBorder="1" applyAlignment="1">
      <alignment horizontal="center" vertical="center"/>
    </xf>
    <xf numFmtId="0" fontId="51" fillId="17" borderId="44" xfId="0" applyFont="1" applyFill="1" applyBorder="1" applyAlignment="1">
      <alignment horizontal="center"/>
    </xf>
    <xf numFmtId="0" fontId="51" fillId="17" borderId="42" xfId="0" applyFont="1" applyFill="1" applyBorder="1" applyAlignment="1">
      <alignment horizontal="center" vertical="center"/>
    </xf>
    <xf numFmtId="0" fontId="51" fillId="17" borderId="24" xfId="0" applyFont="1" applyFill="1" applyBorder="1"/>
    <xf numFmtId="0" fontId="52" fillId="17" borderId="24" xfId="0" applyFont="1" applyFill="1" applyBorder="1" applyAlignment="1">
      <alignment horizontal="center" vertical="center"/>
    </xf>
    <xf numFmtId="0" fontId="51" fillId="17" borderId="40" xfId="0" applyFont="1" applyFill="1" applyBorder="1" applyAlignment="1">
      <alignment horizontal="center"/>
    </xf>
    <xf numFmtId="0" fontId="51" fillId="17" borderId="48" xfId="0" applyFont="1" applyFill="1" applyBorder="1" applyAlignment="1">
      <alignment horizontal="center" vertical="center"/>
    </xf>
    <xf numFmtId="0" fontId="51" fillId="17" borderId="47" xfId="0" applyFont="1" applyFill="1" applyBorder="1" applyAlignment="1">
      <alignment horizontal="center"/>
    </xf>
    <xf numFmtId="0" fontId="49" fillId="0" borderId="48" xfId="1" applyFont="1" applyBorder="1"/>
    <xf numFmtId="0" fontId="52" fillId="17" borderId="47" xfId="0" applyFont="1" applyFill="1" applyBorder="1"/>
    <xf numFmtId="0" fontId="0" fillId="0" borderId="47" xfId="0" applyBorder="1"/>
    <xf numFmtId="0" fontId="0" fillId="0" borderId="46" xfId="0" applyBorder="1"/>
    <xf numFmtId="0" fontId="55" fillId="0" borderId="42" xfId="1" applyFont="1" applyBorder="1"/>
    <xf numFmtId="0" fontId="51" fillId="17" borderId="45" xfId="0" applyFont="1" applyFill="1" applyBorder="1" applyAlignment="1">
      <alignment horizontal="center" vertical="center"/>
    </xf>
    <xf numFmtId="0" fontId="51" fillId="17" borderId="23" xfId="0" applyFont="1" applyFill="1" applyBorder="1"/>
    <xf numFmtId="0" fontId="51" fillId="17" borderId="43" xfId="0" applyFont="1" applyFill="1" applyBorder="1" applyAlignment="1">
      <alignment horizontal="center"/>
    </xf>
    <xf numFmtId="0" fontId="51" fillId="2" borderId="48" xfId="0" applyFont="1" applyFill="1" applyBorder="1"/>
    <xf numFmtId="0" fontId="51" fillId="2" borderId="45" xfId="0" applyFont="1" applyFill="1" applyBorder="1"/>
    <xf numFmtId="0" fontId="51" fillId="15" borderId="48" xfId="0" applyFont="1" applyFill="1" applyBorder="1"/>
    <xf numFmtId="0" fontId="40" fillId="2" borderId="47" xfId="0" applyFont="1" applyFill="1" applyBorder="1"/>
    <xf numFmtId="0" fontId="40" fillId="2" borderId="43" xfId="0" applyFont="1" applyFill="1" applyBorder="1"/>
    <xf numFmtId="0" fontId="8" fillId="0" borderId="0" xfId="1"/>
    <xf numFmtId="0" fontId="56" fillId="0" borderId="48" xfId="1" applyFont="1" applyFill="1" applyBorder="1"/>
    <xf numFmtId="0" fontId="56" fillId="0" borderId="45" xfId="1" applyFont="1" applyFill="1" applyBorder="1"/>
    <xf numFmtId="0" fontId="40" fillId="18" borderId="42" xfId="0" applyFont="1" applyFill="1" applyBorder="1"/>
    <xf numFmtId="0" fontId="40" fillId="18" borderId="45" xfId="0" applyFont="1" applyFill="1" applyBorder="1"/>
    <xf numFmtId="0" fontId="51" fillId="19" borderId="48" xfId="0" applyFont="1" applyFill="1" applyBorder="1"/>
    <xf numFmtId="0" fontId="51" fillId="19" borderId="45" xfId="0" applyFont="1" applyFill="1" applyBorder="1"/>
    <xf numFmtId="0" fontId="0" fillId="0" borderId="48" xfId="0" applyBorder="1"/>
    <xf numFmtId="0" fontId="40" fillId="19" borderId="0" xfId="0" applyFont="1" applyFill="1" applyAlignment="1">
      <alignment horizontal="left" vertical="center"/>
    </xf>
    <xf numFmtId="0" fontId="40" fillId="19" borderId="46" xfId="0" applyFont="1" applyFill="1" applyBorder="1" applyAlignment="1">
      <alignment horizontal="left" vertical="center"/>
    </xf>
    <xf numFmtId="0" fontId="49" fillId="0" borderId="48" xfId="1" applyFont="1" applyFill="1" applyBorder="1"/>
    <xf numFmtId="0" fontId="54" fillId="19" borderId="47" xfId="0" applyFont="1" applyFill="1" applyBorder="1" applyAlignment="1">
      <alignment horizontal="left"/>
    </xf>
    <xf numFmtId="0" fontId="54" fillId="19" borderId="0" xfId="0" applyFont="1" applyFill="1" applyAlignment="1">
      <alignment horizontal="left"/>
    </xf>
    <xf numFmtId="0" fontId="0" fillId="0" borderId="43" xfId="0" applyBorder="1"/>
    <xf numFmtId="0" fontId="0" fillId="0" borderId="23" xfId="0" applyBorder="1"/>
    <xf numFmtId="0" fontId="0" fillId="15" borderId="43" xfId="0" applyFill="1" applyBorder="1"/>
    <xf numFmtId="0" fontId="0" fillId="15" borderId="23" xfId="0" applyFill="1" applyBorder="1"/>
    <xf numFmtId="0" fontId="0" fillId="15" borderId="44" xfId="0" applyFill="1" applyBorder="1"/>
    <xf numFmtId="0" fontId="40" fillId="17" borderId="48" xfId="0" applyFont="1" applyFill="1" applyBorder="1" applyAlignment="1">
      <alignment horizontal="center" vertical="center"/>
    </xf>
    <xf numFmtId="0" fontId="40" fillId="17" borderId="0" xfId="0" applyFont="1" applyFill="1"/>
    <xf numFmtId="0" fontId="40" fillId="17" borderId="47" xfId="0" applyFont="1" applyFill="1" applyBorder="1" applyAlignment="1">
      <alignment horizontal="center"/>
    </xf>
    <xf numFmtId="0" fontId="40" fillId="17" borderId="47" xfId="0" applyFont="1" applyFill="1" applyBorder="1"/>
    <xf numFmtId="0" fontId="40" fillId="17" borderId="45" xfId="0" applyFont="1" applyFill="1" applyBorder="1" applyAlignment="1">
      <alignment horizontal="center" vertical="center"/>
    </xf>
    <xf numFmtId="0" fontId="40" fillId="17" borderId="23" xfId="0" applyFont="1" applyFill="1" applyBorder="1"/>
    <xf numFmtId="0" fontId="40" fillId="17" borderId="43" xfId="0" applyFont="1" applyFill="1" applyBorder="1" applyAlignment="1">
      <alignment horizontal="center"/>
    </xf>
    <xf numFmtId="0" fontId="0" fillId="0" borderId="47" xfId="1" applyFont="1" applyFill="1" applyBorder="1" applyAlignment="1"/>
    <xf numFmtId="0" fontId="24" fillId="0" borderId="0" xfId="1" applyFont="1" applyFill="1" applyBorder="1" applyAlignment="1"/>
    <xf numFmtId="0" fontId="24" fillId="0" borderId="46" xfId="1" applyFont="1" applyFill="1" applyBorder="1" applyAlignment="1"/>
    <xf numFmtId="0" fontId="40" fillId="0" borderId="0" xfId="0" applyFont="1" applyAlignment="1">
      <alignment horizontal="center"/>
    </xf>
    <xf numFmtId="0" fontId="8" fillId="0" borderId="47" xfId="1" applyFill="1" applyBorder="1" applyAlignment="1">
      <alignment horizontal="center"/>
    </xf>
    <xf numFmtId="0" fontId="8" fillId="0" borderId="0" xfId="1" applyFill="1" applyBorder="1" applyAlignment="1">
      <alignment horizontal="center"/>
    </xf>
    <xf numFmtId="0" fontId="8" fillId="0" borderId="46" xfId="1" applyFill="1" applyBorder="1" applyAlignment="1">
      <alignment horizontal="center"/>
    </xf>
    <xf numFmtId="0" fontId="14" fillId="20" borderId="72" xfId="0" applyFont="1" applyFill="1" applyBorder="1" applyAlignment="1">
      <alignment horizontal="left" vertical="center"/>
    </xf>
    <xf numFmtId="0" fontId="14" fillId="20" borderId="8" xfId="0" applyFont="1" applyFill="1" applyBorder="1" applyAlignment="1">
      <alignment horizontal="left" vertical="center"/>
    </xf>
    <xf numFmtId="0" fontId="14" fillId="20" borderId="13" xfId="0" applyFont="1" applyFill="1" applyBorder="1" applyAlignment="1">
      <alignment horizontal="left" vertical="center"/>
    </xf>
    <xf numFmtId="0" fontId="2" fillId="20" borderId="5" xfId="0" applyFont="1" applyFill="1" applyBorder="1" applyAlignment="1">
      <alignment vertical="center"/>
    </xf>
    <xf numFmtId="0" fontId="2" fillId="20" borderId="71" xfId="0" applyFont="1" applyFill="1" applyBorder="1" applyAlignment="1">
      <alignment vertical="center"/>
    </xf>
    <xf numFmtId="0" fontId="2" fillId="20" borderId="6" xfId="0" applyFont="1" applyFill="1" applyBorder="1" applyAlignment="1">
      <alignment vertical="center"/>
    </xf>
    <xf numFmtId="0" fontId="2" fillId="20" borderId="12" xfId="0" applyFont="1" applyFill="1" applyBorder="1" applyAlignment="1">
      <alignment vertical="center"/>
    </xf>
    <xf numFmtId="14" fontId="14" fillId="0" borderId="0" xfId="0" applyNumberFormat="1" applyFont="1" applyAlignment="1">
      <alignment horizontal="left" vertical="center" wrapText="1"/>
    </xf>
    <xf numFmtId="0" fontId="6" fillId="20" borderId="52" xfId="0" applyFont="1" applyFill="1" applyBorder="1" applyAlignment="1">
      <alignment horizontal="center" vertical="center"/>
    </xf>
    <xf numFmtId="0" fontId="6" fillId="20" borderId="53" xfId="0" applyFont="1" applyFill="1" applyBorder="1" applyAlignment="1">
      <alignment horizontal="center" vertical="center"/>
    </xf>
    <xf numFmtId="14" fontId="19" fillId="20" borderId="69" xfId="0" applyNumberFormat="1" applyFont="1" applyFill="1" applyBorder="1" applyAlignment="1">
      <alignment horizontal="center" vertical="center"/>
    </xf>
    <xf numFmtId="0" fontId="19" fillId="20" borderId="76" xfId="0" applyFont="1" applyFill="1" applyBorder="1" applyAlignment="1">
      <alignment horizontal="center" vertical="center"/>
    </xf>
    <xf numFmtId="0" fontId="4" fillId="5" borderId="3" xfId="0" applyFont="1" applyFill="1" applyBorder="1" applyAlignment="1" applyProtection="1">
      <alignment horizontal="center" vertical="center"/>
      <protection locked="0" hidden="1"/>
    </xf>
    <xf numFmtId="0" fontId="4" fillId="5" borderId="2" xfId="0" applyFont="1" applyFill="1" applyBorder="1" applyAlignment="1" applyProtection="1">
      <alignment horizontal="center" vertical="center"/>
      <protection locked="0" hidden="1"/>
    </xf>
    <xf numFmtId="0" fontId="9" fillId="5" borderId="1" xfId="0" applyFont="1" applyFill="1" applyBorder="1" applyAlignment="1">
      <alignment horizontal="left" vertical="center"/>
    </xf>
    <xf numFmtId="0" fontId="1" fillId="5" borderId="3" xfId="0" applyFont="1" applyFill="1" applyBorder="1" applyAlignment="1">
      <alignment horizontal="left" vertical="center"/>
    </xf>
    <xf numFmtId="0" fontId="20" fillId="5" borderId="3" xfId="0" applyFont="1" applyFill="1" applyBorder="1" applyAlignment="1">
      <alignment horizontal="left" vertical="center"/>
    </xf>
    <xf numFmtId="0" fontId="20" fillId="5" borderId="2" xfId="0" applyFont="1" applyFill="1" applyBorder="1" applyAlignment="1">
      <alignment horizontal="left" vertical="center"/>
    </xf>
    <xf numFmtId="0" fontId="15" fillId="3" borderId="1" xfId="0" applyFont="1" applyFill="1" applyBorder="1" applyAlignment="1">
      <alignment horizontal="left" vertical="center"/>
    </xf>
    <xf numFmtId="0" fontId="15" fillId="3" borderId="3" xfId="0" applyFont="1" applyFill="1" applyBorder="1" applyAlignment="1">
      <alignment horizontal="left" vertical="center"/>
    </xf>
    <xf numFmtId="0" fontId="15" fillId="3" borderId="2" xfId="0" applyFont="1" applyFill="1" applyBorder="1" applyAlignment="1">
      <alignment horizontal="left" vertical="center"/>
    </xf>
    <xf numFmtId="49" fontId="12" fillId="2" borderId="7" xfId="0" applyNumberFormat="1" applyFont="1" applyFill="1" applyBorder="1" applyAlignment="1">
      <alignment horizontal="center" vertical="center" wrapText="1"/>
    </xf>
    <xf numFmtId="49" fontId="12" fillId="2" borderId="8" xfId="0" applyNumberFormat="1" applyFont="1" applyFill="1" applyBorder="1" applyAlignment="1">
      <alignment horizontal="center" vertical="center" wrapText="1"/>
    </xf>
    <xf numFmtId="49" fontId="12" fillId="2" borderId="14" xfId="0" applyNumberFormat="1" applyFont="1" applyFill="1" applyBorder="1" applyAlignment="1">
      <alignment horizontal="center" vertical="center" wrapText="1"/>
    </xf>
    <xf numFmtId="49" fontId="12" fillId="2" borderId="23" xfId="0" applyNumberFormat="1" applyFont="1" applyFill="1" applyBorder="1" applyAlignment="1">
      <alignment horizontal="center" vertical="center" wrapText="1"/>
    </xf>
    <xf numFmtId="0" fontId="15" fillId="2" borderId="7" xfId="0" applyFont="1" applyFill="1" applyBorder="1" applyAlignment="1">
      <alignment horizontal="center"/>
    </xf>
    <xf numFmtId="0" fontId="15" fillId="2" borderId="13" xfId="0" applyFont="1" applyFill="1" applyBorder="1" applyAlignment="1">
      <alignment horizontal="center"/>
    </xf>
    <xf numFmtId="0" fontId="9" fillId="5" borderId="69" xfId="0" applyFont="1" applyFill="1" applyBorder="1" applyAlignment="1">
      <alignment horizontal="center"/>
    </xf>
    <xf numFmtId="0" fontId="9" fillId="5" borderId="76" xfId="0" applyFont="1" applyFill="1" applyBorder="1" applyAlignment="1">
      <alignment horizontal="center"/>
    </xf>
    <xf numFmtId="0" fontId="9" fillId="5" borderId="73" xfId="0" applyFont="1" applyFill="1" applyBorder="1" applyAlignment="1">
      <alignment horizontal="center"/>
    </xf>
    <xf numFmtId="0" fontId="6" fillId="3" borderId="7" xfId="0" applyFont="1" applyFill="1" applyBorder="1" applyAlignment="1">
      <alignment horizontal="center" vertical="center"/>
    </xf>
    <xf numFmtId="0" fontId="6" fillId="3" borderId="5" xfId="0" applyFont="1" applyFill="1" applyBorder="1" applyAlignment="1">
      <alignment horizontal="center" vertical="center"/>
    </xf>
    <xf numFmtId="0" fontId="5" fillId="3" borderId="72" xfId="0" applyFont="1" applyFill="1" applyBorder="1" applyAlignment="1">
      <alignment horizontal="left" vertical="center"/>
    </xf>
    <xf numFmtId="0" fontId="5" fillId="3" borderId="8" xfId="0" applyFont="1" applyFill="1" applyBorder="1" applyAlignment="1">
      <alignment horizontal="left" vertical="center"/>
    </xf>
    <xf numFmtId="0" fontId="5" fillId="3" borderId="13" xfId="0" applyFont="1" applyFill="1" applyBorder="1" applyAlignment="1">
      <alignment horizontal="left" vertical="center"/>
    </xf>
    <xf numFmtId="0" fontId="15" fillId="2" borderId="8" xfId="0" applyFont="1" applyFill="1" applyBorder="1" applyAlignment="1">
      <alignment horizontal="center"/>
    </xf>
    <xf numFmtId="0" fontId="25" fillId="2" borderId="14" xfId="0" applyFont="1" applyFill="1" applyBorder="1" applyAlignment="1">
      <alignment horizontal="center" vertical="center"/>
    </xf>
    <xf numFmtId="0" fontId="25" fillId="2" borderId="15" xfId="0" applyFont="1" applyFill="1" applyBorder="1" applyAlignment="1">
      <alignment horizontal="center" vertical="center"/>
    </xf>
    <xf numFmtId="49" fontId="12" fillId="16" borderId="7" xfId="0" applyNumberFormat="1" applyFont="1" applyFill="1" applyBorder="1" applyAlignment="1">
      <alignment horizontal="center" vertical="center" wrapText="1"/>
    </xf>
    <xf numFmtId="49" fontId="12" fillId="16" borderId="8" xfId="0" applyNumberFormat="1" applyFont="1" applyFill="1" applyBorder="1" applyAlignment="1">
      <alignment horizontal="center" vertical="center" wrapText="1"/>
    </xf>
    <xf numFmtId="49" fontId="12" fillId="16" borderId="14" xfId="0" applyNumberFormat="1" applyFont="1" applyFill="1" applyBorder="1" applyAlignment="1">
      <alignment horizontal="center" vertical="center" wrapText="1"/>
    </xf>
    <xf numFmtId="49" fontId="12" fillId="16" borderId="23" xfId="0" applyNumberFormat="1" applyFont="1" applyFill="1" applyBorder="1" applyAlignment="1">
      <alignment horizontal="center" vertical="center" wrapText="1"/>
    </xf>
    <xf numFmtId="0" fontId="5" fillId="3" borderId="6" xfId="0" applyFont="1" applyFill="1" applyBorder="1" applyAlignment="1">
      <alignment horizontal="left" vertical="center"/>
    </xf>
    <xf numFmtId="0" fontId="5" fillId="3" borderId="12" xfId="0" applyFont="1" applyFill="1" applyBorder="1" applyAlignment="1">
      <alignment horizontal="left" vertical="center"/>
    </xf>
    <xf numFmtId="0" fontId="37" fillId="2" borderId="22" xfId="0" applyFont="1" applyFill="1" applyBorder="1" applyAlignment="1">
      <alignment horizontal="center" vertical="center" wrapText="1"/>
    </xf>
    <xf numFmtId="0" fontId="37" fillId="2" borderId="25" xfId="0" applyFont="1" applyFill="1" applyBorder="1" applyAlignment="1">
      <alignment horizontal="center" vertical="center" wrapText="1"/>
    </xf>
    <xf numFmtId="0" fontId="37" fillId="2" borderId="5" xfId="0" applyFont="1" applyFill="1" applyBorder="1" applyAlignment="1">
      <alignment horizontal="center" vertical="center" wrapText="1"/>
    </xf>
    <xf numFmtId="0" fontId="37" fillId="2" borderId="12" xfId="0" applyFont="1" applyFill="1" applyBorder="1" applyAlignment="1">
      <alignment horizontal="center" vertical="center" wrapText="1"/>
    </xf>
    <xf numFmtId="0" fontId="6" fillId="3" borderId="52" xfId="0" applyFont="1" applyFill="1" applyBorder="1" applyAlignment="1">
      <alignment horizontal="center" vertical="center"/>
    </xf>
    <xf numFmtId="0" fontId="6" fillId="3" borderId="53" xfId="0" applyFont="1" applyFill="1" applyBorder="1" applyAlignment="1">
      <alignment horizontal="center" vertical="center"/>
    </xf>
    <xf numFmtId="0" fontId="5" fillId="3" borderId="64" xfId="0" applyFont="1" applyFill="1" applyBorder="1" applyAlignment="1">
      <alignment horizontal="left" vertical="center"/>
    </xf>
    <xf numFmtId="0" fontId="11" fillId="2" borderId="22" xfId="0" applyFont="1" applyFill="1" applyBorder="1" applyAlignment="1">
      <alignment horizontal="center" vertical="center" wrapText="1"/>
    </xf>
    <xf numFmtId="0" fontId="11" fillId="2" borderId="24"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0" xfId="0" applyFont="1" applyFill="1" applyAlignment="1">
      <alignment horizontal="center" vertical="center" wrapText="1"/>
    </xf>
    <xf numFmtId="0" fontId="11"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7" fillId="2" borderId="19" xfId="0" applyFont="1" applyFill="1" applyBorder="1" applyAlignment="1">
      <alignment horizontal="center" vertical="center" wrapText="1"/>
    </xf>
    <xf numFmtId="0" fontId="37" fillId="2" borderId="17" xfId="0" applyFont="1" applyFill="1" applyBorder="1" applyAlignment="1">
      <alignment horizontal="center" vertical="center" wrapText="1"/>
    </xf>
    <xf numFmtId="0" fontId="37" fillId="2" borderId="18" xfId="0" applyFont="1" applyFill="1" applyBorder="1" applyAlignment="1">
      <alignment horizontal="center" vertical="center" wrapText="1"/>
    </xf>
    <xf numFmtId="0" fontId="37" fillId="2" borderId="10" xfId="0" applyFont="1" applyFill="1" applyBorder="1" applyAlignment="1">
      <alignment horizontal="center" vertical="center" wrapText="1"/>
    </xf>
    <xf numFmtId="0" fontId="37" fillId="2" borderId="16" xfId="0" applyFont="1" applyFill="1" applyBorder="1" applyAlignment="1">
      <alignment horizontal="center" vertical="center" wrapText="1"/>
    </xf>
    <xf numFmtId="0" fontId="37" fillId="2" borderId="9" xfId="0" applyFont="1" applyFill="1" applyBorder="1" applyAlignment="1">
      <alignment horizontal="center" vertical="center" wrapText="1"/>
    </xf>
    <xf numFmtId="0" fontId="5" fillId="3" borderId="47" xfId="0" applyFont="1" applyFill="1" applyBorder="1" applyAlignment="1">
      <alignment horizontal="left" vertical="center"/>
    </xf>
    <xf numFmtId="0" fontId="5" fillId="3" borderId="0" xfId="0" applyFont="1" applyFill="1" applyAlignment="1">
      <alignment horizontal="left" vertical="center"/>
    </xf>
    <xf numFmtId="0" fontId="5" fillId="3" borderId="11" xfId="0" applyFont="1" applyFill="1" applyBorder="1" applyAlignment="1">
      <alignment horizontal="left" vertical="center"/>
    </xf>
    <xf numFmtId="0" fontId="37" fillId="2" borderId="20" xfId="0" applyFont="1" applyFill="1" applyBorder="1" applyAlignment="1">
      <alignment horizontal="center" vertical="center" wrapText="1"/>
    </xf>
    <xf numFmtId="14" fontId="19" fillId="3" borderId="14" xfId="0" applyNumberFormat="1" applyFont="1" applyFill="1" applyBorder="1" applyAlignment="1">
      <alignment horizontal="center" vertical="center"/>
    </xf>
    <xf numFmtId="14" fontId="19" fillId="3" borderId="44" xfId="0" applyNumberFormat="1" applyFont="1" applyFill="1" applyBorder="1" applyAlignment="1">
      <alignment horizontal="center" vertical="center"/>
    </xf>
    <xf numFmtId="14" fontId="19" fillId="3" borderId="69" xfId="0" applyNumberFormat="1" applyFont="1" applyFill="1" applyBorder="1" applyAlignment="1">
      <alignment horizontal="center" vertical="center"/>
    </xf>
    <xf numFmtId="14" fontId="19" fillId="3" borderId="70" xfId="0" applyNumberFormat="1" applyFont="1" applyFill="1" applyBorder="1" applyAlignment="1">
      <alignment horizontal="center" vertical="center"/>
    </xf>
    <xf numFmtId="0" fontId="37" fillId="2" borderId="36" xfId="0" applyFont="1" applyFill="1" applyBorder="1" applyAlignment="1">
      <alignment horizontal="center" vertical="center" wrapText="1"/>
    </xf>
    <xf numFmtId="49" fontId="37" fillId="2" borderId="36" xfId="0" applyNumberFormat="1" applyFont="1" applyFill="1" applyBorder="1" applyAlignment="1">
      <alignment horizontal="center" vertical="center" wrapText="1"/>
    </xf>
    <xf numFmtId="49" fontId="37" fillId="2" borderId="26" xfId="0" applyNumberFormat="1" applyFont="1" applyFill="1" applyBorder="1" applyAlignment="1">
      <alignment horizontal="center" vertical="center" wrapText="1"/>
    </xf>
    <xf numFmtId="0" fontId="37" fillId="2" borderId="37" xfId="0" applyFont="1" applyFill="1" applyBorder="1" applyAlignment="1">
      <alignment horizontal="center" vertical="center" wrapText="1"/>
    </xf>
    <xf numFmtId="49" fontId="38" fillId="2" borderId="37" xfId="0" applyNumberFormat="1" applyFont="1" applyFill="1" applyBorder="1" applyAlignment="1">
      <alignment horizontal="center" vertical="center" wrapText="1"/>
    </xf>
    <xf numFmtId="49" fontId="38" fillId="2" borderId="38" xfId="0" applyNumberFormat="1" applyFont="1" applyFill="1" applyBorder="1" applyAlignment="1">
      <alignment horizontal="center" vertical="center" wrapText="1"/>
    </xf>
    <xf numFmtId="0" fontId="5" fillId="5" borderId="22" xfId="0" applyFont="1" applyFill="1" applyBorder="1" applyAlignment="1">
      <alignment horizontal="center" vertical="center" wrapText="1"/>
    </xf>
    <xf numFmtId="0" fontId="0" fillId="5" borderId="24" xfId="0" applyFill="1" applyBorder="1" applyAlignment="1">
      <alignment horizontal="center" vertical="center" wrapText="1"/>
    </xf>
    <xf numFmtId="0" fontId="0" fillId="5" borderId="25" xfId="0" applyFill="1" applyBorder="1" applyAlignment="1">
      <alignment horizontal="center" vertical="center" wrapText="1"/>
    </xf>
    <xf numFmtId="0" fontId="0" fillId="5" borderId="4" xfId="0" applyFill="1" applyBorder="1" applyAlignment="1">
      <alignment horizontal="center" vertical="center" wrapText="1"/>
    </xf>
    <xf numFmtId="0" fontId="0" fillId="5" borderId="0" xfId="0" applyFill="1" applyAlignment="1">
      <alignment horizontal="center" vertical="center" wrapText="1"/>
    </xf>
    <xf numFmtId="0" fontId="0" fillId="5" borderId="11" xfId="0" applyFill="1" applyBorder="1" applyAlignment="1">
      <alignment horizontal="center" vertical="center" wrapText="1"/>
    </xf>
    <xf numFmtId="0" fontId="0" fillId="5" borderId="4" xfId="0" applyFill="1" applyBorder="1" applyAlignment="1">
      <alignment horizontal="center"/>
    </xf>
    <xf numFmtId="0" fontId="0" fillId="5" borderId="0" xfId="0" applyFill="1" applyAlignment="1">
      <alignment horizontal="center"/>
    </xf>
    <xf numFmtId="0" fontId="0" fillId="5" borderId="11" xfId="0" applyFill="1" applyBorder="1" applyAlignment="1">
      <alignment horizontal="center"/>
    </xf>
    <xf numFmtId="0" fontId="0" fillId="5" borderId="5" xfId="0" applyFill="1" applyBorder="1" applyAlignment="1">
      <alignment horizontal="center"/>
    </xf>
    <xf numFmtId="0" fontId="0" fillId="5" borderId="6" xfId="0" applyFill="1" applyBorder="1" applyAlignment="1">
      <alignment horizontal="center"/>
    </xf>
    <xf numFmtId="0" fontId="0" fillId="5" borderId="12" xfId="0" applyFill="1" applyBorder="1" applyAlignment="1">
      <alignment horizontal="center"/>
    </xf>
    <xf numFmtId="0" fontId="15" fillId="5" borderId="69" xfId="0" applyFont="1" applyFill="1" applyBorder="1" applyAlignment="1">
      <alignment horizontal="center"/>
    </xf>
    <xf numFmtId="0" fontId="15" fillId="5" borderId="76" xfId="0" applyFont="1" applyFill="1" applyBorder="1" applyAlignment="1">
      <alignment horizontal="center"/>
    </xf>
    <xf numFmtId="0" fontId="0" fillId="5" borderId="73" xfId="0" applyFill="1" applyBorder="1"/>
    <xf numFmtId="0" fontId="5" fillId="5" borderId="4" xfId="0" applyFont="1" applyFill="1" applyBorder="1" applyAlignment="1">
      <alignment horizontal="center" vertical="center" wrapText="1"/>
    </xf>
    <xf numFmtId="0" fontId="0" fillId="5" borderId="0" xfId="0" applyFill="1" applyAlignment="1">
      <alignment horizontal="center" vertical="center"/>
    </xf>
    <xf numFmtId="0" fontId="0" fillId="5" borderId="11" xfId="0" applyFill="1" applyBorder="1" applyAlignment="1">
      <alignment horizontal="center" vertical="center"/>
    </xf>
    <xf numFmtId="0" fontId="0" fillId="5" borderId="4" xfId="0" applyFill="1" applyBorder="1" applyAlignment="1">
      <alignment horizontal="center" vertical="center"/>
    </xf>
    <xf numFmtId="0" fontId="0" fillId="5" borderId="5" xfId="0" applyFill="1" applyBorder="1" applyAlignment="1">
      <alignment horizontal="center" vertical="center"/>
    </xf>
    <xf numFmtId="0" fontId="0" fillId="5" borderId="6" xfId="0" applyFill="1" applyBorder="1" applyAlignment="1">
      <alignment horizontal="center" vertical="center"/>
    </xf>
    <xf numFmtId="0" fontId="0" fillId="5" borderId="12" xfId="0" applyFill="1" applyBorder="1" applyAlignment="1">
      <alignment horizontal="center" vertical="center"/>
    </xf>
    <xf numFmtId="0" fontId="25" fillId="16" borderId="14" xfId="0" applyFont="1" applyFill="1" applyBorder="1" applyAlignment="1">
      <alignment horizontal="center" vertical="center"/>
    </xf>
    <xf numFmtId="0" fontId="25" fillId="16" borderId="23" xfId="0" applyFont="1" applyFill="1" applyBorder="1" applyAlignment="1">
      <alignment horizontal="center" vertical="center"/>
    </xf>
    <xf numFmtId="0" fontId="25" fillId="16" borderId="15" xfId="0" applyFont="1" applyFill="1" applyBorder="1" applyAlignment="1">
      <alignment horizontal="center" vertical="center"/>
    </xf>
    <xf numFmtId="14" fontId="19" fillId="3" borderId="7" xfId="0" applyNumberFormat="1" applyFont="1" applyFill="1" applyBorder="1" applyAlignment="1">
      <alignment horizontal="center" vertical="center"/>
    </xf>
    <xf numFmtId="14" fontId="19" fillId="3" borderId="75" xfId="0" applyNumberFormat="1" applyFont="1" applyFill="1" applyBorder="1" applyAlignment="1">
      <alignment horizontal="center" vertical="center"/>
    </xf>
    <xf numFmtId="0" fontId="15" fillId="16" borderId="7" xfId="0" applyFont="1" applyFill="1" applyBorder="1" applyAlignment="1">
      <alignment horizontal="center"/>
    </xf>
    <xf numFmtId="0" fontId="15" fillId="16" borderId="8" xfId="0" applyFont="1" applyFill="1" applyBorder="1" applyAlignment="1">
      <alignment horizontal="center"/>
    </xf>
    <xf numFmtId="0" fontId="15" fillId="16" borderId="13" xfId="0" applyFont="1" applyFill="1" applyBorder="1" applyAlignment="1">
      <alignment horizontal="center"/>
    </xf>
    <xf numFmtId="0" fontId="5" fillId="2" borderId="24" xfId="0" applyFont="1" applyFill="1" applyBorder="1" applyAlignment="1">
      <alignment horizontal="center"/>
    </xf>
    <xf numFmtId="0" fontId="0" fillId="2" borderId="25" xfId="0" applyFill="1" applyBorder="1" applyAlignment="1">
      <alignment horizontal="center"/>
    </xf>
    <xf numFmtId="0" fontId="37" fillId="2" borderId="21" xfId="0" applyFont="1" applyFill="1" applyBorder="1" applyAlignment="1">
      <alignment horizontal="center" vertical="center" wrapText="1"/>
    </xf>
    <xf numFmtId="0" fontId="37" fillId="2" borderId="40" xfId="0" applyFont="1" applyFill="1" applyBorder="1" applyAlignment="1">
      <alignment horizontal="center" vertical="center" wrapText="1"/>
    </xf>
    <xf numFmtId="0" fontId="37" fillId="2" borderId="47" xfId="0" applyFont="1" applyFill="1" applyBorder="1" applyAlignment="1">
      <alignment horizontal="center" vertical="center" wrapText="1"/>
    </xf>
    <xf numFmtId="0" fontId="37" fillId="2" borderId="43" xfId="0" applyFont="1" applyFill="1" applyBorder="1" applyAlignment="1">
      <alignment horizontal="center" vertical="center" wrapText="1"/>
    </xf>
    <xf numFmtId="0" fontId="37" fillId="2" borderId="19" xfId="0" applyFont="1" applyFill="1" applyBorder="1" applyAlignment="1">
      <alignment horizontal="center" vertical="top" wrapText="1"/>
    </xf>
    <xf numFmtId="0" fontId="37" fillId="2" borderId="20" xfId="0" applyFont="1" applyFill="1" applyBorder="1" applyAlignment="1">
      <alignment horizontal="center" vertical="top" wrapText="1"/>
    </xf>
    <xf numFmtId="0" fontId="37" fillId="2" borderId="40" xfId="0" applyFont="1" applyFill="1" applyBorder="1" applyAlignment="1">
      <alignment horizontal="center" vertical="top" wrapText="1"/>
    </xf>
    <xf numFmtId="0" fontId="37" fillId="2" borderId="47" xfId="0" applyFont="1" applyFill="1" applyBorder="1" applyAlignment="1">
      <alignment horizontal="center" vertical="top" wrapText="1"/>
    </xf>
    <xf numFmtId="0" fontId="37" fillId="2" borderId="64" xfId="0" applyFont="1" applyFill="1" applyBorder="1" applyAlignment="1">
      <alignment horizontal="center" vertical="top" wrapText="1"/>
    </xf>
    <xf numFmtId="0" fontId="13" fillId="16" borderId="4" xfId="0" applyFont="1" applyFill="1" applyBorder="1" applyAlignment="1">
      <alignment horizontal="left" vertical="center" wrapText="1"/>
    </xf>
    <xf numFmtId="0" fontId="0" fillId="16" borderId="0" xfId="0" applyFill="1" applyAlignment="1">
      <alignment horizontal="left" vertical="center"/>
    </xf>
    <xf numFmtId="0" fontId="0" fillId="16" borderId="11" xfId="0" applyFill="1" applyBorder="1" applyAlignment="1">
      <alignment horizontal="left" vertical="center"/>
    </xf>
    <xf numFmtId="0" fontId="0" fillId="16" borderId="4" xfId="0" applyFill="1" applyBorder="1" applyAlignment="1">
      <alignment horizontal="left" vertical="center"/>
    </xf>
    <xf numFmtId="0" fontId="0" fillId="16" borderId="5" xfId="0" applyFill="1" applyBorder="1" applyAlignment="1">
      <alignment horizontal="left" vertical="center"/>
    </xf>
    <xf numFmtId="0" fontId="0" fillId="16" borderId="6" xfId="0" applyFill="1" applyBorder="1" applyAlignment="1">
      <alignment horizontal="left" vertical="center"/>
    </xf>
    <xf numFmtId="0" fontId="0" fillId="16" borderId="12" xfId="0" applyFill="1" applyBorder="1" applyAlignment="1">
      <alignment horizontal="left" vertical="center"/>
    </xf>
    <xf numFmtId="0" fontId="13" fillId="16" borderId="22" xfId="0" applyFont="1" applyFill="1" applyBorder="1" applyAlignment="1">
      <alignment horizontal="left" vertical="center" wrapText="1"/>
    </xf>
    <xf numFmtId="0" fontId="0" fillId="16" borderId="24" xfId="0" applyFill="1" applyBorder="1" applyAlignment="1">
      <alignment horizontal="left" vertical="center"/>
    </xf>
    <xf numFmtId="0" fontId="0" fillId="16" borderId="25" xfId="0" applyFill="1" applyBorder="1" applyAlignment="1">
      <alignment horizontal="left" vertical="center"/>
    </xf>
    <xf numFmtId="0" fontId="37" fillId="16" borderId="66" xfId="0" applyFont="1" applyFill="1" applyBorder="1" applyAlignment="1">
      <alignment horizontal="center" vertical="center" wrapText="1"/>
    </xf>
    <xf numFmtId="0" fontId="37" fillId="16" borderId="67" xfId="0" applyFont="1" applyFill="1" applyBorder="1" applyAlignment="1">
      <alignment horizontal="center" vertical="center"/>
    </xf>
    <xf numFmtId="0" fontId="37" fillId="16" borderId="53" xfId="0" applyFont="1" applyFill="1" applyBorder="1" applyAlignment="1">
      <alignment horizontal="center" vertical="center"/>
    </xf>
    <xf numFmtId="49" fontId="12" fillId="16" borderId="7" xfId="0" applyNumberFormat="1" applyFont="1" applyFill="1" applyBorder="1" applyAlignment="1">
      <alignment horizontal="left" vertical="center" wrapText="1"/>
    </xf>
    <xf numFmtId="0" fontId="0" fillId="16" borderId="8" xfId="0" applyFill="1" applyBorder="1" applyAlignment="1">
      <alignment horizontal="left" vertical="center"/>
    </xf>
    <xf numFmtId="0" fontId="0" fillId="16" borderId="13" xfId="0" applyFill="1" applyBorder="1" applyAlignment="1">
      <alignment horizontal="left" vertical="center"/>
    </xf>
    <xf numFmtId="0" fontId="0" fillId="16" borderId="14" xfId="0" applyFill="1" applyBorder="1" applyAlignment="1">
      <alignment horizontal="left" vertical="center"/>
    </xf>
    <xf numFmtId="0" fontId="0" fillId="16" borderId="23" xfId="0" applyFill="1" applyBorder="1" applyAlignment="1">
      <alignment horizontal="left" vertical="center"/>
    </xf>
    <xf numFmtId="0" fontId="0" fillId="16" borderId="15" xfId="0" applyFill="1" applyBorder="1" applyAlignment="1">
      <alignment horizontal="left" vertical="center"/>
    </xf>
    <xf numFmtId="0" fontId="13" fillId="16" borderId="22" xfId="0" applyFont="1" applyFill="1" applyBorder="1" applyAlignment="1">
      <alignment horizontal="center" vertical="center" wrapText="1"/>
    </xf>
    <xf numFmtId="0" fontId="13" fillId="16" borderId="25" xfId="0" applyFont="1" applyFill="1" applyBorder="1" applyAlignment="1">
      <alignment horizontal="center" vertical="center" wrapText="1"/>
    </xf>
    <xf numFmtId="0" fontId="13" fillId="16" borderId="4" xfId="0" applyFont="1" applyFill="1" applyBorder="1" applyAlignment="1">
      <alignment horizontal="center" vertical="center" wrapText="1"/>
    </xf>
    <xf numFmtId="0" fontId="13" fillId="16" borderId="11" xfId="0" applyFont="1" applyFill="1" applyBorder="1" applyAlignment="1">
      <alignment horizontal="center" vertical="center" wrapText="1"/>
    </xf>
    <xf numFmtId="0" fontId="13" fillId="16" borderId="5" xfId="0" applyFont="1" applyFill="1" applyBorder="1" applyAlignment="1">
      <alignment horizontal="center" vertical="center" wrapText="1"/>
    </xf>
    <xf numFmtId="0" fontId="13" fillId="16" borderId="12" xfId="0" applyFont="1" applyFill="1" applyBorder="1" applyAlignment="1">
      <alignment horizontal="center" vertical="center" wrapText="1"/>
    </xf>
    <xf numFmtId="0" fontId="37" fillId="16" borderId="24" xfId="0" applyFont="1" applyFill="1" applyBorder="1" applyAlignment="1">
      <alignment horizontal="center" vertical="center" wrapText="1"/>
    </xf>
    <xf numFmtId="0" fontId="37" fillId="16" borderId="41" xfId="0" applyFont="1" applyFill="1" applyBorder="1" applyAlignment="1">
      <alignment horizontal="center" vertical="center" wrapText="1"/>
    </xf>
    <xf numFmtId="0" fontId="37" fillId="16" borderId="23" xfId="0" applyFont="1" applyFill="1" applyBorder="1" applyAlignment="1">
      <alignment horizontal="center" vertical="center" wrapText="1"/>
    </xf>
    <xf numFmtId="0" fontId="37" fillId="16" borderId="44" xfId="0" applyFont="1" applyFill="1" applyBorder="1" applyAlignment="1">
      <alignment horizontal="center" vertical="center" wrapText="1"/>
    </xf>
    <xf numFmtId="0" fontId="37" fillId="16" borderId="42" xfId="0" applyFont="1" applyFill="1" applyBorder="1" applyAlignment="1">
      <alignment horizontal="center" vertical="center" wrapText="1"/>
    </xf>
    <xf numFmtId="0" fontId="37" fillId="16" borderId="48" xfId="0" applyFont="1" applyFill="1" applyBorder="1" applyAlignment="1">
      <alignment horizontal="center" vertical="center" wrapText="1"/>
    </xf>
    <xf numFmtId="0" fontId="37" fillId="16" borderId="45" xfId="0" applyFont="1" applyFill="1" applyBorder="1" applyAlignment="1">
      <alignment horizontal="center" vertical="center" wrapText="1"/>
    </xf>
    <xf numFmtId="0" fontId="37" fillId="16" borderId="10" xfId="0" applyFont="1" applyFill="1" applyBorder="1" applyAlignment="1">
      <alignment horizontal="center" vertical="center" wrapText="1"/>
    </xf>
    <xf numFmtId="0" fontId="37" fillId="16" borderId="16" xfId="0" applyFont="1" applyFill="1" applyBorder="1" applyAlignment="1">
      <alignment horizontal="center" vertical="center" wrapText="1"/>
    </xf>
    <xf numFmtId="0" fontId="37" fillId="16" borderId="9" xfId="0" applyFont="1" applyFill="1" applyBorder="1" applyAlignment="1">
      <alignment horizontal="center" vertical="center" wrapText="1"/>
    </xf>
    <xf numFmtId="0" fontId="37" fillId="16" borderId="21" xfId="0" applyFont="1" applyFill="1" applyBorder="1" applyAlignment="1">
      <alignment horizontal="center" vertical="center" wrapText="1"/>
    </xf>
    <xf numFmtId="49" fontId="37" fillId="16" borderId="19" xfId="0" applyNumberFormat="1" applyFont="1" applyFill="1" applyBorder="1" applyAlignment="1">
      <alignment horizontal="center" vertical="center" wrapText="1"/>
    </xf>
    <xf numFmtId="49" fontId="37" fillId="16" borderId="17" xfId="0" applyNumberFormat="1" applyFont="1" applyFill="1" applyBorder="1" applyAlignment="1">
      <alignment horizontal="center" vertical="center" wrapText="1"/>
    </xf>
    <xf numFmtId="49" fontId="37" fillId="16" borderId="20" xfId="0" applyNumberFormat="1" applyFont="1" applyFill="1" applyBorder="1" applyAlignment="1">
      <alignment horizontal="center" vertical="center" wrapText="1"/>
    </xf>
    <xf numFmtId="0" fontId="37" fillId="16" borderId="68" xfId="0" applyFont="1" applyFill="1" applyBorder="1" applyAlignment="1">
      <alignment horizontal="center" vertical="center" wrapText="1"/>
    </xf>
    <xf numFmtId="14" fontId="19" fillId="3" borderId="69" xfId="0" applyNumberFormat="1" applyFont="1" applyFill="1" applyBorder="1" applyAlignment="1">
      <alignment horizontal="center"/>
    </xf>
    <xf numFmtId="14" fontId="19" fillId="3" borderId="70" xfId="0" applyNumberFormat="1" applyFont="1" applyFill="1" applyBorder="1" applyAlignment="1">
      <alignment horizontal="center"/>
    </xf>
    <xf numFmtId="49" fontId="13" fillId="16" borderId="4" xfId="0" applyNumberFormat="1" applyFont="1" applyFill="1" applyBorder="1" applyAlignment="1">
      <alignment horizontal="left" vertical="center" wrapText="1"/>
    </xf>
    <xf numFmtId="0" fontId="0" fillId="16" borderId="0" xfId="0" applyFill="1" applyAlignment="1">
      <alignment horizontal="left" vertical="center" wrapText="1"/>
    </xf>
    <xf numFmtId="0" fontId="0" fillId="16" borderId="11" xfId="0" applyFill="1" applyBorder="1" applyAlignment="1">
      <alignment horizontal="left" vertical="center" wrapText="1"/>
    </xf>
    <xf numFmtId="0" fontId="0" fillId="16" borderId="5" xfId="0" applyFill="1" applyBorder="1" applyAlignment="1">
      <alignment horizontal="left" vertical="center" wrapText="1"/>
    </xf>
    <xf numFmtId="0" fontId="0" fillId="16" borderId="6" xfId="0" applyFill="1" applyBorder="1" applyAlignment="1">
      <alignment horizontal="left" vertical="center" wrapText="1"/>
    </xf>
    <xf numFmtId="0" fontId="0" fillId="16" borderId="12" xfId="0" applyFill="1" applyBorder="1" applyAlignment="1">
      <alignment horizontal="left" vertical="center" wrapText="1"/>
    </xf>
    <xf numFmtId="0" fontId="14" fillId="3" borderId="64" xfId="0" applyFont="1" applyFill="1" applyBorder="1" applyAlignment="1">
      <alignment horizontal="left" vertical="center"/>
    </xf>
    <xf numFmtId="0" fontId="14" fillId="3" borderId="6" xfId="0" applyFont="1" applyFill="1" applyBorder="1" applyAlignment="1">
      <alignment horizontal="left" vertical="center"/>
    </xf>
    <xf numFmtId="0" fontId="14" fillId="3" borderId="12" xfId="0" applyFont="1" applyFill="1" applyBorder="1" applyAlignment="1">
      <alignment horizontal="left" vertical="center"/>
    </xf>
    <xf numFmtId="0" fontId="0" fillId="16" borderId="4" xfId="0" applyFill="1" applyBorder="1" applyAlignment="1">
      <alignment horizontal="left" vertical="center" wrapText="1"/>
    </xf>
    <xf numFmtId="0" fontId="37" fillId="16" borderId="34" xfId="0" applyFont="1" applyFill="1" applyBorder="1" applyAlignment="1">
      <alignment horizontal="center" vertical="center" wrapText="1"/>
    </xf>
    <xf numFmtId="0" fontId="37" fillId="16" borderId="34" xfId="0" applyFont="1" applyFill="1" applyBorder="1" applyAlignment="1">
      <alignment horizontal="center" vertical="center"/>
    </xf>
    <xf numFmtId="0" fontId="38" fillId="16" borderId="34" xfId="0" applyFont="1" applyFill="1" applyBorder="1" applyAlignment="1">
      <alignment horizontal="center" vertical="center"/>
    </xf>
    <xf numFmtId="0" fontId="38" fillId="16" borderId="35" xfId="0" applyFont="1" applyFill="1" applyBorder="1" applyAlignment="1">
      <alignment horizontal="center" vertical="center"/>
    </xf>
    <xf numFmtId="0" fontId="37" fillId="16" borderId="0" xfId="0" applyFont="1" applyFill="1" applyAlignment="1">
      <alignment horizontal="center" vertical="center" wrapText="1"/>
    </xf>
    <xf numFmtId="0" fontId="37" fillId="16" borderId="6" xfId="0" applyFont="1" applyFill="1" applyBorder="1" applyAlignment="1">
      <alignment horizontal="center" vertical="center" wrapText="1"/>
    </xf>
    <xf numFmtId="0" fontId="37" fillId="16" borderId="19" xfId="0" applyFont="1" applyFill="1" applyBorder="1" applyAlignment="1">
      <alignment horizontal="center" vertical="center" wrapText="1"/>
    </xf>
    <xf numFmtId="0" fontId="37" fillId="16" borderId="17" xfId="0" applyFont="1" applyFill="1" applyBorder="1" applyAlignment="1">
      <alignment horizontal="center" vertical="center" wrapText="1"/>
    </xf>
    <xf numFmtId="0" fontId="37" fillId="16" borderId="20" xfId="0" applyFont="1" applyFill="1" applyBorder="1" applyAlignment="1">
      <alignment horizontal="center" vertical="center" wrapText="1"/>
    </xf>
    <xf numFmtId="0" fontId="38" fillId="16" borderId="24" xfId="0" applyFont="1" applyFill="1" applyBorder="1" applyAlignment="1">
      <alignment horizontal="center" vertical="center" wrapText="1"/>
    </xf>
    <xf numFmtId="0" fontId="38" fillId="16" borderId="41" xfId="0" applyFont="1" applyFill="1" applyBorder="1" applyAlignment="1">
      <alignment horizontal="center" vertical="center" wrapText="1"/>
    </xf>
    <xf numFmtId="0" fontId="38" fillId="16" borderId="0" xfId="0" applyFont="1" applyFill="1" applyAlignment="1">
      <alignment horizontal="center" vertical="center" wrapText="1"/>
    </xf>
    <xf numFmtId="0" fontId="38" fillId="16" borderId="46" xfId="0" applyFont="1" applyFill="1" applyBorder="1" applyAlignment="1">
      <alignment horizontal="center" vertical="center" wrapText="1"/>
    </xf>
    <xf numFmtId="0" fontId="5" fillId="16" borderId="0" xfId="0" applyFont="1" applyFill="1" applyAlignment="1">
      <alignment horizontal="center"/>
    </xf>
    <xf numFmtId="0" fontId="0" fillId="16" borderId="11" xfId="0" applyFill="1" applyBorder="1" applyAlignment="1">
      <alignment horizontal="center"/>
    </xf>
    <xf numFmtId="49" fontId="37" fillId="16" borderId="18" xfId="0" applyNumberFormat="1" applyFont="1" applyFill="1" applyBorder="1" applyAlignment="1">
      <alignment horizontal="center" vertical="center" wrapText="1"/>
    </xf>
    <xf numFmtId="0" fontId="9" fillId="16" borderId="7" xfId="0" applyFont="1" applyFill="1" applyBorder="1" applyAlignment="1">
      <alignment horizontal="center"/>
    </xf>
    <xf numFmtId="0" fontId="9" fillId="16" borderId="8" xfId="0" applyFont="1" applyFill="1" applyBorder="1" applyAlignment="1">
      <alignment horizontal="center"/>
    </xf>
    <xf numFmtId="0" fontId="9" fillId="16" borderId="13" xfId="0" applyFont="1" applyFill="1" applyBorder="1" applyAlignment="1">
      <alignment horizontal="center"/>
    </xf>
    <xf numFmtId="0" fontId="5" fillId="16" borderId="23" xfId="0" applyFont="1" applyFill="1" applyBorder="1" applyAlignment="1">
      <alignment horizontal="center"/>
    </xf>
    <xf numFmtId="0" fontId="0" fillId="16" borderId="15" xfId="0" applyFill="1" applyBorder="1" applyAlignment="1">
      <alignment horizontal="center"/>
    </xf>
    <xf numFmtId="0" fontId="19" fillId="16" borderId="6" xfId="0" applyFont="1" applyFill="1" applyBorder="1" applyAlignment="1">
      <alignment horizontal="center"/>
    </xf>
    <xf numFmtId="0" fontId="0" fillId="16" borderId="12" xfId="0" applyFill="1" applyBorder="1" applyAlignment="1">
      <alignment horizontal="center"/>
    </xf>
    <xf numFmtId="0" fontId="19" fillId="5" borderId="69" xfId="0" applyFont="1" applyFill="1" applyBorder="1" applyAlignment="1">
      <alignment horizontal="left" vertical="center"/>
    </xf>
    <xf numFmtId="0" fontId="19" fillId="5" borderId="76" xfId="0" applyFont="1" applyFill="1" applyBorder="1" applyAlignment="1">
      <alignment horizontal="left" vertical="center"/>
    </xf>
    <xf numFmtId="0" fontId="19" fillId="5" borderId="73" xfId="0" applyFont="1" applyFill="1" applyBorder="1" applyAlignment="1">
      <alignment horizontal="left" vertical="center"/>
    </xf>
    <xf numFmtId="0" fontId="19" fillId="2" borderId="7" xfId="0" applyFont="1" applyFill="1" applyBorder="1" applyAlignment="1">
      <alignment horizontal="left"/>
    </xf>
    <xf numFmtId="0" fontId="0" fillId="2" borderId="8" xfId="0" applyFill="1" applyBorder="1"/>
    <xf numFmtId="0" fontId="0" fillId="2" borderId="13" xfId="0" applyFill="1" applyBorder="1"/>
    <xf numFmtId="49" fontId="25" fillId="16" borderId="14" xfId="0" applyNumberFormat="1" applyFont="1" applyFill="1" applyBorder="1" applyAlignment="1">
      <alignment horizontal="center"/>
    </xf>
    <xf numFmtId="49" fontId="26" fillId="16" borderId="23" xfId="0" applyNumberFormat="1" applyFont="1" applyFill="1" applyBorder="1" applyAlignment="1">
      <alignment horizontal="center"/>
    </xf>
    <xf numFmtId="49" fontId="26" fillId="16" borderId="15" xfId="0" applyNumberFormat="1" applyFont="1" applyFill="1" applyBorder="1" applyAlignment="1">
      <alignment horizontal="center"/>
    </xf>
    <xf numFmtId="0" fontId="37" fillId="16" borderId="22" xfId="0" applyFont="1" applyFill="1" applyBorder="1" applyAlignment="1">
      <alignment horizontal="center" vertical="center" wrapText="1"/>
    </xf>
    <xf numFmtId="0" fontId="37" fillId="16" borderId="25" xfId="0" applyFont="1" applyFill="1" applyBorder="1" applyAlignment="1">
      <alignment horizontal="center" vertical="center" wrapText="1"/>
    </xf>
    <xf numFmtId="0" fontId="37" fillId="16" borderId="4" xfId="0" applyFont="1" applyFill="1" applyBorder="1" applyAlignment="1">
      <alignment horizontal="center" vertical="center" wrapText="1"/>
    </xf>
    <xf numFmtId="0" fontId="37" fillId="16" borderId="11" xfId="0" applyFont="1" applyFill="1" applyBorder="1" applyAlignment="1">
      <alignment horizontal="center" vertical="center" wrapText="1"/>
    </xf>
    <xf numFmtId="0" fontId="37" fillId="16" borderId="5" xfId="0" applyFont="1" applyFill="1" applyBorder="1" applyAlignment="1">
      <alignment horizontal="center" vertical="center" wrapText="1"/>
    </xf>
    <xf numFmtId="0" fontId="37" fillId="16" borderId="12" xfId="0" applyFont="1" applyFill="1" applyBorder="1" applyAlignment="1">
      <alignment horizontal="center" vertical="center" wrapText="1"/>
    </xf>
    <xf numFmtId="0" fontId="5" fillId="2" borderId="0" xfId="0" applyFont="1" applyFill="1" applyAlignment="1">
      <alignment horizontal="center"/>
    </xf>
    <xf numFmtId="0" fontId="0" fillId="2" borderId="11" xfId="0" applyFill="1" applyBorder="1" applyAlignment="1">
      <alignment horizontal="center"/>
    </xf>
    <xf numFmtId="0" fontId="5" fillId="2" borderId="23" xfId="0" applyFont="1" applyFill="1" applyBorder="1" applyAlignment="1">
      <alignment horizontal="center"/>
    </xf>
    <xf numFmtId="0" fontId="0" fillId="2" borderId="15" xfId="0" applyFill="1" applyBorder="1" applyAlignment="1">
      <alignment horizontal="center"/>
    </xf>
    <xf numFmtId="0" fontId="19" fillId="2" borderId="6" xfId="0" applyFont="1" applyFill="1" applyBorder="1" applyAlignment="1">
      <alignment horizontal="center"/>
    </xf>
    <xf numFmtId="0" fontId="0" fillId="2" borderId="12" xfId="0" applyFill="1" applyBorder="1" applyAlignment="1">
      <alignment horizontal="center"/>
    </xf>
    <xf numFmtId="0" fontId="5" fillId="16" borderId="24" xfId="0" applyFont="1" applyFill="1" applyBorder="1" applyAlignment="1">
      <alignment horizontal="center"/>
    </xf>
    <xf numFmtId="0" fontId="0" fillId="16" borderId="25" xfId="0" applyFill="1" applyBorder="1" applyAlignment="1">
      <alignment horizontal="center"/>
    </xf>
    <xf numFmtId="14" fontId="14" fillId="5" borderId="22" xfId="0" applyNumberFormat="1" applyFont="1" applyFill="1" applyBorder="1" applyAlignment="1">
      <alignment horizontal="left" vertical="center" wrapText="1"/>
    </xf>
    <xf numFmtId="14" fontId="14" fillId="5" borderId="24" xfId="0" applyNumberFormat="1" applyFont="1" applyFill="1" applyBorder="1" applyAlignment="1">
      <alignment horizontal="left" vertical="center"/>
    </xf>
    <xf numFmtId="14" fontId="14" fillId="5" borderId="25" xfId="0" applyNumberFormat="1" applyFont="1" applyFill="1" applyBorder="1" applyAlignment="1">
      <alignment horizontal="left" vertical="center"/>
    </xf>
    <xf numFmtId="14" fontId="14" fillId="5" borderId="14" xfId="0" applyNumberFormat="1" applyFont="1" applyFill="1" applyBorder="1" applyAlignment="1">
      <alignment horizontal="left" vertical="center"/>
    </xf>
    <xf numFmtId="14" fontId="14" fillId="5" borderId="23" xfId="0" applyNumberFormat="1" applyFont="1" applyFill="1" applyBorder="1" applyAlignment="1">
      <alignment horizontal="left" vertical="center"/>
    </xf>
    <xf numFmtId="14" fontId="14" fillId="5" borderId="15" xfId="0" applyNumberFormat="1" applyFont="1" applyFill="1" applyBorder="1" applyAlignment="1">
      <alignment horizontal="left" vertical="center"/>
    </xf>
    <xf numFmtId="14" fontId="14" fillId="5" borderId="24" xfId="0" applyNumberFormat="1" applyFont="1" applyFill="1" applyBorder="1" applyAlignment="1">
      <alignment horizontal="left" vertical="center" wrapText="1"/>
    </xf>
    <xf numFmtId="14" fontId="14" fillId="5" borderId="25" xfId="0" applyNumberFormat="1" applyFont="1" applyFill="1" applyBorder="1" applyAlignment="1">
      <alignment horizontal="left" vertical="center" wrapText="1"/>
    </xf>
    <xf numFmtId="14" fontId="14" fillId="5" borderId="5" xfId="0" applyNumberFormat="1" applyFont="1" applyFill="1" applyBorder="1" applyAlignment="1">
      <alignment horizontal="left" vertical="center" wrapText="1"/>
    </xf>
    <xf numFmtId="14" fontId="14" fillId="5" borderId="6" xfId="0" applyNumberFormat="1" applyFont="1" applyFill="1" applyBorder="1" applyAlignment="1">
      <alignment horizontal="left" vertical="center" wrapText="1"/>
    </xf>
    <xf numFmtId="14" fontId="14" fillId="5" borderId="12" xfId="0" applyNumberFormat="1" applyFont="1" applyFill="1" applyBorder="1" applyAlignment="1">
      <alignment horizontal="left" vertical="center" wrapText="1"/>
    </xf>
    <xf numFmtId="0" fontId="37" fillId="2" borderId="10" xfId="0" applyFont="1" applyFill="1" applyBorder="1" applyAlignment="1">
      <alignment horizontal="center" vertical="top" wrapText="1"/>
    </xf>
    <xf numFmtId="0" fontId="17" fillId="2" borderId="16" xfId="0" applyFont="1" applyFill="1" applyBorder="1" applyAlignment="1">
      <alignment horizontal="center" vertical="top" wrapText="1"/>
    </xf>
    <xf numFmtId="0" fontId="17" fillId="2" borderId="21" xfId="0" applyFont="1" applyFill="1" applyBorder="1" applyAlignment="1">
      <alignment horizontal="center" vertical="top" wrapText="1"/>
    </xf>
    <xf numFmtId="0" fontId="37" fillId="2" borderId="19" xfId="0" applyFont="1" applyFill="1" applyBorder="1" applyAlignment="1">
      <alignment horizontal="left" vertical="top" wrapText="1"/>
    </xf>
    <xf numFmtId="0" fontId="17" fillId="2" borderId="20" xfId="0" applyFont="1" applyFill="1" applyBorder="1" applyAlignment="1">
      <alignment horizontal="left" vertical="top" wrapText="1"/>
    </xf>
    <xf numFmtId="0" fontId="37" fillId="2" borderId="66" xfId="0" applyFont="1" applyFill="1" applyBorder="1" applyAlignment="1">
      <alignment horizontal="center" vertical="center" wrapText="1"/>
    </xf>
    <xf numFmtId="0" fontId="37" fillId="2" borderId="67" xfId="0" applyFont="1" applyFill="1" applyBorder="1" applyAlignment="1">
      <alignment horizontal="center" vertical="center"/>
    </xf>
    <xf numFmtId="0" fontId="37" fillId="2" borderId="53" xfId="0" applyFont="1" applyFill="1" applyBorder="1" applyAlignment="1">
      <alignment horizontal="center" vertical="center"/>
    </xf>
    <xf numFmtId="0" fontId="9" fillId="2" borderId="7" xfId="0" applyFont="1" applyFill="1" applyBorder="1" applyAlignment="1">
      <alignment horizontal="center"/>
    </xf>
    <xf numFmtId="0" fontId="9" fillId="2" borderId="8" xfId="0" applyFont="1" applyFill="1" applyBorder="1" applyAlignment="1">
      <alignment horizontal="center"/>
    </xf>
    <xf numFmtId="0" fontId="9" fillId="2" borderId="13" xfId="0" applyFont="1" applyFill="1" applyBorder="1" applyAlignment="1">
      <alignment horizontal="center"/>
    </xf>
    <xf numFmtId="0" fontId="25" fillId="2" borderId="23" xfId="0" applyFont="1" applyFill="1" applyBorder="1" applyAlignment="1">
      <alignment horizontal="center" vertical="center"/>
    </xf>
    <xf numFmtId="0" fontId="37" fillId="2" borderId="4" xfId="0" applyFont="1" applyFill="1" applyBorder="1" applyAlignment="1">
      <alignment horizontal="center" vertical="center" wrapText="1"/>
    </xf>
    <xf numFmtId="0" fontId="37" fillId="2" borderId="11" xfId="0" applyFont="1" applyFill="1" applyBorder="1" applyAlignment="1">
      <alignment horizontal="center" vertical="center" wrapText="1"/>
    </xf>
    <xf numFmtId="0" fontId="6" fillId="4" borderId="24" xfId="0" applyFont="1" applyFill="1" applyBorder="1" applyAlignment="1">
      <alignment horizontal="center"/>
    </xf>
    <xf numFmtId="0" fontId="0" fillId="0" borderId="25" xfId="0" applyBorder="1"/>
    <xf numFmtId="0" fontId="9" fillId="2" borderId="1" xfId="0" applyFont="1" applyFill="1" applyBorder="1" applyAlignment="1">
      <alignment horizontal="left" vertical="center"/>
    </xf>
    <xf numFmtId="0" fontId="1" fillId="2" borderId="3" xfId="0" applyFont="1" applyFill="1" applyBorder="1" applyAlignment="1">
      <alignment horizontal="left" vertical="center"/>
    </xf>
    <xf numFmtId="0" fontId="20" fillId="2" borderId="3" xfId="0" applyFont="1" applyFill="1" applyBorder="1" applyAlignment="1">
      <alignment horizontal="left" vertical="center"/>
    </xf>
    <xf numFmtId="0" fontId="20" fillId="2" borderId="2" xfId="0" applyFont="1" applyFill="1" applyBorder="1" applyAlignment="1">
      <alignment horizontal="left" vertical="center"/>
    </xf>
    <xf numFmtId="0" fontId="15" fillId="4" borderId="7" xfId="0" applyFont="1" applyFill="1" applyBorder="1" applyAlignment="1">
      <alignment horizontal="center"/>
    </xf>
    <xf numFmtId="0" fontId="15" fillId="4" borderId="8" xfId="0" applyFont="1" applyFill="1" applyBorder="1" applyAlignment="1">
      <alignment horizontal="center"/>
    </xf>
    <xf numFmtId="0" fontId="0" fillId="4" borderId="13" xfId="0" applyFill="1" applyBorder="1"/>
    <xf numFmtId="0" fontId="5" fillId="4" borderId="4" xfId="0" applyFont="1" applyFill="1" applyBorder="1" applyAlignment="1">
      <alignment horizontal="center" vertical="center" wrapText="1"/>
    </xf>
    <xf numFmtId="0" fontId="5" fillId="4" borderId="0" xfId="0" applyFont="1" applyFill="1" applyAlignment="1">
      <alignment horizontal="center" vertical="center" wrapText="1"/>
    </xf>
    <xf numFmtId="0" fontId="0" fillId="4" borderId="11" xfId="0" applyFill="1" applyBorder="1" applyAlignment="1">
      <alignment horizontal="center" vertical="center"/>
    </xf>
    <xf numFmtId="0" fontId="0" fillId="4" borderId="4" xfId="0" applyFill="1" applyBorder="1" applyAlignment="1">
      <alignment horizontal="center" vertical="center"/>
    </xf>
    <xf numFmtId="0" fontId="0" fillId="4" borderId="0" xfId="0" applyFill="1" applyAlignment="1">
      <alignment horizontal="center" vertical="center"/>
    </xf>
    <xf numFmtId="0" fontId="0" fillId="4" borderId="4" xfId="0" applyFill="1" applyBorder="1"/>
    <xf numFmtId="0" fontId="0" fillId="4" borderId="0" xfId="0" applyFill="1"/>
    <xf numFmtId="0" fontId="0" fillId="4" borderId="11" xfId="0" applyFill="1" applyBorder="1"/>
    <xf numFmtId="0" fontId="5" fillId="4" borderId="0" xfId="0" applyFont="1" applyFill="1" applyAlignment="1">
      <alignment horizontal="center"/>
    </xf>
    <xf numFmtId="0" fontId="0" fillId="0" borderId="11" xfId="0" applyBorder="1" applyAlignment="1">
      <alignment horizontal="center"/>
    </xf>
    <xf numFmtId="0" fontId="9" fillId="0" borderId="0" xfId="0" applyFont="1" applyAlignment="1">
      <alignment horizontal="center" vertical="center"/>
    </xf>
    <xf numFmtId="49" fontId="12" fillId="2" borderId="7" xfId="0" applyNumberFormat="1" applyFont="1" applyFill="1" applyBorder="1" applyAlignment="1">
      <alignment horizontal="left" vertical="center" wrapText="1"/>
    </xf>
    <xf numFmtId="0" fontId="0" fillId="0" borderId="8"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0" fillId="0" borderId="23" xfId="0" applyBorder="1" applyAlignment="1">
      <alignment horizontal="left" vertical="center"/>
    </xf>
    <xf numFmtId="0" fontId="0" fillId="0" borderId="15" xfId="0" applyBorder="1" applyAlignment="1">
      <alignment horizontal="left" vertical="center"/>
    </xf>
    <xf numFmtId="0" fontId="9" fillId="4" borderId="7" xfId="0" applyFont="1" applyFill="1" applyBorder="1" applyAlignment="1">
      <alignment horizontal="left"/>
    </xf>
    <xf numFmtId="0" fontId="9" fillId="4" borderId="8" xfId="0" applyFont="1" applyFill="1" applyBorder="1" applyAlignment="1">
      <alignment horizontal="left"/>
    </xf>
    <xf numFmtId="0" fontId="0" fillId="4" borderId="13" xfId="0" applyFill="1" applyBorder="1" applyAlignment="1">
      <alignment horizontal="left"/>
    </xf>
    <xf numFmtId="0" fontId="5" fillId="4" borderId="4" xfId="0" applyFont="1" applyFill="1" applyBorder="1" applyAlignment="1">
      <alignment horizontal="left" vertical="center" wrapText="1"/>
    </xf>
    <xf numFmtId="0" fontId="0" fillId="0" borderId="0" xfId="0" applyAlignment="1">
      <alignment horizontal="left" vertical="center"/>
    </xf>
    <xf numFmtId="0" fontId="0" fillId="0" borderId="11"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12" xfId="0" applyBorder="1" applyAlignment="1">
      <alignment horizontal="left" vertical="center"/>
    </xf>
    <xf numFmtId="0" fontId="13" fillId="2" borderId="22" xfId="0" applyFont="1" applyFill="1" applyBorder="1" applyAlignment="1">
      <alignment horizontal="left" vertical="center" wrapText="1"/>
    </xf>
    <xf numFmtId="0" fontId="0" fillId="0" borderId="24" xfId="0" applyBorder="1" applyAlignment="1">
      <alignment horizontal="left" vertical="center"/>
    </xf>
    <xf numFmtId="0" fontId="0" fillId="0" borderId="25" xfId="0" applyBorder="1" applyAlignment="1">
      <alignment horizontal="left" vertical="center"/>
    </xf>
    <xf numFmtId="0" fontId="13" fillId="2" borderId="22" xfId="0" applyFont="1" applyFill="1" applyBorder="1" applyAlignment="1">
      <alignment horizontal="center" vertical="center" wrapText="1"/>
    </xf>
    <xf numFmtId="0" fontId="13" fillId="2" borderId="24"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3" fillId="2" borderId="0" xfId="0" applyFont="1" applyFill="1" applyAlignment="1">
      <alignment horizontal="center" vertical="center" wrapText="1"/>
    </xf>
    <xf numFmtId="0" fontId="13" fillId="2" borderId="5"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7" fillId="2" borderId="19"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7" fillId="2" borderId="18" xfId="0" applyFont="1" applyFill="1" applyBorder="1" applyAlignment="1">
      <alignment horizontal="center" vertical="center" wrapText="1"/>
    </xf>
    <xf numFmtId="0" fontId="38" fillId="2" borderId="17" xfId="0" applyFont="1" applyFill="1" applyBorder="1" applyAlignment="1">
      <alignment horizontal="center" vertical="top" wrapText="1"/>
    </xf>
    <xf numFmtId="0" fontId="38" fillId="2" borderId="20" xfId="0" applyFont="1" applyFill="1" applyBorder="1" applyAlignment="1">
      <alignment horizontal="center" vertical="top" wrapText="1"/>
    </xf>
    <xf numFmtId="0" fontId="25" fillId="2" borderId="4" xfId="0" applyFont="1" applyFill="1" applyBorder="1" applyAlignment="1">
      <alignment horizontal="center" vertical="center"/>
    </xf>
    <xf numFmtId="0" fontId="25" fillId="2" borderId="0" xfId="0" applyFont="1" applyFill="1" applyAlignment="1">
      <alignment horizontal="center" vertical="center"/>
    </xf>
    <xf numFmtId="49" fontId="25" fillId="2" borderId="14" xfId="0" applyNumberFormat="1" applyFont="1" applyFill="1" applyBorder="1" applyAlignment="1">
      <alignment horizontal="center"/>
    </xf>
    <xf numFmtId="49" fontId="26" fillId="2" borderId="23" xfId="0" applyNumberFormat="1" applyFont="1" applyFill="1" applyBorder="1" applyAlignment="1">
      <alignment horizontal="center"/>
    </xf>
    <xf numFmtId="49" fontId="26" fillId="2" borderId="15" xfId="0" applyNumberFormat="1" applyFont="1" applyFill="1" applyBorder="1" applyAlignment="1">
      <alignment horizontal="center"/>
    </xf>
    <xf numFmtId="0" fontId="13" fillId="2" borderId="4" xfId="0" applyFont="1" applyFill="1" applyBorder="1" applyAlignment="1">
      <alignment horizontal="left" vertical="center" wrapText="1"/>
    </xf>
    <xf numFmtId="49" fontId="37" fillId="2" borderId="22" xfId="0" applyNumberFormat="1" applyFont="1" applyFill="1" applyBorder="1" applyAlignment="1">
      <alignment horizontal="center" vertical="center" wrapText="1"/>
    </xf>
    <xf numFmtId="49" fontId="37" fillId="2" borderId="4" xfId="0" applyNumberFormat="1" applyFont="1" applyFill="1" applyBorder="1" applyAlignment="1">
      <alignment horizontal="center" vertical="center"/>
    </xf>
    <xf numFmtId="49" fontId="37" fillId="2" borderId="5" xfId="0" applyNumberFormat="1" applyFont="1" applyFill="1" applyBorder="1" applyAlignment="1">
      <alignment horizontal="center" vertical="center"/>
    </xf>
    <xf numFmtId="49" fontId="38" fillId="2" borderId="16" xfId="0" applyNumberFormat="1" applyFont="1" applyFill="1" applyBorder="1" applyAlignment="1">
      <alignment horizontal="center" vertical="center" wrapText="1"/>
    </xf>
    <xf numFmtId="49" fontId="38" fillId="2" borderId="16" xfId="0" applyNumberFormat="1" applyFont="1" applyFill="1" applyBorder="1" applyAlignment="1">
      <alignment horizontal="center" vertical="center"/>
    </xf>
    <xf numFmtId="49" fontId="38" fillId="2" borderId="21" xfId="0" applyNumberFormat="1" applyFont="1" applyFill="1" applyBorder="1" applyAlignment="1">
      <alignment horizontal="center" vertical="center"/>
    </xf>
    <xf numFmtId="0" fontId="37" fillId="2" borderId="42" xfId="0" applyFont="1" applyFill="1" applyBorder="1" applyAlignment="1">
      <alignment horizontal="center" vertical="center" wrapText="1"/>
    </xf>
    <xf numFmtId="0" fontId="37" fillId="2" borderId="48" xfId="0" applyFont="1" applyFill="1" applyBorder="1" applyAlignment="1">
      <alignment horizontal="center" vertical="center" wrapText="1"/>
    </xf>
    <xf numFmtId="0" fontId="37" fillId="2" borderId="68" xfId="0" applyFont="1" applyFill="1" applyBorder="1" applyAlignment="1">
      <alignment horizontal="center" vertical="center" wrapText="1"/>
    </xf>
    <xf numFmtId="49" fontId="37" fillId="2" borderId="4" xfId="0" applyNumberFormat="1" applyFont="1" applyFill="1" applyBorder="1" applyAlignment="1">
      <alignment horizontal="center" vertical="center" wrapText="1"/>
    </xf>
    <xf numFmtId="49" fontId="37" fillId="2" borderId="14" xfId="0" applyNumberFormat="1" applyFont="1" applyFill="1" applyBorder="1" applyAlignment="1">
      <alignment horizontal="center" vertical="center" wrapText="1"/>
    </xf>
    <xf numFmtId="49" fontId="37" fillId="2" borderId="10" xfId="0" applyNumberFormat="1" applyFont="1" applyFill="1" applyBorder="1" applyAlignment="1">
      <alignment horizontal="center" vertical="center" wrapText="1"/>
    </xf>
    <xf numFmtId="49" fontId="37" fillId="2" borderId="16" xfId="0" applyNumberFormat="1" applyFont="1" applyFill="1" applyBorder="1" applyAlignment="1">
      <alignment horizontal="center" vertical="center" wrapText="1"/>
    </xf>
    <xf numFmtId="49" fontId="37" fillId="2" borderId="9" xfId="0" applyNumberFormat="1" applyFont="1" applyFill="1" applyBorder="1" applyAlignment="1">
      <alignment horizontal="center" vertical="center" wrapText="1"/>
    </xf>
    <xf numFmtId="0" fontId="37" fillId="2" borderId="45" xfId="0" applyFont="1" applyFill="1" applyBorder="1" applyAlignment="1">
      <alignment horizontal="center" vertical="center" wrapText="1"/>
    </xf>
    <xf numFmtId="14" fontId="14" fillId="4" borderId="0" xfId="0" applyNumberFormat="1" applyFont="1" applyFill="1" applyAlignment="1">
      <alignment horizontal="left" vertical="center"/>
    </xf>
    <xf numFmtId="0" fontId="0" fillId="4" borderId="11" xfId="0" applyFill="1" applyBorder="1" applyAlignment="1">
      <alignment horizontal="left"/>
    </xf>
    <xf numFmtId="49" fontId="13" fillId="2" borderId="4" xfId="0" applyNumberFormat="1" applyFont="1" applyFill="1" applyBorder="1" applyAlignment="1">
      <alignment horizontal="left" vertical="center" wrapText="1"/>
    </xf>
    <xf numFmtId="0" fontId="0" fillId="0" borderId="0" xfId="0" applyAlignment="1">
      <alignment horizontal="left" vertical="center" wrapText="1"/>
    </xf>
    <xf numFmtId="0" fontId="0" fillId="0" borderId="11"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12" xfId="0" applyBorder="1" applyAlignment="1">
      <alignment horizontal="left" vertical="center" wrapText="1"/>
    </xf>
    <xf numFmtId="14" fontId="14" fillId="4" borderId="32" xfId="0" applyNumberFormat="1" applyFont="1" applyFill="1" applyBorder="1" applyAlignment="1">
      <alignment horizontal="left" vertical="center"/>
    </xf>
    <xf numFmtId="0" fontId="0" fillId="4" borderId="33" xfId="0" applyFill="1" applyBorder="1" applyAlignment="1">
      <alignment horizontal="left"/>
    </xf>
    <xf numFmtId="14" fontId="14" fillId="4" borderId="31" xfId="0" applyNumberFormat="1" applyFont="1" applyFill="1" applyBorder="1" applyAlignment="1">
      <alignment horizontal="left" vertical="center"/>
    </xf>
    <xf numFmtId="0" fontId="0" fillId="4" borderId="29" xfId="0" applyFill="1" applyBorder="1" applyAlignment="1">
      <alignment horizontal="left"/>
    </xf>
    <xf numFmtId="0" fontId="0" fillId="0" borderId="4" xfId="0" applyBorder="1" applyAlignment="1">
      <alignment horizontal="left" vertical="center" wrapText="1"/>
    </xf>
    <xf numFmtId="0" fontId="37" fillId="2" borderId="34" xfId="0" applyFont="1" applyFill="1" applyBorder="1" applyAlignment="1">
      <alignment horizontal="center" vertical="center" wrapText="1"/>
    </xf>
    <xf numFmtId="0" fontId="37" fillId="2" borderId="34" xfId="0" applyFont="1" applyFill="1" applyBorder="1" applyAlignment="1">
      <alignment horizontal="center" vertical="center"/>
    </xf>
    <xf numFmtId="0" fontId="38" fillId="2" borderId="34" xfId="0" applyFont="1" applyFill="1" applyBorder="1" applyAlignment="1">
      <alignment horizontal="center" vertical="center"/>
    </xf>
    <xf numFmtId="0" fontId="38" fillId="2" borderId="35" xfId="0" applyFont="1" applyFill="1" applyBorder="1" applyAlignment="1">
      <alignment horizontal="center" vertical="center"/>
    </xf>
    <xf numFmtId="0" fontId="37" fillId="2" borderId="24" xfId="0" applyFont="1" applyFill="1" applyBorder="1" applyAlignment="1">
      <alignment horizontal="center" vertical="center" wrapText="1"/>
    </xf>
    <xf numFmtId="0" fontId="37" fillId="2" borderId="0" xfId="0" applyFont="1" applyFill="1" applyAlignment="1">
      <alignment horizontal="center" vertical="center" wrapText="1"/>
    </xf>
    <xf numFmtId="0" fontId="37" fillId="2" borderId="6" xfId="0" applyFont="1" applyFill="1" applyBorder="1" applyAlignment="1">
      <alignment horizontal="center" vertical="center" wrapText="1"/>
    </xf>
    <xf numFmtId="0" fontId="0" fillId="3" borderId="7" xfId="0" applyFill="1" applyBorder="1" applyAlignment="1">
      <alignment horizontal="left"/>
    </xf>
    <xf numFmtId="0" fontId="0" fillId="3" borderId="8" xfId="0" applyFill="1" applyBorder="1" applyAlignment="1">
      <alignment horizontal="left"/>
    </xf>
    <xf numFmtId="0" fontId="0" fillId="3" borderId="13" xfId="0" applyFill="1" applyBorder="1" applyAlignment="1">
      <alignment horizontal="left"/>
    </xf>
    <xf numFmtId="0" fontId="0" fillId="6" borderId="22" xfId="0" applyFill="1" applyBorder="1" applyAlignment="1">
      <alignment horizontal="left" wrapText="1"/>
    </xf>
    <xf numFmtId="0" fontId="0" fillId="6" borderId="41" xfId="0" applyFill="1" applyBorder="1" applyAlignment="1">
      <alignment horizontal="left" wrapText="1"/>
    </xf>
    <xf numFmtId="0" fontId="0" fillId="6" borderId="14" xfId="0" applyFill="1" applyBorder="1" applyAlignment="1">
      <alignment horizontal="left" wrapText="1"/>
    </xf>
    <xf numFmtId="0" fontId="0" fillId="6" borderId="44" xfId="0" applyFill="1" applyBorder="1" applyAlignment="1">
      <alignment horizontal="left" wrapText="1"/>
    </xf>
    <xf numFmtId="0" fontId="0" fillId="6" borderId="22" xfId="0" applyFill="1" applyBorder="1" applyAlignment="1">
      <alignment horizontal="left" vertical="center" wrapText="1"/>
    </xf>
    <xf numFmtId="0" fontId="0" fillId="6" borderId="41" xfId="0" applyFill="1" applyBorder="1" applyAlignment="1">
      <alignment horizontal="left" vertical="center" wrapText="1"/>
    </xf>
    <xf numFmtId="0" fontId="0" fillId="6" borderId="4" xfId="0" applyFill="1" applyBorder="1" applyAlignment="1">
      <alignment horizontal="left" vertical="center" wrapText="1"/>
    </xf>
    <xf numFmtId="0" fontId="0" fillId="6" borderId="46" xfId="0" applyFill="1" applyBorder="1" applyAlignment="1">
      <alignment horizontal="left" vertical="center" wrapText="1"/>
    </xf>
    <xf numFmtId="0" fontId="0" fillId="6" borderId="14" xfId="0" applyFill="1" applyBorder="1" applyAlignment="1">
      <alignment horizontal="left" vertical="center" wrapText="1"/>
    </xf>
    <xf numFmtId="0" fontId="0" fillId="6" borderId="44" xfId="0" applyFill="1" applyBorder="1" applyAlignment="1">
      <alignment horizontal="left" vertical="center" wrapText="1"/>
    </xf>
    <xf numFmtId="0" fontId="0" fillId="3" borderId="22" xfId="0" applyFill="1" applyBorder="1" applyAlignment="1">
      <alignment horizontal="left" wrapText="1"/>
    </xf>
    <xf numFmtId="0" fontId="0" fillId="3" borderId="41" xfId="0" applyFill="1" applyBorder="1" applyAlignment="1">
      <alignment horizontal="left" wrapText="1"/>
    </xf>
    <xf numFmtId="0" fontId="0" fillId="3" borderId="14" xfId="0" applyFill="1" applyBorder="1" applyAlignment="1">
      <alignment horizontal="left" wrapText="1"/>
    </xf>
    <xf numFmtId="0" fontId="0" fillId="3" borderId="44" xfId="0" applyFill="1" applyBorder="1" applyAlignment="1">
      <alignment horizontal="left" wrapText="1"/>
    </xf>
    <xf numFmtId="0" fontId="0" fillId="0" borderId="1" xfId="0" applyBorder="1" applyAlignment="1">
      <alignment horizontal="center"/>
    </xf>
    <xf numFmtId="0" fontId="0" fillId="0" borderId="2" xfId="0" applyBorder="1" applyAlignment="1">
      <alignment horizontal="center"/>
    </xf>
    <xf numFmtId="0" fontId="0" fillId="0" borderId="69" xfId="0" applyBorder="1" applyAlignment="1">
      <alignment horizontal="center"/>
    </xf>
    <xf numFmtId="0" fontId="0" fillId="0" borderId="73" xfId="0" applyBorder="1" applyAlignment="1">
      <alignment horizontal="center"/>
    </xf>
    <xf numFmtId="0" fontId="0" fillId="6" borderId="22" xfId="0" applyFill="1" applyBorder="1" applyAlignment="1">
      <alignment horizontal="center" vertical="center"/>
    </xf>
    <xf numFmtId="0" fontId="0" fillId="6" borderId="25" xfId="0" applyFill="1" applyBorder="1" applyAlignment="1">
      <alignment horizontal="center" vertical="center"/>
    </xf>
    <xf numFmtId="0" fontId="0" fillId="6" borderId="4" xfId="0" applyFill="1" applyBorder="1" applyAlignment="1">
      <alignment horizontal="center" vertical="center"/>
    </xf>
    <xf numFmtId="0" fontId="0" fillId="6" borderId="11" xfId="0" applyFill="1" applyBorder="1" applyAlignment="1">
      <alignment horizontal="center" vertical="center"/>
    </xf>
    <xf numFmtId="0" fontId="0" fillId="6" borderId="14" xfId="0" applyFill="1" applyBorder="1" applyAlignment="1">
      <alignment horizontal="center" vertical="center"/>
    </xf>
    <xf numFmtId="0" fontId="0" fillId="6" borderId="15" xfId="0" applyFill="1" applyBorder="1" applyAlignment="1">
      <alignment horizontal="center" vertical="center"/>
    </xf>
    <xf numFmtId="0" fontId="0" fillId="6" borderId="54" xfId="0" applyFill="1" applyBorder="1" applyAlignment="1">
      <alignment horizontal="left"/>
    </xf>
    <xf numFmtId="0" fontId="0" fillId="6" borderId="55" xfId="0" applyFill="1" applyBorder="1" applyAlignment="1">
      <alignment horizontal="left"/>
    </xf>
    <xf numFmtId="0" fontId="0" fillId="6" borderId="56" xfId="0" applyFill="1" applyBorder="1" applyAlignment="1">
      <alignment horizontal="left"/>
    </xf>
    <xf numFmtId="0" fontId="34" fillId="0" borderId="0" xfId="0" applyFont="1" applyAlignment="1">
      <alignment horizontal="left" vertical="center"/>
    </xf>
    <xf numFmtId="0" fontId="0" fillId="11" borderId="4" xfId="0" applyFill="1" applyBorder="1" applyAlignment="1">
      <alignment horizontal="left"/>
    </xf>
    <xf numFmtId="0" fontId="0" fillId="11" borderId="0" xfId="0" applyFill="1" applyAlignment="1">
      <alignment horizontal="left"/>
    </xf>
    <xf numFmtId="164" fontId="0" fillId="0" borderId="59" xfId="0" applyNumberFormat="1" applyBorder="1" applyAlignment="1">
      <alignment horizontal="center" vertical="center" textRotation="90" wrapText="1"/>
    </xf>
    <xf numFmtId="164" fontId="0" fillId="0" borderId="59" xfId="0" applyNumberFormat="1" applyBorder="1" applyAlignment="1">
      <alignment horizontal="center" vertical="center" textRotation="90"/>
    </xf>
    <xf numFmtId="0" fontId="24" fillId="6" borderId="7" xfId="0" applyFont="1" applyFill="1" applyBorder="1" applyAlignment="1">
      <alignment horizontal="center" vertical="center" wrapText="1"/>
    </xf>
    <xf numFmtId="0" fontId="24" fillId="6" borderId="8" xfId="0" applyFont="1" applyFill="1" applyBorder="1" applyAlignment="1">
      <alignment horizontal="center" vertical="center" wrapText="1"/>
    </xf>
    <xf numFmtId="0" fontId="24" fillId="6" borderId="13" xfId="0" applyFont="1" applyFill="1" applyBorder="1" applyAlignment="1">
      <alignment horizontal="center" vertical="center" wrapText="1"/>
    </xf>
    <xf numFmtId="0" fontId="0" fillId="9" borderId="7" xfId="0" applyFill="1" applyBorder="1" applyAlignment="1">
      <alignment horizontal="left" wrapText="1"/>
    </xf>
    <xf numFmtId="0" fontId="0" fillId="9" borderId="8" xfId="0" applyFill="1" applyBorder="1" applyAlignment="1">
      <alignment horizontal="left" wrapText="1"/>
    </xf>
    <xf numFmtId="0" fontId="0" fillId="9" borderId="13" xfId="0" applyFill="1" applyBorder="1" applyAlignment="1">
      <alignment horizontal="left" wrapText="1"/>
    </xf>
    <xf numFmtId="164" fontId="0" fillId="8" borderId="42" xfId="0" applyNumberFormat="1" applyFill="1" applyBorder="1" applyAlignment="1">
      <alignment horizontal="center" vertical="center" wrapText="1"/>
    </xf>
    <xf numFmtId="164" fontId="0" fillId="8" borderId="45" xfId="0" applyNumberFormat="1" applyFill="1" applyBorder="1" applyAlignment="1">
      <alignment horizontal="center" vertical="center" wrapText="1"/>
    </xf>
    <xf numFmtId="164" fontId="0" fillId="8" borderId="48" xfId="0" applyNumberFormat="1" applyFill="1" applyBorder="1" applyAlignment="1">
      <alignment horizontal="center" vertical="center" wrapText="1"/>
    </xf>
    <xf numFmtId="164" fontId="0" fillId="6" borderId="34" xfId="0" applyNumberFormat="1" applyFill="1" applyBorder="1" applyAlignment="1">
      <alignment horizontal="center" vertical="center" wrapText="1"/>
    </xf>
    <xf numFmtId="0" fontId="24" fillId="3" borderId="7" xfId="0" applyFont="1" applyFill="1" applyBorder="1" applyAlignment="1">
      <alignment horizontal="center" wrapText="1"/>
    </xf>
    <xf numFmtId="0" fontId="24" fillId="3" borderId="8" xfId="0" applyFont="1" applyFill="1" applyBorder="1" applyAlignment="1">
      <alignment horizontal="center" wrapText="1"/>
    </xf>
    <xf numFmtId="0" fontId="24" fillId="3" borderId="13" xfId="0" applyFont="1" applyFill="1" applyBorder="1" applyAlignment="1">
      <alignment horizontal="center" wrapText="1"/>
    </xf>
    <xf numFmtId="164" fontId="0" fillId="3" borderId="42" xfId="0" applyNumberFormat="1" applyFill="1" applyBorder="1" applyAlignment="1">
      <alignment horizontal="center" vertical="center" wrapText="1"/>
    </xf>
    <xf numFmtId="164" fontId="0" fillId="3" borderId="48" xfId="0" applyNumberFormat="1" applyFill="1" applyBorder="1" applyAlignment="1">
      <alignment horizontal="center" vertical="center" wrapText="1"/>
    </xf>
    <xf numFmtId="164" fontId="0" fillId="3" borderId="45" xfId="0" applyNumberFormat="1" applyFill="1" applyBorder="1" applyAlignment="1">
      <alignment horizontal="center" vertical="center" wrapText="1"/>
    </xf>
    <xf numFmtId="164" fontId="0" fillId="0" borderId="36" xfId="0" applyNumberFormat="1" applyBorder="1" applyAlignment="1">
      <alignment horizontal="left" vertical="top" wrapText="1"/>
    </xf>
    <xf numFmtId="0" fontId="0" fillId="0" borderId="19" xfId="0" applyBorder="1" applyAlignment="1">
      <alignment horizontal="center" vertical="top" wrapText="1"/>
    </xf>
    <xf numFmtId="0" fontId="0" fillId="0" borderId="18" xfId="0" applyBorder="1" applyAlignment="1">
      <alignment horizontal="center" vertical="top" wrapText="1"/>
    </xf>
    <xf numFmtId="0" fontId="0" fillId="0" borderId="42" xfId="0" applyBorder="1" applyAlignment="1">
      <alignment horizontal="center" vertical="top" wrapText="1"/>
    </xf>
    <xf numFmtId="0" fontId="0" fillId="0" borderId="45" xfId="0" applyBorder="1" applyAlignment="1">
      <alignment horizontal="center" vertical="top" wrapText="1"/>
    </xf>
    <xf numFmtId="164" fontId="0" fillId="0" borderId="10" xfId="0" applyNumberFormat="1" applyBorder="1" applyAlignment="1">
      <alignment horizontal="center" vertical="top" wrapText="1"/>
    </xf>
    <xf numFmtId="164" fontId="0" fillId="0" borderId="9" xfId="0" applyNumberFormat="1" applyBorder="1" applyAlignment="1">
      <alignment horizontal="center" vertical="top" wrapText="1"/>
    </xf>
    <xf numFmtId="0" fontId="0" fillId="0" borderId="48" xfId="0" applyBorder="1" applyAlignment="1">
      <alignment horizontal="center" vertical="top" wrapText="1"/>
    </xf>
    <xf numFmtId="164" fontId="0" fillId="0" borderId="16" xfId="0" applyNumberFormat="1" applyBorder="1" applyAlignment="1">
      <alignment horizontal="center" vertical="top" wrapText="1"/>
    </xf>
    <xf numFmtId="0" fontId="24" fillId="13" borderId="7" xfId="0" applyFont="1" applyFill="1" applyBorder="1" applyAlignment="1">
      <alignment horizontal="center" wrapText="1"/>
    </xf>
    <xf numFmtId="0" fontId="24" fillId="13" borderId="8" xfId="0" applyFont="1" applyFill="1" applyBorder="1" applyAlignment="1">
      <alignment horizontal="center" wrapText="1"/>
    </xf>
    <xf numFmtId="0" fontId="24" fillId="13" borderId="13" xfId="0" applyFont="1" applyFill="1" applyBorder="1" applyAlignment="1">
      <alignment horizontal="center" wrapText="1"/>
    </xf>
    <xf numFmtId="0" fontId="0" fillId="0" borderId="50" xfId="0" applyBorder="1" applyAlignment="1">
      <alignment horizontal="center" wrapText="1"/>
    </xf>
    <xf numFmtId="0" fontId="0" fillId="0" borderId="29" xfId="0" applyBorder="1" applyAlignment="1">
      <alignment horizontal="center"/>
    </xf>
    <xf numFmtId="164" fontId="0" fillId="13" borderId="42" xfId="0" applyNumberFormat="1" applyFill="1" applyBorder="1" applyAlignment="1">
      <alignment horizontal="center" vertical="center" wrapText="1"/>
    </xf>
    <xf numFmtId="164" fontId="0" fillId="13" borderId="48" xfId="0" applyNumberFormat="1" applyFill="1" applyBorder="1" applyAlignment="1">
      <alignment horizontal="center" vertical="center" wrapText="1"/>
    </xf>
    <xf numFmtId="164" fontId="0" fillId="13" borderId="45" xfId="0" applyNumberFormat="1" applyFill="1" applyBorder="1" applyAlignment="1">
      <alignment horizontal="center" vertical="center" wrapText="1"/>
    </xf>
    <xf numFmtId="0" fontId="0" fillId="0" borderId="10" xfId="0" applyBorder="1" applyAlignment="1">
      <alignment horizontal="center" vertical="top"/>
    </xf>
    <xf numFmtId="0" fontId="0" fillId="0" borderId="9" xfId="0" applyBorder="1" applyAlignment="1">
      <alignment horizontal="center" vertical="top"/>
    </xf>
    <xf numFmtId="0" fontId="40" fillId="2" borderId="43" xfId="0" applyFont="1" applyFill="1" applyBorder="1" applyAlignment="1">
      <alignment horizontal="center"/>
    </xf>
    <xf numFmtId="0" fontId="40" fillId="2" borderId="23" xfId="0" applyFont="1" applyFill="1" applyBorder="1" applyAlignment="1">
      <alignment horizontal="center"/>
    </xf>
    <xf numFmtId="0" fontId="40" fillId="2" borderId="44" xfId="0" applyFont="1" applyFill="1" applyBorder="1" applyAlignment="1">
      <alignment horizontal="center"/>
    </xf>
    <xf numFmtId="0" fontId="40" fillId="0" borderId="0" xfId="0" applyFont="1" applyAlignment="1">
      <alignment horizontal="left"/>
    </xf>
    <xf numFmtId="0" fontId="40" fillId="0" borderId="46" xfId="0" applyFont="1" applyBorder="1" applyAlignment="1">
      <alignment horizontal="left"/>
    </xf>
    <xf numFmtId="0" fontId="40" fillId="2" borderId="47" xfId="0" applyFont="1" applyFill="1" applyBorder="1" applyAlignment="1">
      <alignment horizontal="left" vertical="center"/>
    </xf>
    <xf numFmtId="0" fontId="40" fillId="2" borderId="0" xfId="0" applyFont="1" applyFill="1" applyAlignment="1">
      <alignment horizontal="left" vertical="center"/>
    </xf>
    <xf numFmtId="0" fontId="40" fillId="2" borderId="46" xfId="0" applyFont="1" applyFill="1" applyBorder="1" applyAlignment="1">
      <alignment horizontal="left" vertical="center"/>
    </xf>
    <xf numFmtId="0" fontId="40" fillId="15" borderId="43" xfId="0" applyFont="1" applyFill="1" applyBorder="1" applyAlignment="1">
      <alignment horizontal="center"/>
    </xf>
    <xf numFmtId="0" fontId="40" fillId="15" borderId="23" xfId="0" applyFont="1" applyFill="1" applyBorder="1" applyAlignment="1">
      <alignment horizontal="center"/>
    </xf>
    <xf numFmtId="0" fontId="40" fillId="15" borderId="44" xfId="0" applyFont="1" applyFill="1" applyBorder="1" applyAlignment="1">
      <alignment horizontal="center"/>
    </xf>
    <xf numFmtId="0" fontId="40" fillId="0" borderId="43" xfId="0" applyFont="1" applyBorder="1" applyAlignment="1">
      <alignment horizontal="left"/>
    </xf>
    <xf numFmtId="0" fontId="40" fillId="0" borderId="44" xfId="0" applyFont="1" applyBorder="1" applyAlignment="1">
      <alignment horizontal="left"/>
    </xf>
    <xf numFmtId="0" fontId="40" fillId="15" borderId="43" xfId="0" applyFont="1" applyFill="1" applyBorder="1" applyAlignment="1">
      <alignment horizontal="left" vertical="center"/>
    </xf>
    <xf numFmtId="0" fontId="40" fillId="15" borderId="23" xfId="0" applyFont="1" applyFill="1" applyBorder="1" applyAlignment="1">
      <alignment horizontal="left" vertical="center"/>
    </xf>
    <xf numFmtId="0" fontId="40" fillId="15" borderId="44" xfId="0" applyFont="1" applyFill="1" applyBorder="1" applyAlignment="1">
      <alignment horizontal="left" vertical="center"/>
    </xf>
    <xf numFmtId="0" fontId="40" fillId="15" borderId="47" xfId="0" applyFont="1" applyFill="1" applyBorder="1" applyAlignment="1">
      <alignment horizontal="center"/>
    </xf>
    <xf numFmtId="0" fontId="40" fillId="15" borderId="0" xfId="0" applyFont="1" applyFill="1" applyAlignment="1">
      <alignment horizontal="center"/>
    </xf>
    <xf numFmtId="0" fontId="40" fillId="15" borderId="46" xfId="0" applyFont="1" applyFill="1" applyBorder="1" applyAlignment="1">
      <alignment horizontal="center"/>
    </xf>
    <xf numFmtId="0" fontId="40" fillId="0" borderId="47" xfId="0" applyFont="1" applyBorder="1" applyAlignment="1">
      <alignment horizontal="left"/>
    </xf>
    <xf numFmtId="0" fontId="40" fillId="15" borderId="40" xfId="0" applyFont="1" applyFill="1" applyBorder="1" applyAlignment="1">
      <alignment horizontal="left" vertical="center"/>
    </xf>
    <xf numFmtId="0" fontId="40" fillId="15" borderId="24" xfId="0" applyFont="1" applyFill="1" applyBorder="1" applyAlignment="1">
      <alignment horizontal="left" vertical="center"/>
    </xf>
    <xf numFmtId="0" fontId="40" fillId="15" borderId="41" xfId="0" applyFont="1" applyFill="1" applyBorder="1" applyAlignment="1">
      <alignment horizontal="left" vertical="center"/>
    </xf>
    <xf numFmtId="0" fontId="40" fillId="15" borderId="47" xfId="0" applyFont="1" applyFill="1" applyBorder="1" applyAlignment="1">
      <alignment horizontal="left" vertical="center"/>
    </xf>
    <xf numFmtId="0" fontId="40" fillId="15" borderId="0" xfId="0" applyFont="1" applyFill="1" applyAlignment="1">
      <alignment horizontal="left" vertical="center"/>
    </xf>
    <xf numFmtId="0" fontId="40" fillId="15" borderId="46" xfId="0" applyFont="1" applyFill="1" applyBorder="1" applyAlignment="1">
      <alignment horizontal="left" vertical="center"/>
    </xf>
    <xf numFmtId="0" fontId="8" fillId="2" borderId="40" xfId="1" applyFill="1" applyBorder="1" applyAlignment="1">
      <alignment horizontal="left"/>
    </xf>
    <xf numFmtId="0" fontId="8" fillId="2" borderId="24" xfId="1" applyFill="1" applyBorder="1" applyAlignment="1">
      <alignment horizontal="left"/>
    </xf>
    <xf numFmtId="0" fontId="8" fillId="2" borderId="41" xfId="1" applyFill="1" applyBorder="1" applyAlignment="1">
      <alignment horizontal="left"/>
    </xf>
    <xf numFmtId="0" fontId="41" fillId="0" borderId="24" xfId="0" applyFont="1" applyBorder="1" applyAlignment="1">
      <alignment horizontal="left"/>
    </xf>
    <xf numFmtId="0" fontId="41" fillId="0" borderId="41" xfId="0" applyFont="1" applyBorder="1" applyAlignment="1">
      <alignment horizontal="left"/>
    </xf>
    <xf numFmtId="0" fontId="40" fillId="2" borderId="40" xfId="0" applyFont="1" applyFill="1" applyBorder="1" applyAlignment="1">
      <alignment horizontal="left" vertical="center"/>
    </xf>
    <xf numFmtId="0" fontId="40" fillId="2" borderId="24" xfId="0" applyFont="1" applyFill="1" applyBorder="1" applyAlignment="1">
      <alignment horizontal="left" vertical="center"/>
    </xf>
    <xf numFmtId="0" fontId="40" fillId="2" borderId="41" xfId="0" applyFont="1" applyFill="1" applyBorder="1" applyAlignment="1">
      <alignment horizontal="left" vertical="center"/>
    </xf>
    <xf numFmtId="0" fontId="40" fillId="2" borderId="47" xfId="0" applyFont="1" applyFill="1" applyBorder="1" applyAlignment="1">
      <alignment horizontal="center"/>
    </xf>
    <xf numFmtId="0" fontId="40" fillId="2" borderId="0" xfId="0" applyFont="1" applyFill="1" applyAlignment="1">
      <alignment horizontal="center"/>
    </xf>
    <xf numFmtId="0" fontId="40" fillId="2" borderId="46" xfId="0" applyFont="1" applyFill="1" applyBorder="1" applyAlignment="1">
      <alignment horizontal="center"/>
    </xf>
    <xf numFmtId="0" fontId="40" fillId="2" borderId="40" xfId="0" applyFont="1" applyFill="1" applyBorder="1" applyAlignment="1">
      <alignment horizontal="center"/>
    </xf>
    <xf numFmtId="0" fontId="40" fillId="2" borderId="31" xfId="0" applyFont="1" applyFill="1" applyBorder="1" applyAlignment="1">
      <alignment horizontal="center"/>
    </xf>
    <xf numFmtId="0" fontId="40" fillId="2" borderId="39" xfId="0" applyFont="1" applyFill="1" applyBorder="1" applyAlignment="1">
      <alignment horizontal="center"/>
    </xf>
    <xf numFmtId="0" fontId="43" fillId="5" borderId="4" xfId="0" applyFont="1" applyFill="1" applyBorder="1" applyAlignment="1">
      <alignment horizontal="center" wrapText="1"/>
    </xf>
    <xf numFmtId="0" fontId="43" fillId="5" borderId="24" xfId="0" applyFont="1" applyFill="1" applyBorder="1" applyAlignment="1">
      <alignment horizontal="center" wrapText="1"/>
    </xf>
    <xf numFmtId="0" fontId="43" fillId="5" borderId="25" xfId="0" applyFont="1" applyFill="1" applyBorder="1" applyAlignment="1">
      <alignment horizontal="center" wrapText="1"/>
    </xf>
    <xf numFmtId="0" fontId="43" fillId="5" borderId="14" xfId="0" applyFont="1" applyFill="1" applyBorder="1" applyAlignment="1">
      <alignment horizontal="center" wrapText="1"/>
    </xf>
    <xf numFmtId="0" fontId="43" fillId="5" borderId="23" xfId="0" applyFont="1" applyFill="1" applyBorder="1" applyAlignment="1">
      <alignment horizontal="center" wrapText="1"/>
    </xf>
    <xf numFmtId="0" fontId="43" fillId="5" borderId="15" xfId="0" applyFont="1" applyFill="1" applyBorder="1" applyAlignment="1">
      <alignment horizontal="center" wrapText="1"/>
    </xf>
    <xf numFmtId="0" fontId="40" fillId="15" borderId="4" xfId="0" applyFont="1" applyFill="1" applyBorder="1" applyAlignment="1">
      <alignment horizontal="center"/>
    </xf>
    <xf numFmtId="0" fontId="40" fillId="15" borderId="11" xfId="0" applyFont="1" applyFill="1" applyBorder="1" applyAlignment="1">
      <alignment horizontal="center"/>
    </xf>
    <xf numFmtId="0" fontId="41" fillId="5" borderId="40" xfId="0" applyFont="1" applyFill="1" applyBorder="1" applyAlignment="1">
      <alignment horizontal="center" vertical="center"/>
    </xf>
    <xf numFmtId="0" fontId="41" fillId="5" borderId="24" xfId="0" applyFont="1" applyFill="1" applyBorder="1" applyAlignment="1">
      <alignment horizontal="center" vertical="center"/>
    </xf>
    <xf numFmtId="0" fontId="41" fillId="5" borderId="41" xfId="0" applyFont="1" applyFill="1" applyBorder="1" applyAlignment="1">
      <alignment horizontal="center" vertical="center"/>
    </xf>
    <xf numFmtId="0" fontId="41" fillId="5" borderId="47" xfId="0" applyFont="1" applyFill="1" applyBorder="1" applyAlignment="1">
      <alignment horizontal="center" vertical="center"/>
    </xf>
    <xf numFmtId="0" fontId="41" fillId="5" borderId="0" xfId="0" applyFont="1" applyFill="1" applyAlignment="1">
      <alignment horizontal="center" vertical="center"/>
    </xf>
    <xf numFmtId="0" fontId="41" fillId="5" borderId="46" xfId="0" applyFont="1" applyFill="1" applyBorder="1" applyAlignment="1">
      <alignment horizontal="center" vertical="center"/>
    </xf>
    <xf numFmtId="0" fontId="41" fillId="5" borderId="43" xfId="0" applyFont="1" applyFill="1" applyBorder="1" applyAlignment="1">
      <alignment horizontal="center" vertical="center"/>
    </xf>
    <xf numFmtId="0" fontId="41" fillId="5" borderId="23" xfId="0" applyFont="1" applyFill="1" applyBorder="1" applyAlignment="1">
      <alignment horizontal="center" vertical="center"/>
    </xf>
    <xf numFmtId="0" fontId="41" fillId="5" borderId="44" xfId="0" applyFont="1" applyFill="1" applyBorder="1" applyAlignment="1">
      <alignment horizontal="center" vertical="center"/>
    </xf>
    <xf numFmtId="0" fontId="41" fillId="5" borderId="49" xfId="0" applyFont="1" applyFill="1" applyBorder="1" applyAlignment="1">
      <alignment horizontal="center" vertical="center"/>
    </xf>
    <xf numFmtId="0" fontId="41" fillId="5" borderId="51" xfId="0" applyFont="1" applyFill="1" applyBorder="1" applyAlignment="1">
      <alignment horizontal="center" vertical="center"/>
    </xf>
    <xf numFmtId="0" fontId="41" fillId="5" borderId="19" xfId="0" applyFont="1" applyFill="1" applyBorder="1" applyAlignment="1">
      <alignment horizontal="center" vertical="center"/>
    </xf>
    <xf numFmtId="0" fontId="41" fillId="5" borderId="42" xfId="0" applyFont="1" applyFill="1" applyBorder="1" applyAlignment="1">
      <alignment horizontal="center" vertical="center"/>
    </xf>
    <xf numFmtId="0" fontId="41" fillId="5" borderId="51" xfId="0" applyFont="1" applyFill="1" applyBorder="1" applyAlignment="1">
      <alignment horizontal="center" vertical="center" wrapText="1"/>
    </xf>
    <xf numFmtId="0" fontId="41" fillId="5" borderId="42" xfId="0" applyFont="1" applyFill="1" applyBorder="1" applyAlignment="1">
      <alignment horizontal="center" vertical="center" wrapText="1"/>
    </xf>
    <xf numFmtId="0" fontId="41" fillId="5" borderId="57" xfId="0" applyFont="1" applyFill="1" applyBorder="1" applyAlignment="1">
      <alignment horizontal="center" vertical="center"/>
    </xf>
    <xf numFmtId="0" fontId="41" fillId="5" borderId="10" xfId="0" applyFont="1" applyFill="1" applyBorder="1" applyAlignment="1">
      <alignment horizontal="center" vertical="center"/>
    </xf>
    <xf numFmtId="0" fontId="45" fillId="5" borderId="40" xfId="0" applyFont="1" applyFill="1" applyBorder="1" applyAlignment="1">
      <alignment horizontal="left" vertical="center"/>
    </xf>
    <xf numFmtId="0" fontId="45" fillId="5" borderId="24" xfId="0" applyFont="1" applyFill="1" applyBorder="1" applyAlignment="1">
      <alignment horizontal="left" vertical="center"/>
    </xf>
    <xf numFmtId="0" fontId="45" fillId="5" borderId="41" xfId="0" applyFont="1" applyFill="1" applyBorder="1" applyAlignment="1">
      <alignment horizontal="left" vertical="center"/>
    </xf>
    <xf numFmtId="0" fontId="45" fillId="5" borderId="43" xfId="0" applyFont="1" applyFill="1" applyBorder="1" applyAlignment="1">
      <alignment horizontal="left" vertical="center"/>
    </xf>
    <xf numFmtId="0" fontId="45" fillId="5" borderId="23" xfId="0" applyFont="1" applyFill="1" applyBorder="1" applyAlignment="1">
      <alignment horizontal="left" vertical="center"/>
    </xf>
    <xf numFmtId="0" fontId="45" fillId="5" borderId="44" xfId="0" applyFont="1" applyFill="1" applyBorder="1" applyAlignment="1">
      <alignment horizontal="left" vertical="center"/>
    </xf>
    <xf numFmtId="14" fontId="45" fillId="5" borderId="40" xfId="0" applyNumberFormat="1" applyFont="1" applyFill="1" applyBorder="1" applyAlignment="1">
      <alignment horizontal="center" vertical="center"/>
    </xf>
    <xf numFmtId="14" fontId="45" fillId="5" borderId="24" xfId="0" applyNumberFormat="1" applyFont="1" applyFill="1" applyBorder="1" applyAlignment="1">
      <alignment horizontal="center" vertical="center"/>
    </xf>
    <xf numFmtId="14" fontId="45" fillId="5" borderId="41" xfId="0" applyNumberFormat="1" applyFont="1" applyFill="1" applyBorder="1" applyAlignment="1">
      <alignment horizontal="center" vertical="center"/>
    </xf>
    <xf numFmtId="14" fontId="45" fillId="5" borderId="43" xfId="0" applyNumberFormat="1" applyFont="1" applyFill="1" applyBorder="1" applyAlignment="1">
      <alignment horizontal="center" vertical="center"/>
    </xf>
    <xf numFmtId="14" fontId="45" fillId="5" borderId="23" xfId="0" applyNumberFormat="1" applyFont="1" applyFill="1" applyBorder="1" applyAlignment="1">
      <alignment horizontal="center" vertical="center"/>
    </xf>
    <xf numFmtId="14" fontId="45" fillId="5" borderId="44" xfId="0" applyNumberFormat="1" applyFont="1" applyFill="1" applyBorder="1" applyAlignment="1">
      <alignment horizontal="center" vertical="center"/>
    </xf>
    <xf numFmtId="0" fontId="45" fillId="5" borderId="34" xfId="0" applyFont="1" applyFill="1" applyBorder="1" applyAlignment="1">
      <alignment horizontal="center" vertical="center"/>
    </xf>
    <xf numFmtId="0" fontId="41" fillId="0" borderId="0" xfId="0" applyFont="1" applyAlignment="1">
      <alignment horizontal="left" vertical="center"/>
    </xf>
    <xf numFmtId="0" fontId="47" fillId="2" borderId="34" xfId="0" applyFont="1" applyFill="1" applyBorder="1" applyAlignment="1">
      <alignment horizontal="center" vertical="center"/>
    </xf>
    <xf numFmtId="0" fontId="48" fillId="15" borderId="40" xfId="0" applyFont="1" applyFill="1" applyBorder="1" applyAlignment="1">
      <alignment horizontal="left" vertical="center"/>
    </xf>
    <xf numFmtId="0" fontId="48" fillId="15" borderId="24" xfId="0" applyFont="1" applyFill="1" applyBorder="1" applyAlignment="1">
      <alignment horizontal="left" vertical="center"/>
    </xf>
    <xf numFmtId="0" fontId="48" fillId="15" borderId="41" xfId="0" applyFont="1" applyFill="1" applyBorder="1" applyAlignment="1">
      <alignment horizontal="left" vertical="center"/>
    </xf>
    <xf numFmtId="0" fontId="48" fillId="15" borderId="43" xfId="0" applyFont="1" applyFill="1" applyBorder="1" applyAlignment="1">
      <alignment horizontal="left" vertical="center"/>
    </xf>
    <xf numFmtId="0" fontId="48" fillId="15" borderId="23" xfId="0" applyFont="1" applyFill="1" applyBorder="1" applyAlignment="1">
      <alignment horizontal="left" vertical="center"/>
    </xf>
    <xf numFmtId="0" fontId="48" fillId="15" borderId="44" xfId="0" applyFont="1" applyFill="1" applyBorder="1" applyAlignment="1">
      <alignment horizontal="left" vertical="center"/>
    </xf>
    <xf numFmtId="0" fontId="48" fillId="2" borderId="40" xfId="0" applyFont="1" applyFill="1" applyBorder="1" applyAlignment="1">
      <alignment horizontal="left" vertical="center"/>
    </xf>
    <xf numFmtId="0" fontId="48" fillId="2" borderId="24" xfId="0" applyFont="1" applyFill="1" applyBorder="1" applyAlignment="1">
      <alignment horizontal="left" vertical="center"/>
    </xf>
    <xf numFmtId="0" fontId="48" fillId="2" borderId="41" xfId="0" applyFont="1" applyFill="1" applyBorder="1" applyAlignment="1">
      <alignment horizontal="left" vertical="center"/>
    </xf>
    <xf numFmtId="0" fontId="48" fillId="2" borderId="43" xfId="0" applyFont="1" applyFill="1" applyBorder="1" applyAlignment="1">
      <alignment horizontal="left" vertical="center"/>
    </xf>
    <xf numFmtId="0" fontId="48" fillId="2" borderId="23" xfId="0" applyFont="1" applyFill="1" applyBorder="1" applyAlignment="1">
      <alignment horizontal="left" vertical="center"/>
    </xf>
    <xf numFmtId="0" fontId="48" fillId="2" borderId="44" xfId="0" applyFont="1" applyFill="1" applyBorder="1" applyAlignment="1">
      <alignment horizontal="left" vertical="center"/>
    </xf>
    <xf numFmtId="0" fontId="48" fillId="15" borderId="40" xfId="0" applyFont="1" applyFill="1" applyBorder="1" applyAlignment="1">
      <alignment horizontal="center" vertical="center"/>
    </xf>
    <xf numFmtId="0" fontId="48" fillId="15" borderId="41" xfId="0" applyFont="1" applyFill="1" applyBorder="1" applyAlignment="1">
      <alignment horizontal="center" vertical="center"/>
    </xf>
    <xf numFmtId="0" fontId="48" fillId="15" borderId="43" xfId="0" applyFont="1" applyFill="1" applyBorder="1" applyAlignment="1">
      <alignment horizontal="center" vertical="center"/>
    </xf>
    <xf numFmtId="0" fontId="48" fillId="15" borderId="44" xfId="0" applyFont="1" applyFill="1" applyBorder="1" applyAlignment="1">
      <alignment horizontal="center" vertical="center"/>
    </xf>
    <xf numFmtId="0" fontId="48" fillId="2" borderId="40" xfId="0" applyFont="1" applyFill="1" applyBorder="1" applyAlignment="1">
      <alignment horizontal="center" vertical="center"/>
    </xf>
    <xf numFmtId="0" fontId="48" fillId="2" borderId="41" xfId="0" applyFont="1" applyFill="1" applyBorder="1" applyAlignment="1">
      <alignment horizontal="center" vertical="center"/>
    </xf>
    <xf numFmtId="0" fontId="48" fillId="2" borderId="43" xfId="0" applyFont="1" applyFill="1" applyBorder="1" applyAlignment="1">
      <alignment horizontal="center" vertical="center"/>
    </xf>
    <xf numFmtId="0" fontId="48" fillId="2" borderId="44" xfId="0" applyFont="1" applyFill="1" applyBorder="1" applyAlignment="1">
      <alignment horizontal="center" vertical="center"/>
    </xf>
    <xf numFmtId="0" fontId="47" fillId="15" borderId="42" xfId="0" applyFont="1" applyFill="1" applyBorder="1" applyAlignment="1">
      <alignment horizontal="center" vertical="center"/>
    </xf>
    <xf numFmtId="0" fontId="47" fillId="15" borderId="45" xfId="0" applyFont="1" applyFill="1" applyBorder="1" applyAlignment="1">
      <alignment horizontal="center" vertical="center"/>
    </xf>
    <xf numFmtId="0" fontId="40" fillId="15" borderId="47" xfId="0" applyFont="1" applyFill="1" applyBorder="1" applyAlignment="1">
      <alignment horizontal="left"/>
    </xf>
    <xf numFmtId="0" fontId="40" fillId="15" borderId="0" xfId="0" applyFont="1" applyFill="1" applyAlignment="1">
      <alignment horizontal="left"/>
    </xf>
    <xf numFmtId="0" fontId="40" fillId="15" borderId="46" xfId="0" applyFont="1" applyFill="1" applyBorder="1" applyAlignment="1">
      <alignment horizontal="left"/>
    </xf>
    <xf numFmtId="0" fontId="49" fillId="2" borderId="40" xfId="1" applyFont="1" applyFill="1" applyBorder="1" applyAlignment="1">
      <alignment horizontal="left"/>
    </xf>
    <xf numFmtId="0" fontId="49" fillId="2" borderId="24" xfId="1" applyFont="1" applyFill="1" applyBorder="1" applyAlignment="1">
      <alignment horizontal="left"/>
    </xf>
    <xf numFmtId="0" fontId="49" fillId="2" borderId="41" xfId="1" applyFont="1" applyFill="1" applyBorder="1" applyAlignment="1">
      <alignment horizontal="left"/>
    </xf>
    <xf numFmtId="0" fontId="43" fillId="5" borderId="40" xfId="0" applyFont="1" applyFill="1" applyBorder="1" applyAlignment="1">
      <alignment horizontal="center" wrapText="1"/>
    </xf>
    <xf numFmtId="0" fontId="43" fillId="5" borderId="41" xfId="0" applyFont="1" applyFill="1" applyBorder="1" applyAlignment="1">
      <alignment horizontal="center" wrapText="1"/>
    </xf>
    <xf numFmtId="0" fontId="43" fillId="5" borderId="43" xfId="0" applyFont="1" applyFill="1" applyBorder="1" applyAlignment="1">
      <alignment horizontal="center" wrapText="1"/>
    </xf>
    <xf numFmtId="0" fontId="43" fillId="5" borderId="44" xfId="0" applyFont="1" applyFill="1" applyBorder="1" applyAlignment="1">
      <alignment horizontal="center" wrapText="1"/>
    </xf>
    <xf numFmtId="0" fontId="40" fillId="15" borderId="40" xfId="0" applyFont="1" applyFill="1" applyBorder="1" applyAlignment="1">
      <alignment horizontal="center"/>
    </xf>
    <xf numFmtId="0" fontId="40" fillId="15" borderId="31" xfId="0" applyFont="1" applyFill="1" applyBorder="1" applyAlignment="1">
      <alignment horizontal="center"/>
    </xf>
    <xf numFmtId="0" fontId="40" fillId="15" borderId="39" xfId="0" applyFont="1" applyFill="1" applyBorder="1" applyAlignment="1">
      <alignment horizontal="center"/>
    </xf>
    <xf numFmtId="0" fontId="43" fillId="5" borderId="46" xfId="0" applyFont="1" applyFill="1" applyBorder="1" applyAlignment="1">
      <alignment horizontal="center" wrapText="1"/>
    </xf>
    <xf numFmtId="0" fontId="0" fillId="2" borderId="40" xfId="1" applyFont="1" applyFill="1" applyBorder="1" applyAlignment="1">
      <alignment horizontal="left"/>
    </xf>
    <xf numFmtId="0" fontId="41" fillId="2" borderId="40" xfId="0" applyFont="1" applyFill="1" applyBorder="1" applyAlignment="1">
      <alignment horizontal="left" vertical="center"/>
    </xf>
    <xf numFmtId="0" fontId="41" fillId="2" borderId="24" xfId="0" applyFont="1" applyFill="1" applyBorder="1" applyAlignment="1">
      <alignment horizontal="left" vertical="center"/>
    </xf>
    <xf numFmtId="0" fontId="41" fillId="2" borderId="41" xfId="0" applyFont="1" applyFill="1" applyBorder="1" applyAlignment="1">
      <alignment horizontal="left" vertical="center"/>
    </xf>
    <xf numFmtId="0" fontId="53" fillId="2" borderId="40" xfId="1" applyFont="1" applyFill="1" applyBorder="1" applyAlignment="1">
      <alignment horizontal="left"/>
    </xf>
    <xf numFmtId="0" fontId="53" fillId="2" borderId="24" xfId="1" applyFont="1" applyFill="1" applyBorder="1" applyAlignment="1">
      <alignment horizontal="left"/>
    </xf>
    <xf numFmtId="0" fontId="53" fillId="2" borderId="41" xfId="1" applyFont="1" applyFill="1" applyBorder="1" applyAlignment="1">
      <alignment horizontal="left"/>
    </xf>
    <xf numFmtId="14" fontId="54" fillId="2" borderId="47" xfId="0" applyNumberFormat="1" applyFont="1" applyFill="1" applyBorder="1" applyAlignment="1">
      <alignment horizontal="left"/>
    </xf>
    <xf numFmtId="0" fontId="54" fillId="2" borderId="0" xfId="0" applyFont="1" applyFill="1" applyAlignment="1">
      <alignment horizontal="left"/>
    </xf>
    <xf numFmtId="0" fontId="54" fillId="2" borderId="46" xfId="0" applyFont="1" applyFill="1" applyBorder="1" applyAlignment="1">
      <alignment horizontal="left"/>
    </xf>
    <xf numFmtId="0" fontId="50" fillId="17" borderId="47" xfId="1" applyFont="1" applyFill="1" applyBorder="1" applyAlignment="1">
      <alignment horizontal="center"/>
    </xf>
    <xf numFmtId="0" fontId="50" fillId="17" borderId="0" xfId="1" applyFont="1" applyFill="1" applyBorder="1" applyAlignment="1">
      <alignment horizontal="center"/>
    </xf>
    <xf numFmtId="0" fontId="50" fillId="17" borderId="46" xfId="1" applyFont="1" applyFill="1" applyBorder="1" applyAlignment="1">
      <alignment horizontal="center"/>
    </xf>
    <xf numFmtId="0" fontId="31" fillId="17" borderId="47" xfId="1" applyFont="1" applyFill="1" applyBorder="1" applyAlignment="1">
      <alignment horizontal="left"/>
    </xf>
    <xf numFmtId="0" fontId="31" fillId="17" borderId="0" xfId="1" applyFont="1" applyFill="1" applyBorder="1" applyAlignment="1">
      <alignment horizontal="left"/>
    </xf>
    <xf numFmtId="0" fontId="31" fillId="17" borderId="46" xfId="1" applyFont="1" applyFill="1" applyBorder="1" applyAlignment="1">
      <alignment horizontal="left"/>
    </xf>
    <xf numFmtId="0" fontId="0" fillId="0" borderId="47" xfId="1" applyFont="1" applyFill="1" applyBorder="1" applyAlignment="1">
      <alignment horizontal="left"/>
    </xf>
    <xf numFmtId="0" fontId="0" fillId="0" borderId="0" xfId="1" applyFont="1" applyFill="1" applyBorder="1" applyAlignment="1">
      <alignment horizontal="left"/>
    </xf>
    <xf numFmtId="0" fontId="0" fillId="0" borderId="46" xfId="1" applyFont="1" applyFill="1" applyBorder="1" applyAlignment="1">
      <alignment horizontal="left"/>
    </xf>
    <xf numFmtId="0" fontId="40" fillId="0" borderId="40" xfId="0" applyFont="1" applyBorder="1" applyAlignment="1">
      <alignment horizontal="center"/>
    </xf>
    <xf numFmtId="0" fontId="40" fillId="0" borderId="41" xfId="0" applyFont="1" applyBorder="1" applyAlignment="1">
      <alignment horizontal="center"/>
    </xf>
    <xf numFmtId="14" fontId="40" fillId="2" borderId="47" xfId="0" applyNumberFormat="1" applyFont="1" applyFill="1" applyBorder="1" applyAlignment="1">
      <alignment horizontal="left"/>
    </xf>
    <xf numFmtId="0" fontId="40" fillId="2" borderId="0" xfId="0" applyFont="1" applyFill="1" applyAlignment="1">
      <alignment horizontal="left"/>
    </xf>
    <xf numFmtId="0" fontId="40" fillId="0" borderId="47" xfId="0" applyFont="1" applyBorder="1" applyAlignment="1">
      <alignment horizontal="center"/>
    </xf>
    <xf numFmtId="0" fontId="40" fillId="0" borderId="46" xfId="0" applyFont="1" applyBorder="1" applyAlignment="1">
      <alignment horizontal="center"/>
    </xf>
    <xf numFmtId="0" fontId="24" fillId="0" borderId="47" xfId="0" applyFont="1" applyBorder="1" applyAlignment="1">
      <alignment horizontal="center"/>
    </xf>
    <xf numFmtId="0" fontId="24" fillId="0" borderId="46" xfId="0" applyFont="1" applyBorder="1" applyAlignment="1">
      <alignment horizontal="center"/>
    </xf>
    <xf numFmtId="0" fontId="8" fillId="15" borderId="47" xfId="1" applyFill="1" applyBorder="1" applyAlignment="1">
      <alignment horizontal="left"/>
    </xf>
    <xf numFmtId="0" fontId="8" fillId="15" borderId="0" xfId="1" applyFill="1" applyAlignment="1">
      <alignment horizontal="left"/>
    </xf>
    <xf numFmtId="0" fontId="8" fillId="15" borderId="0" xfId="1" applyFill="1" applyBorder="1" applyAlignment="1">
      <alignment horizontal="left"/>
    </xf>
    <xf numFmtId="165" fontId="24" fillId="0" borderId="47" xfId="0" applyNumberFormat="1" applyFont="1" applyBorder="1" applyAlignment="1">
      <alignment horizontal="center"/>
    </xf>
    <xf numFmtId="165" fontId="24" fillId="0" borderId="46" xfId="0" applyNumberFormat="1" applyFont="1" applyBorder="1" applyAlignment="1">
      <alignment horizontal="center"/>
    </xf>
    <xf numFmtId="0" fontId="24" fillId="0" borderId="47" xfId="1" applyFont="1" applyFill="1" applyBorder="1" applyAlignment="1">
      <alignment horizontal="left"/>
    </xf>
    <xf numFmtId="0" fontId="24" fillId="0" borderId="0" xfId="1" applyFont="1" applyFill="1" applyBorder="1" applyAlignment="1">
      <alignment horizontal="left"/>
    </xf>
    <xf numFmtId="0" fontId="24" fillId="0" borderId="46" xfId="1" applyFont="1" applyFill="1" applyBorder="1" applyAlignment="1">
      <alignment horizontal="left"/>
    </xf>
    <xf numFmtId="14" fontId="40" fillId="15" borderId="47" xfId="0" applyNumberFormat="1" applyFont="1" applyFill="1" applyBorder="1" applyAlignment="1">
      <alignment horizontal="left"/>
    </xf>
    <xf numFmtId="0" fontId="50" fillId="17" borderId="47" xfId="1" applyFont="1" applyFill="1" applyBorder="1" applyAlignment="1">
      <alignment horizontal="left"/>
    </xf>
    <xf numFmtId="0" fontId="50" fillId="17" borderId="0" xfId="1" applyFont="1" applyFill="1" applyBorder="1" applyAlignment="1">
      <alignment horizontal="left"/>
    </xf>
    <xf numFmtId="0" fontId="50" fillId="17" borderId="46" xfId="1" applyFont="1" applyFill="1" applyBorder="1" applyAlignment="1">
      <alignment horizontal="left"/>
    </xf>
    <xf numFmtId="0" fontId="48" fillId="19" borderId="40" xfId="0" applyFont="1" applyFill="1" applyBorder="1" applyAlignment="1">
      <alignment horizontal="center" vertical="center"/>
    </xf>
    <xf numFmtId="0" fontId="48" fillId="19" borderId="41" xfId="0" applyFont="1" applyFill="1" applyBorder="1" applyAlignment="1">
      <alignment horizontal="center" vertical="center"/>
    </xf>
    <xf numFmtId="0" fontId="48" fillId="19" borderId="43" xfId="0" applyFont="1" applyFill="1" applyBorder="1" applyAlignment="1">
      <alignment horizontal="center" vertical="center"/>
    </xf>
    <xf numFmtId="0" fontId="48" fillId="19" borderId="44" xfId="0" applyFont="1" applyFill="1" applyBorder="1" applyAlignment="1">
      <alignment horizontal="center" vertical="center"/>
    </xf>
    <xf numFmtId="0" fontId="48" fillId="19" borderId="40" xfId="0" applyFont="1" applyFill="1" applyBorder="1" applyAlignment="1">
      <alignment horizontal="left" vertical="center"/>
    </xf>
    <xf numFmtId="0" fontId="48" fillId="19" borderId="24" xfId="0" applyFont="1" applyFill="1" applyBorder="1" applyAlignment="1">
      <alignment horizontal="left" vertical="center"/>
    </xf>
    <xf numFmtId="0" fontId="48" fillId="19" borderId="41" xfId="0" applyFont="1" applyFill="1" applyBorder="1" applyAlignment="1">
      <alignment horizontal="left" vertical="center"/>
    </xf>
    <xf numFmtId="0" fontId="48" fillId="19" borderId="43" xfId="0" applyFont="1" applyFill="1" applyBorder="1" applyAlignment="1">
      <alignment horizontal="left" vertical="center"/>
    </xf>
    <xf numFmtId="0" fontId="48" fillId="19" borderId="23" xfId="0" applyFont="1" applyFill="1" applyBorder="1" applyAlignment="1">
      <alignment horizontal="left" vertical="center"/>
    </xf>
    <xf numFmtId="0" fontId="48" fillId="19" borderId="44" xfId="0" applyFont="1" applyFill="1" applyBorder="1" applyAlignment="1">
      <alignment horizontal="left" vertical="center"/>
    </xf>
    <xf numFmtId="0" fontId="47" fillId="19" borderId="34" xfId="0" applyFont="1" applyFill="1" applyBorder="1" applyAlignment="1">
      <alignment horizontal="center" vertical="center"/>
    </xf>
    <xf numFmtId="0" fontId="40" fillId="19" borderId="40" xfId="0" applyFont="1" applyFill="1" applyBorder="1" applyAlignment="1">
      <alignment horizontal="center"/>
    </xf>
    <xf numFmtId="0" fontId="40" fillId="19" borderId="31" xfId="0" applyFont="1" applyFill="1" applyBorder="1" applyAlignment="1">
      <alignment horizontal="center"/>
    </xf>
    <xf numFmtId="0" fontId="40" fillId="19" borderId="39" xfId="0" applyFont="1" applyFill="1" applyBorder="1" applyAlignment="1">
      <alignment horizontal="center"/>
    </xf>
    <xf numFmtId="0" fontId="0" fillId="19" borderId="40" xfId="1" applyFont="1" applyFill="1" applyBorder="1" applyAlignment="1">
      <alignment horizontal="left"/>
    </xf>
    <xf numFmtId="0" fontId="49" fillId="19" borderId="24" xfId="1" applyFont="1" applyFill="1" applyBorder="1" applyAlignment="1">
      <alignment horizontal="left"/>
    </xf>
    <xf numFmtId="0" fontId="40" fillId="19" borderId="24" xfId="0" applyFont="1" applyFill="1" applyBorder="1" applyAlignment="1">
      <alignment horizontal="left" vertical="center"/>
    </xf>
    <xf numFmtId="0" fontId="40" fillId="19" borderId="41" xfId="0" applyFont="1" applyFill="1" applyBorder="1" applyAlignment="1">
      <alignment horizontal="left" vertical="center"/>
    </xf>
    <xf numFmtId="14" fontId="40" fillId="19" borderId="47" xfId="0" applyNumberFormat="1" applyFont="1" applyFill="1" applyBorder="1" applyAlignment="1">
      <alignment horizontal="left"/>
    </xf>
    <xf numFmtId="0" fontId="40" fillId="19" borderId="0" xfId="0" applyFont="1" applyFill="1" applyAlignment="1">
      <alignment horizontal="left"/>
    </xf>
    <xf numFmtId="0" fontId="40" fillId="19" borderId="0" xfId="0" applyFont="1" applyFill="1" applyAlignment="1">
      <alignment horizontal="left" vertical="center"/>
    </xf>
    <xf numFmtId="0" fontId="40" fillId="19" borderId="46" xfId="0" applyFont="1" applyFill="1" applyBorder="1" applyAlignment="1">
      <alignment horizontal="left" vertical="center"/>
    </xf>
    <xf numFmtId="0" fontId="40" fillId="19" borderId="43" xfId="0" applyFont="1" applyFill="1" applyBorder="1" applyAlignment="1">
      <alignment horizontal="center"/>
    </xf>
    <xf numFmtId="0" fontId="40" fillId="19" borderId="23" xfId="0" applyFont="1" applyFill="1" applyBorder="1" applyAlignment="1">
      <alignment horizontal="center"/>
    </xf>
    <xf numFmtId="2" fontId="47" fillId="19" borderId="34" xfId="0" applyNumberFormat="1" applyFont="1" applyFill="1" applyBorder="1" applyAlignment="1">
      <alignment horizontal="center" vertical="center"/>
    </xf>
    <xf numFmtId="0" fontId="54" fillId="19" borderId="43" xfId="0" applyFont="1" applyFill="1" applyBorder="1" applyAlignment="1">
      <alignment horizontal="left"/>
    </xf>
    <xf numFmtId="0" fontId="54" fillId="19" borderId="23" xfId="0" applyFont="1" applyFill="1" applyBorder="1" applyAlignment="1">
      <alignment horizontal="left"/>
    </xf>
    <xf numFmtId="0" fontId="54" fillId="19" borderId="47" xfId="0" applyFont="1" applyFill="1" applyBorder="1" applyAlignment="1">
      <alignment horizontal="left"/>
    </xf>
    <xf numFmtId="0" fontId="54" fillId="19" borderId="0" xfId="0" applyFont="1" applyFill="1" applyAlignment="1">
      <alignment horizontal="left"/>
    </xf>
    <xf numFmtId="0" fontId="54" fillId="15" borderId="40" xfId="0" applyFont="1" applyFill="1" applyBorder="1" applyAlignment="1">
      <alignment horizontal="left"/>
    </xf>
    <xf numFmtId="0" fontId="54" fillId="15" borderId="24" xfId="0" applyFont="1" applyFill="1" applyBorder="1" applyAlignment="1">
      <alignment horizontal="left"/>
    </xf>
    <xf numFmtId="0" fontId="24" fillId="0" borderId="0" xfId="0" applyFont="1" applyAlignment="1">
      <alignment horizontal="center"/>
    </xf>
    <xf numFmtId="165" fontId="24" fillId="0" borderId="0" xfId="0" applyNumberFormat="1" applyFont="1" applyAlignment="1">
      <alignment horizontal="center"/>
    </xf>
    <xf numFmtId="0" fontId="41" fillId="0" borderId="40" xfId="0" applyFont="1" applyBorder="1" applyAlignment="1">
      <alignment horizontal="center"/>
    </xf>
    <xf numFmtId="0" fontId="41" fillId="0" borderId="41" xfId="0" applyFont="1" applyBorder="1" applyAlignment="1">
      <alignment horizontal="center"/>
    </xf>
    <xf numFmtId="0" fontId="0" fillId="0" borderId="43" xfId="0" applyBorder="1" applyAlignment="1">
      <alignment horizontal="center"/>
    </xf>
    <xf numFmtId="0" fontId="0" fillId="0" borderId="44" xfId="0" applyBorder="1" applyAlignment="1">
      <alignment horizontal="center"/>
    </xf>
    <xf numFmtId="14" fontId="24" fillId="0" borderId="47" xfId="0" applyNumberFormat="1" applyFont="1" applyBorder="1" applyAlignment="1">
      <alignment horizontal="center"/>
    </xf>
    <xf numFmtId="14" fontId="49" fillId="15" borderId="47" xfId="1" applyNumberFormat="1" applyFont="1" applyFill="1" applyBorder="1" applyAlignment="1">
      <alignment horizontal="left"/>
    </xf>
    <xf numFmtId="0" fontId="49" fillId="15" borderId="0" xfId="1" applyFont="1" applyFill="1" applyBorder="1" applyAlignment="1">
      <alignment horizontal="left"/>
    </xf>
    <xf numFmtId="0" fontId="40" fillId="15" borderId="40" xfId="0" applyFont="1" applyFill="1" applyBorder="1" applyAlignment="1">
      <alignment horizontal="left"/>
    </xf>
    <xf numFmtId="0" fontId="40" fillId="15" borderId="24" xfId="0" applyFont="1" applyFill="1" applyBorder="1" applyAlignment="1">
      <alignment horizontal="left"/>
    </xf>
    <xf numFmtId="14" fontId="40" fillId="15" borderId="47" xfId="0" applyNumberFormat="1" applyFont="1" applyFill="1" applyBorder="1" applyAlignment="1">
      <alignment horizontal="left" vertical="center"/>
    </xf>
    <xf numFmtId="0" fontId="0" fillId="0" borderId="46" xfId="0" applyBorder="1" applyAlignment="1">
      <alignment horizontal="left" vertical="center" wrapText="1"/>
    </xf>
    <xf numFmtId="0" fontId="39" fillId="0" borderId="42" xfId="0" applyFont="1" applyBorder="1" applyAlignment="1">
      <alignment horizontal="center" vertical="center"/>
    </xf>
    <xf numFmtId="0" fontId="39" fillId="0" borderId="45" xfId="0" applyFont="1" applyBorder="1" applyAlignment="1">
      <alignment horizontal="center" vertical="center"/>
    </xf>
    <xf numFmtId="0" fontId="39" fillId="2" borderId="42" xfId="0" applyFont="1" applyFill="1" applyBorder="1" applyAlignment="1">
      <alignment horizontal="center" vertical="center"/>
    </xf>
    <xf numFmtId="0" fontId="39" fillId="2" borderId="48" xfId="0" applyFont="1" applyFill="1" applyBorder="1" applyAlignment="1">
      <alignment horizontal="center" vertical="center"/>
    </xf>
    <xf numFmtId="0" fontId="39" fillId="2" borderId="45" xfId="0" applyFont="1" applyFill="1" applyBorder="1" applyAlignment="1">
      <alignment horizontal="center" vertical="center"/>
    </xf>
    <xf numFmtId="0" fontId="39" fillId="0" borderId="48" xfId="0" applyFont="1" applyBorder="1" applyAlignment="1">
      <alignment horizontal="center" vertical="center"/>
    </xf>
    <xf numFmtId="2" fontId="0" fillId="0" borderId="46" xfId="0" applyNumberFormat="1" applyBorder="1" applyAlignment="1">
      <alignment horizontal="left" vertical="center" wrapText="1"/>
    </xf>
    <xf numFmtId="0" fontId="0" fillId="0" borderId="41" xfId="0" applyBorder="1" applyAlignment="1">
      <alignment horizontal="left" vertical="top" wrapText="1"/>
    </xf>
    <xf numFmtId="0" fontId="0" fillId="0" borderId="46" xfId="0" applyBorder="1" applyAlignment="1">
      <alignment horizontal="left" vertical="top"/>
    </xf>
    <xf numFmtId="0" fontId="0" fillId="0" borderId="44" xfId="0" applyBorder="1" applyAlignment="1">
      <alignment horizontal="left" vertical="top"/>
    </xf>
    <xf numFmtId="0" fontId="36" fillId="9" borderId="0" xfId="0" applyFont="1" applyFill="1" applyAlignment="1">
      <alignment horizontal="left" vertical="center"/>
    </xf>
    <xf numFmtId="0" fontId="24" fillId="14" borderId="0" xfId="0" applyFont="1" applyFill="1" applyAlignment="1">
      <alignment horizontal="left" vertical="top" wrapText="1"/>
    </xf>
    <xf numFmtId="0" fontId="0" fillId="0" borderId="44" xfId="0" applyBorder="1" applyAlignment="1">
      <alignment horizontal="left" vertical="top" wrapText="1"/>
    </xf>
    <xf numFmtId="0" fontId="24" fillId="9" borderId="42" xfId="0" applyFont="1" applyFill="1" applyBorder="1" applyAlignment="1">
      <alignment horizontal="center" vertical="top" wrapText="1"/>
    </xf>
    <xf numFmtId="0" fontId="24" fillId="9" borderId="48" xfId="0" applyFont="1" applyFill="1" applyBorder="1" applyAlignment="1">
      <alignment horizontal="center" vertical="top"/>
    </xf>
    <xf numFmtId="0" fontId="24" fillId="9" borderId="45" xfId="0" applyFont="1" applyFill="1" applyBorder="1" applyAlignment="1">
      <alignment horizontal="center" vertical="top"/>
    </xf>
    <xf numFmtId="0" fontId="33" fillId="14" borderId="24" xfId="0" applyFont="1" applyFill="1" applyBorder="1" applyAlignment="1">
      <alignment horizontal="center" vertical="center"/>
    </xf>
    <xf numFmtId="0" fontId="33" fillId="14" borderId="0" xfId="0" applyFont="1" applyFill="1" applyAlignment="1">
      <alignment horizontal="center" vertical="center"/>
    </xf>
    <xf numFmtId="0" fontId="33" fillId="14" borderId="23" xfId="0" applyFont="1" applyFill="1" applyBorder="1" applyAlignment="1">
      <alignment horizontal="center" vertical="center"/>
    </xf>
    <xf numFmtId="0" fontId="27" fillId="2" borderId="40" xfId="0" applyFont="1" applyFill="1" applyBorder="1" applyAlignment="1">
      <alignment horizontal="left" vertical="center"/>
    </xf>
    <xf numFmtId="0" fontId="27" fillId="2" borderId="24" xfId="0" applyFont="1" applyFill="1" applyBorder="1" applyAlignment="1">
      <alignment horizontal="left" vertical="center"/>
    </xf>
    <xf numFmtId="0" fontId="0" fillId="2" borderId="24" xfId="0" applyFill="1" applyBorder="1" applyAlignment="1">
      <alignment vertical="center"/>
    </xf>
    <xf numFmtId="0" fontId="0" fillId="2" borderId="41" xfId="0" applyFill="1" applyBorder="1" applyAlignment="1">
      <alignment vertical="center"/>
    </xf>
    <xf numFmtId="0" fontId="27" fillId="2" borderId="43" xfId="0" applyFont="1" applyFill="1" applyBorder="1" applyAlignment="1">
      <alignment horizontal="left" vertical="center"/>
    </xf>
    <xf numFmtId="0" fontId="27" fillId="2" borderId="23" xfId="0" applyFont="1" applyFill="1" applyBorder="1" applyAlignment="1">
      <alignment horizontal="left" vertical="center"/>
    </xf>
    <xf numFmtId="0" fontId="0" fillId="2" borderId="23" xfId="0" applyFill="1" applyBorder="1" applyAlignment="1">
      <alignment vertical="center"/>
    </xf>
    <xf numFmtId="0" fontId="0" fillId="2" borderId="44" xfId="0" applyFill="1" applyBorder="1" applyAlignment="1">
      <alignment vertical="center"/>
    </xf>
    <xf numFmtId="0" fontId="6" fillId="5" borderId="40" xfId="0" applyFont="1" applyFill="1" applyBorder="1" applyAlignment="1">
      <alignment horizontal="left" vertical="center"/>
    </xf>
    <xf numFmtId="0" fontId="6" fillId="5" borderId="43" xfId="0" applyFont="1" applyFill="1" applyBorder="1" applyAlignment="1">
      <alignment horizontal="left" vertical="center"/>
    </xf>
    <xf numFmtId="0" fontId="0" fillId="0" borderId="40" xfId="0" applyBorder="1" applyAlignment="1">
      <alignment horizontal="left" vertical="top" wrapText="1"/>
    </xf>
    <xf numFmtId="0" fontId="0" fillId="0" borderId="24" xfId="0" applyBorder="1" applyAlignment="1">
      <alignment horizontal="left" vertical="top"/>
    </xf>
    <xf numFmtId="0" fontId="0" fillId="0" borderId="41" xfId="0" applyBorder="1" applyAlignment="1">
      <alignment horizontal="left" vertical="top"/>
    </xf>
    <xf numFmtId="0" fontId="0" fillId="0" borderId="47" xfId="0" applyBorder="1" applyAlignment="1">
      <alignment horizontal="left" vertical="top"/>
    </xf>
    <xf numFmtId="0" fontId="0" fillId="0" borderId="0" xfId="0" applyAlignment="1">
      <alignment horizontal="left" vertical="top"/>
    </xf>
    <xf numFmtId="0" fontId="0" fillId="0" borderId="43" xfId="0" applyBorder="1" applyAlignment="1">
      <alignment horizontal="left" vertical="top"/>
    </xf>
    <xf numFmtId="0" fontId="0" fillId="0" borderId="23" xfId="0" applyBorder="1" applyAlignment="1">
      <alignment horizontal="left" vertical="top"/>
    </xf>
    <xf numFmtId="0" fontId="0" fillId="0" borderId="42" xfId="0" applyBorder="1" applyAlignment="1">
      <alignment horizontal="left"/>
    </xf>
    <xf numFmtId="0" fontId="0" fillId="0" borderId="48" xfId="0" applyBorder="1" applyAlignment="1">
      <alignment horizontal="left"/>
    </xf>
    <xf numFmtId="0" fontId="0" fillId="0" borderId="48" xfId="0" applyBorder="1"/>
    <xf numFmtId="0" fontId="0" fillId="0" borderId="45" xfId="0" applyBorder="1"/>
  </cellXfs>
  <cellStyles count="2">
    <cellStyle name="Link" xfId="1" builtinId="8"/>
    <cellStyle name="Standard" xfId="0" builtinId="0"/>
  </cellStyles>
  <dxfs count="20">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s>
  <tableStyles count="0" defaultTableStyle="TableStyleMedium9" defaultPivotStyle="PivotStyleLight16"/>
  <colors>
    <mruColors>
      <color rgb="FFFFFF99"/>
      <color rgb="FF99CC00"/>
      <color rgb="FF0099FF"/>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hyperlink" Target="https://bldsg.sharepoint.com/:b:/r/teams/SSP1b/Freigegebene%20Dokumente/BKU/Allgemeine%20Unterlagen/Unterrichtsplanung/3.Semester/06_Unterrichtsplanung_SE03_18.09.2024.pdf?csf=1&amp;web=1&amp;e=9heypI" TargetMode="External"/><Relationship Id="rId13" Type="http://schemas.openxmlformats.org/officeDocument/2006/relationships/hyperlink" Target="https://bldsg.sharepoint.com/:b:/r/teams/SSP1b/Freigegebene%20Dokumente/BKU/Allgemeine%20Unterlagen/Unterrichtsplanung/3.Semester/11_Unterrichtsplanung_SE03_13.11.2024.pdf?csf=1&amp;web=1&amp;e=qs6obv" TargetMode="External"/><Relationship Id="rId18" Type="http://schemas.openxmlformats.org/officeDocument/2006/relationships/hyperlink" Target="https://bldsg.sharepoint.com/:b:/r/teams/SSP1b/Freigegebene%20Dokumente/BKU/Allgemeine%20Unterlagen/Unterrichtsplanung/3.Semester/16_Unterrichtsplanung_SE03_18.12.2024.pdf?csf=1&amp;web=1&amp;e=NBWhdA" TargetMode="External"/><Relationship Id="rId3" Type="http://schemas.openxmlformats.org/officeDocument/2006/relationships/image" Target="../media/image2.png"/><Relationship Id="rId21" Type="http://schemas.openxmlformats.org/officeDocument/2006/relationships/image" Target="../media/image3.png"/><Relationship Id="rId7" Type="http://schemas.openxmlformats.org/officeDocument/2006/relationships/hyperlink" Target="https://bldsg.sharepoint.com/:b:/r/teams/SSP1b/Freigegebene%20Dokumente/BKU/Allgemeine%20Unterlagen/Unterrichtsplanung/3.Semester/05_Unterrichtsplanung_SE03_11.09.2024.pdf?csf=1&amp;web=1&amp;e=n0YmfI" TargetMode="External"/><Relationship Id="rId12" Type="http://schemas.openxmlformats.org/officeDocument/2006/relationships/hyperlink" Target="https://bldsg.sharepoint.com/:b:/r/teams/SSP1b/Freigegebene%20Dokumente/BKU/Allgemeine%20Unterlagen/Unterrichtsplanung/3.Semester/09_Unterrichtsplanung_SE03_30.10.2024.pdf?csf=1&amp;web=1&amp;e=W2xgHj" TargetMode="External"/><Relationship Id="rId17" Type="http://schemas.openxmlformats.org/officeDocument/2006/relationships/hyperlink" Target="https://bldsg.sharepoint.com/:b:/r/teams/SSP1b/Freigegebene%20Dokumente/BKU/Allgemeine%20Unterlagen/Unterrichtsplanung/3.Semester/15_Unterrichtsplanung_SE03_11.12.2024.pdf?csf=1&amp;web=1&amp;e=EqF2HY" TargetMode="External"/><Relationship Id="rId2" Type="http://schemas.openxmlformats.org/officeDocument/2006/relationships/hyperlink" Target="https://bldsg.sharepoint.com/:b:/r/teams/SSP1b/Freigegebene%20Dokumente/BKU/Allgemeine%20Unterlagen/Unterrichtsplanung/3.Semester/01_Unterrichtsplanung_SE03_14.08.2024.pdf?csf=1&amp;web=1&amp;e=ZhHCkY" TargetMode="External"/><Relationship Id="rId16" Type="http://schemas.openxmlformats.org/officeDocument/2006/relationships/hyperlink" Target="https://bldsg.sharepoint.com/:b:/r/teams/SSP1b/Freigegebene%20Dokumente/BKU/Allgemeine%20Unterlagen/Unterrichtsplanung/3.Semester/14_Unterrichtsplanung_SE03_04.12.2024.pdf?csf=1&amp;web=1&amp;e=hp7aQp" TargetMode="External"/><Relationship Id="rId20" Type="http://schemas.openxmlformats.org/officeDocument/2006/relationships/hyperlink" Target="https://bldsg.sharepoint.com/:b:/r/teams/SSP1b/Freigegebene%20Dokumente/BKU/Allgemeine%20Unterlagen/Unterrichtsplanung/3.Semester/18_Unterrichtsplanung_SE03_15.01.2025.pdf?csf=1&amp;web=1&amp;e=slSGqR" TargetMode="External"/><Relationship Id="rId1" Type="http://schemas.openxmlformats.org/officeDocument/2006/relationships/image" Target="../media/image1.png"/><Relationship Id="rId6" Type="http://schemas.openxmlformats.org/officeDocument/2006/relationships/hyperlink" Target="https://bldsg.sharepoint.com/:b:/r/teams/SSP1b/Freigegebene%20Dokumente/BKU/Allgemeine%20Unterlagen/Unterrichtsplanung/3.Semester/04_Unterrichtsplanung_SE03_04.09.2024.pdf?csf=1&amp;web=1&amp;e=ES6IiT" TargetMode="External"/><Relationship Id="rId11" Type="http://schemas.openxmlformats.org/officeDocument/2006/relationships/hyperlink" Target="https://bldsg.sharepoint.com/:b:/r/teams/SSP1b/Freigegebene%20Dokumente/BKU/Allgemeine%20Unterlagen/Unterrichtsplanung/3.Semester/10_Unterrichtsplanung_SE03_06.11.2024.pdf?csf=1&amp;web=1&amp;e=d2AXBX" TargetMode="External"/><Relationship Id="rId5" Type="http://schemas.openxmlformats.org/officeDocument/2006/relationships/hyperlink" Target="https://bldsg.sharepoint.com/:b:/r/teams/SSP1b/Freigegebene%20Dokumente/BKU/Allgemeine%20Unterlagen/Unterrichtsplanung/3.Semester/03_Unterrichtsplanung_SE03_28.08.2024.pdf?csf=1&amp;web=1&amp;e=t9UbCi" TargetMode="External"/><Relationship Id="rId15" Type="http://schemas.openxmlformats.org/officeDocument/2006/relationships/hyperlink" Target="https://bldsg.sharepoint.com/:b:/r/teams/SSP1b/Freigegebene%20Dokumente/BKU/Allgemeine%20Unterlagen/Unterrichtsplanung/3.Semester/13_Unterrichtsplanung_SE03_27.11.2024.pdf?csf=1&amp;web=1&amp;e=3NREr1" TargetMode="External"/><Relationship Id="rId10" Type="http://schemas.openxmlformats.org/officeDocument/2006/relationships/hyperlink" Target="https://bldsg.sharepoint.com/:b:/r/teams/SSP1b/Freigegebene%20Dokumente/BKU/Allgemeine%20Unterlagen/Unterrichtsplanung/3.Semester/08_Unterrichtsplanung_SE03_23.10.2024.pdf?csf=1&amp;web=1&amp;e=xVMBMR" TargetMode="External"/><Relationship Id="rId19" Type="http://schemas.openxmlformats.org/officeDocument/2006/relationships/hyperlink" Target="https://bldsg.sharepoint.com/:b:/r/teams/SSP1b/Freigegebene%20Dokumente/BKU/Allgemeine%20Unterlagen/Unterrichtsplanung/3.Semester/17_Unterrichtsplanung_SE03_08.01.2025.pdf?csf=1&amp;web=1&amp;e=LMn0xX" TargetMode="External"/><Relationship Id="rId4" Type="http://schemas.openxmlformats.org/officeDocument/2006/relationships/hyperlink" Target="https://bldsg.sharepoint.com/:b:/r/teams/SSP1b/Freigegebene%20Dokumente/BKU/Allgemeine%20Unterlagen/Unterrichtsplanung/3.Semester/02_Unterrichtsplanung_SE03_21.08.2024.pdf?csf=1&amp;web=1&amp;e=eXeuCG" TargetMode="External"/><Relationship Id="rId9" Type="http://schemas.openxmlformats.org/officeDocument/2006/relationships/hyperlink" Target="https://bldsg.sharepoint.com/:b:/r/teams/SSP1b/Freigegebene%20Dokumente/BKU/Allgemeine%20Unterlagen/Unterrichtsplanung/3.Semester/07_Unterrichtsplanung_SE03_25.09.2024.pdf?csf=1&amp;web=1&amp;e=pBPguL" TargetMode="External"/><Relationship Id="rId14" Type="http://schemas.openxmlformats.org/officeDocument/2006/relationships/hyperlink" Target="https://bldsg.sharepoint.com/:b:/r/teams/SSP1b/Freigegebene%20Dokumente/BKU/Allgemeine%20Unterlagen/Unterrichtsplanung/3.Semester/12_Unterrichtsplanung_SE03_20.11.2024.pdf?csf=1&amp;web=1&amp;e=zsIVXn" TargetMode="External"/><Relationship Id="rId22" Type="http://schemas.openxmlformats.org/officeDocument/2006/relationships/image" Target="../media/image4.sv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7.png"/><Relationship Id="rId7" Type="http://schemas.openxmlformats.org/officeDocument/2006/relationships/hyperlink" Target="https://bldsg.sharepoint.com/:b:/r/teams/SSP1b/Freigegebene%20Dokumente/BKU/Berufskundeunterlagen/3.Semester/05_Diverses/1.5_Auftrag.pdf?csf=1&amp;web=1&amp;e=wPZ1ki" TargetMode="External"/><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0.svg"/><Relationship Id="rId5" Type="http://schemas.openxmlformats.org/officeDocument/2006/relationships/image" Target="../media/image9.png"/><Relationship Id="rId10" Type="http://schemas.openxmlformats.org/officeDocument/2006/relationships/hyperlink" Target="https://bldsg.sharepoint.com/:b:/r/teams/SSP1b/Freigegebene%20Dokumente/BKU/Berufskundeunterlagen/3.Semester/05_Diverses/2.2_Auftrag.pdf?csf=1&amp;web=1&amp;e=kzf2PL" TargetMode="External"/><Relationship Id="rId4" Type="http://schemas.openxmlformats.org/officeDocument/2006/relationships/image" Target="../media/image8.svg"/><Relationship Id="rId9" Type="http://schemas.openxmlformats.org/officeDocument/2006/relationships/hyperlink" Target="https://bldsg.sharepoint.com/:b:/r/teams/SSP1b/Freigegebene%20Dokumente/BKU/Berufskundeunterlagen/3.Semester/05_Diverses/2.4_Auftrag.pdf?csf=1&amp;web=1&amp;e=ehUgCL" TargetMode="External"/></Relationships>
</file>

<file path=xl/drawings/_rels/drawing4.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7.png"/><Relationship Id="rId7" Type="http://schemas.openxmlformats.org/officeDocument/2006/relationships/hyperlink" Target="https://bldsg.sharepoint.com/:b:/r/teams/SSP1b/Freigegebene%20Dokumente/BKU/Berufskundeunterlagen/3.Semester/05_Diverses/2.4_Auftrag.pdf?csf=1&amp;web=1&amp;e=ehUgCL" TargetMode="External"/><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0.svg"/><Relationship Id="rId5" Type="http://schemas.openxmlformats.org/officeDocument/2006/relationships/image" Target="../media/image9.png"/><Relationship Id="rId4" Type="http://schemas.openxmlformats.org/officeDocument/2006/relationships/image" Target="../media/image8.svg"/><Relationship Id="rId9" Type="http://schemas.openxmlformats.org/officeDocument/2006/relationships/hyperlink" Target="https://bldsg.sharepoint.com/:b:/r/teams/SSP1b/Freigegebene%20Dokumente/BKU/Berufskundeunterlagen/3.Semester/05_Diverses/2.2_Auftrag.pdf?csf=1&amp;web=1&amp;e=kzf2PL" TargetMode="External"/></Relationships>
</file>

<file path=xl/drawings/_rels/drawing5.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7.png"/><Relationship Id="rId7" Type="http://schemas.openxmlformats.org/officeDocument/2006/relationships/hyperlink" Target="https://bldsg.sharepoint.com/:b:/r/teams/SSP1b/Freigegebene%20Dokumente/BKU/Berufskundeunterlagen/3.Semester/05_Diverses/2.4_Auftrag.pdf?csf=1&amp;web=1&amp;e=ehUgCL" TargetMode="External"/><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0.svg"/><Relationship Id="rId5" Type="http://schemas.openxmlformats.org/officeDocument/2006/relationships/image" Target="../media/image9.png"/><Relationship Id="rId4" Type="http://schemas.openxmlformats.org/officeDocument/2006/relationships/image" Target="../media/image8.svg"/><Relationship Id="rId9" Type="http://schemas.openxmlformats.org/officeDocument/2006/relationships/hyperlink" Target="https://bldsg.sharepoint.com/:b:/r/teams/SSP1b/Freigegebene%20Dokumente/BKU/Berufskundeunterlagen/3.Semester/05_Diverses/2.2_Auftrag.pdf?csf=1&amp;web=1&amp;e=kzf2PL" TargetMode="External"/></Relationships>
</file>

<file path=xl/drawings/_rels/drawing6.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7.png"/><Relationship Id="rId7" Type="http://schemas.openxmlformats.org/officeDocument/2006/relationships/hyperlink" Target="https://bldsg.sharepoint.com/:b:/r/teams/SSP1b/Freigegebene%20Dokumente/BKU/Berufskundeunterlagen/3.Semester/05_Diverses/2.4_Auftrag.pdf?csf=1&amp;web=1&amp;e=ehUgCL" TargetMode="External"/><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0.svg"/><Relationship Id="rId5" Type="http://schemas.openxmlformats.org/officeDocument/2006/relationships/image" Target="../media/image9.png"/><Relationship Id="rId4" Type="http://schemas.openxmlformats.org/officeDocument/2006/relationships/image" Target="../media/image8.svg"/><Relationship Id="rId9" Type="http://schemas.openxmlformats.org/officeDocument/2006/relationships/hyperlink" Target="https://bldsg.sharepoint.com/:b:/r/teams/SSP1b/Freigegebene%20Dokumente/BKU/Berufskundeunterlagen/3.Semester/05_Diverses/2.2_Auftrag.pdf?csf=1&amp;web=1&amp;e=kzf2PL" TargetMode="External"/></Relationships>
</file>

<file path=xl/drawings/_rels/drawing7.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7.png"/><Relationship Id="rId7" Type="http://schemas.openxmlformats.org/officeDocument/2006/relationships/hyperlink" Target="https://bldsg.sharepoint.com/:b:/r/teams/SSP1b/Freigegebene%20Dokumente/BKU/Berufskundeunterlagen/3.Semester/05_Diverses/2.4_Auftrag.pdf?csf=1&amp;web=1&amp;e=ehUgCL" TargetMode="External"/><Relationship Id="rId12" Type="http://schemas.openxmlformats.org/officeDocument/2006/relationships/image" Target="../media/image13.svg"/><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0.svg"/><Relationship Id="rId11" Type="http://schemas.openxmlformats.org/officeDocument/2006/relationships/image" Target="../media/image12.png"/><Relationship Id="rId5" Type="http://schemas.openxmlformats.org/officeDocument/2006/relationships/image" Target="../media/image9.png"/><Relationship Id="rId10" Type="http://schemas.openxmlformats.org/officeDocument/2006/relationships/hyperlink" Target="https://bldsg.sharepoint.com/:b:/r/teams/SSP1b/Freigegebene%20Dokumente/BKU/Berufskundeunterlagen/3.Semester/03_Lernziele/Lernziele_Pr%C3%BCfungen_Trinkwasserversorgung.pdf?csf=1&amp;web=1&amp;e=g67I4m" TargetMode="External"/><Relationship Id="rId4" Type="http://schemas.openxmlformats.org/officeDocument/2006/relationships/image" Target="../media/image8.svg"/><Relationship Id="rId9" Type="http://schemas.openxmlformats.org/officeDocument/2006/relationships/hyperlink" Target="https://bldsg.sharepoint.com/:b:/r/teams/SSP1b/Freigegebene%20Dokumente/BKU/Berufskundeunterlagen/3.Semester/05_Diverses/2.2_Auftrag.pdf?csf=1&amp;web=1&amp;e=kzf2PL" TargetMode="External"/></Relationships>
</file>

<file path=xl/drawings/_rels/drawing8.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7.png"/><Relationship Id="rId7" Type="http://schemas.openxmlformats.org/officeDocument/2006/relationships/hyperlink" Target="https://bldsg.sharepoint.com/:b:/r/teams/SSP1b/Freigegebene%20Dokumente/BKU/Berufskundeunterlagen/3.Semester/01_Lernauftr%C3%A4ge%20%26%20%C3%9Cbungen/3.01_Auftrag.pdf?csf=1&amp;web=1&amp;e=nfKYKX" TargetMode="External"/><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0.svg"/><Relationship Id="rId5" Type="http://schemas.openxmlformats.org/officeDocument/2006/relationships/image" Target="../media/image9.png"/><Relationship Id="rId4" Type="http://schemas.openxmlformats.org/officeDocument/2006/relationships/image" Target="../media/image8.svg"/><Relationship Id="rId9" Type="http://schemas.openxmlformats.org/officeDocument/2006/relationships/hyperlink" Target="https://bldsg.sharepoint.com/:b:/r/teams/SSP1b/Freigegebene%20Dokumente/BKU/Berufskundeunterlagen/3.Semester/06_Diverses/2.2_Auftrag.pdf?csf=1&amp;web=1&amp;e=mG2J2a" TargetMode="External"/></Relationships>
</file>

<file path=xl/drawings/_rels/drawing9.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hyperlink" Target="https://api.gbssg.ch/fileadmin/user_upload/dokumente/pdf/GBS_allgemein/Ferienplan_bis_SJ_2025_26.pdf" TargetMode="External"/><Relationship Id="rId3" Type="http://schemas.openxmlformats.org/officeDocument/2006/relationships/image" Target="../media/image7.png"/><Relationship Id="rId7" Type="http://schemas.openxmlformats.org/officeDocument/2006/relationships/hyperlink" Target="https://bldsg.sharepoint.com/:b:/r/teams/SSP1b/Freigegebene%20Dokumente/BKU/Berufskundeunterlagen/3.Semester/01_Lernauftr%C3%A4ge%20%26%20%C3%9Cbungen/3.01_Auftrag.pdf?csf=1&amp;web=1&amp;e=nfKYKX" TargetMode="External"/><Relationship Id="rId12" Type="http://schemas.openxmlformats.org/officeDocument/2006/relationships/image" Target="../media/image15.svg"/><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0.svg"/><Relationship Id="rId11" Type="http://schemas.openxmlformats.org/officeDocument/2006/relationships/image" Target="../media/image14.png"/><Relationship Id="rId5" Type="http://schemas.openxmlformats.org/officeDocument/2006/relationships/image" Target="../media/image9.png"/><Relationship Id="rId10" Type="http://schemas.openxmlformats.org/officeDocument/2006/relationships/hyperlink" Target="https://bldsg-my.sharepoint.com/personal/marcel_item_gbssg_ch/_layouts/15/stream.aspx?id=%2Fpersonal%2Fmarcel%5Fitem%5Fgbssg%5Fch%2FDocuments%2F1%5FSanit%C3%A4rinstallateure%2F2%5FUnterrichtsmaterial%5FEFZ%2F2%5FDateien%5FMedien%2F1%2E6%5FSTOFFE%5FWAS%2Emp4&amp;ga=1&amp;referrer=StreamWebApp%2EWeb&amp;referrerScenario=AddressBarCopied%2Eview%2Ea1ea2462%2Db09b%2D4790%2D9e13%2D6324e4a99c42" TargetMode="External"/><Relationship Id="rId4" Type="http://schemas.openxmlformats.org/officeDocument/2006/relationships/image" Target="../media/image8.svg"/><Relationship Id="rId9" Type="http://schemas.openxmlformats.org/officeDocument/2006/relationships/hyperlink" Target="https://bldsg.sharepoint.com/:b:/r/teams/SSP1b/Freigegebene%20Dokumente/BKU/Berufskundeunterlagen/3.Semester/06_Diverses/2.2_Auftrag.pdf?csf=1&amp;web=1&amp;e=mG2J2a" TargetMode="External"/><Relationship Id="rId14" Type="http://schemas.openxmlformats.org/officeDocument/2006/relationships/image" Target="../media/image16.png"/></Relationships>
</file>

<file path=xl/drawings/_rels/drawing10.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hyperlink" Target="https://bldsg.sharepoint.com/:b:/r/teams/SSP1b/Freigegebene%20Dokumente/BKU/Berufskundeunterlagen/3.Semester/05_Lernziele/2.2_A_Lernziele_Pr%C3%BCfung.pdf?csf=1&amp;web=1&amp;e=g7tSPa" TargetMode="External"/><Relationship Id="rId3" Type="http://schemas.openxmlformats.org/officeDocument/2006/relationships/image" Target="../media/image7.png"/><Relationship Id="rId7" Type="http://schemas.openxmlformats.org/officeDocument/2006/relationships/hyperlink" Target="https://bldsg.sharepoint.com/:b:/r/teams/SSP1b/Freigegebene%20Dokumente/BKU/Berufskundeunterlagen/3.Semester/01_Lernauftr%C3%A4ge%20%26%20%C3%9Cbungen/3.01_Auftrag.pdf?csf=1&amp;web=1&amp;e=nfKYKX" TargetMode="External"/><Relationship Id="rId12" Type="http://schemas.openxmlformats.org/officeDocument/2006/relationships/image" Target="../media/image15.svg"/><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0.svg"/><Relationship Id="rId11" Type="http://schemas.openxmlformats.org/officeDocument/2006/relationships/image" Target="../media/image14.png"/><Relationship Id="rId5" Type="http://schemas.openxmlformats.org/officeDocument/2006/relationships/image" Target="../media/image9.png"/><Relationship Id="rId15" Type="http://schemas.openxmlformats.org/officeDocument/2006/relationships/image" Target="../media/image13.svg"/><Relationship Id="rId10" Type="http://schemas.openxmlformats.org/officeDocument/2006/relationships/hyperlink" Target="https://bldsg-my.sharepoint.com/personal/marcel_item_gbssg_ch/_layouts/15/stream.aspx?id=%2Fpersonal%2Fmarcel%5Fitem%5Fgbssg%5Fch%2FDocuments%2F1%5FSanit%C3%A4rinstallateure%2F2%5FUnterrichtsmaterial%5FEFZ%2F2%5FDateien%5FMedien%2F1%2E6%5FSTOFFE%5FWAS%2Emp4&amp;ga=1&amp;referrer=StreamWebApp%2EWeb&amp;referrerScenario=AddressBarCopied%2Eview%2Ea1ea2462%2Db09b%2D4790%2D9e13%2D6324e4a99c42" TargetMode="External"/><Relationship Id="rId4" Type="http://schemas.openxmlformats.org/officeDocument/2006/relationships/image" Target="../media/image8.svg"/><Relationship Id="rId9" Type="http://schemas.openxmlformats.org/officeDocument/2006/relationships/hyperlink" Target="https://bldsg.sharepoint.com/:b:/r/teams/SSP1b/Freigegebene%20Dokumente/BKU/Berufskundeunterlagen/3.Semester/06_Diverses/2.2_Auftrag.pdf?csf=1&amp;web=1&amp;e=mG2J2a" TargetMode="External"/><Relationship Id="rId14"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7.png"/><Relationship Id="rId7" Type="http://schemas.openxmlformats.org/officeDocument/2006/relationships/hyperlink" Target="https://bldsg.sharepoint.com/:b:/r/teams/SSP1b/Freigegebene%20Dokumente/BKU/Berufskundeunterlagen/3.Semester/01_Lernauftr%C3%A4ge%20%26%20%C3%9Cbungen/3.01_Auftrag.pdf?csf=1&amp;web=1&amp;e=nfKYKX" TargetMode="External"/><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0.svg"/><Relationship Id="rId11" Type="http://schemas.openxmlformats.org/officeDocument/2006/relationships/image" Target="../media/image15.svg"/><Relationship Id="rId5" Type="http://schemas.openxmlformats.org/officeDocument/2006/relationships/image" Target="../media/image9.png"/><Relationship Id="rId10" Type="http://schemas.openxmlformats.org/officeDocument/2006/relationships/image" Target="../media/image14.png"/><Relationship Id="rId4" Type="http://schemas.openxmlformats.org/officeDocument/2006/relationships/image" Target="../media/image8.svg"/><Relationship Id="rId9" Type="http://schemas.openxmlformats.org/officeDocument/2006/relationships/hyperlink" Target="https://bldsg-my.sharepoint.com/personal/marcel_item_gbssg_ch/_layouts/15/stream.aspx?id=%2Fpersonal%2Fmarcel%5Fitem%5Fgbssg%5Fch%2FDocuments%2F1%5FSanit%C3%A4rinstallateure%2F2%5FUnterrichtsmaterial%5FEFZ%2F2%5FDateien%5FMedien%2F1%2E6%5FSTOFFE%5FWAS%2Emp4&amp;ga=1&amp;referrer=StreamWebApp%2EWeb&amp;referrerScenario=AddressBarCopied%2Eview%2Ea1ea2462%2Db09b%2D4790%2D9e13%2D6324e4a99c42" TargetMode="External"/></Relationships>
</file>

<file path=xl/drawings/_rels/drawing1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7.png"/><Relationship Id="rId7" Type="http://schemas.openxmlformats.org/officeDocument/2006/relationships/hyperlink" Target="https://bldsg.sharepoint.com/:b:/r/teams/SSP1b/Freigegebene%20Dokumente/BKU/Berufskundeunterlagen/3.Semester/01_Lernauftr%C3%A4ge%20%26%20%C3%9Cbungen/2.6_Auftrag.pdf?csf=1&amp;web=1&amp;e=GtZQMx" TargetMode="External"/><Relationship Id="rId12" Type="http://schemas.openxmlformats.org/officeDocument/2006/relationships/hyperlink" Target="https://bldsg.sharepoint.com/:b:/r/teams/SSP1b/Freigegebene%20Dokumente/BKU/Berufskundeunterlagen/3.Semester/01_Lernauftr%C3%A4ge%20%26%20%C3%9Cbungen/4.2_Auftrag.pdf?csf=1&amp;web=1&amp;e=dE8Gy9" TargetMode="External"/><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0.svg"/><Relationship Id="rId11" Type="http://schemas.openxmlformats.org/officeDocument/2006/relationships/image" Target="../media/image15.svg"/><Relationship Id="rId5" Type="http://schemas.openxmlformats.org/officeDocument/2006/relationships/image" Target="../media/image9.png"/><Relationship Id="rId10" Type="http://schemas.openxmlformats.org/officeDocument/2006/relationships/image" Target="../media/image14.png"/><Relationship Id="rId4" Type="http://schemas.openxmlformats.org/officeDocument/2006/relationships/image" Target="../media/image8.svg"/><Relationship Id="rId9" Type="http://schemas.openxmlformats.org/officeDocument/2006/relationships/hyperlink" Target="https://bldsg-my.sharepoint.com/personal/marcel_item_gbssg_ch/_layouts/15/stream.aspx?id=%2Fpersonal%2Fmarcel%5Fitem%5Fgbssg%5Fch%2FDocuments%2F1%5FSanit%C3%A4rinstallateure%2F2%5FUnterrichtsmaterial%5FEFZ%2F2%5FDateien%5FMedien%2F1%2E6%5FSTOFFE%5FWAS%2Emp4&amp;ga=1&amp;referrer=StreamWebApp%2EWeb&amp;referrerScenario=AddressBarCopied%2Eview%2Ea1ea2462%2Db09b%2D4790%2D9e13%2D6324e4a99c42" TargetMode="External"/></Relationships>
</file>

<file path=xl/drawings/_rels/drawing1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7.png"/><Relationship Id="rId7" Type="http://schemas.openxmlformats.org/officeDocument/2006/relationships/hyperlink" Target="https://bldsg.sharepoint.com/:b:/r/teams/SSP1b/Freigegebene%20Dokumente/BKU/Berufskundeunterlagen/3.Semester/01_Lernauftr%C3%A4ge%20%26%20%C3%9Cbungen/2.6_Auftrag.pdf?csf=1&amp;web=1&amp;e=GtZQMx" TargetMode="External"/><Relationship Id="rId12" Type="http://schemas.openxmlformats.org/officeDocument/2006/relationships/hyperlink" Target="https://bldsg.sharepoint.com/:b:/r/teams/SSP1b/Freigegebene%20Dokumente/BKU/Berufskundeunterlagen/3.Semester/01_Lernauftr%C3%A4ge%20%26%20%C3%9Cbungen/4.2_Auftrag.pdf?csf=1&amp;web=1&amp;e=dE8Gy9" TargetMode="External"/><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0.svg"/><Relationship Id="rId11" Type="http://schemas.openxmlformats.org/officeDocument/2006/relationships/image" Target="../media/image15.svg"/><Relationship Id="rId5" Type="http://schemas.openxmlformats.org/officeDocument/2006/relationships/image" Target="../media/image9.png"/><Relationship Id="rId10" Type="http://schemas.openxmlformats.org/officeDocument/2006/relationships/image" Target="../media/image14.png"/><Relationship Id="rId4" Type="http://schemas.openxmlformats.org/officeDocument/2006/relationships/image" Target="../media/image8.svg"/><Relationship Id="rId9" Type="http://schemas.openxmlformats.org/officeDocument/2006/relationships/hyperlink" Target="https://bldsg-my.sharepoint.com/personal/marcel_item_gbssg_ch/_layouts/15/stream.aspx?id=%2Fpersonal%2Fmarcel%5Fitem%5Fgbssg%5Fch%2FDocuments%2F1%5FSanit%C3%A4rinstallateure%2F2%5FUnterrichtsmaterial%5FEFZ%2F2%5FDateien%5FMedien%2F1%2E6%5FSTOFFE%5FWAS%2Emp4&amp;ga=1&amp;referrer=StreamWebApp%2EWeb&amp;referrerScenario=AddressBarCopied%2Eview%2Ea1ea2462%2Db09b%2D4790%2D9e13%2D6324e4a99c42" TargetMode="External"/></Relationships>
</file>

<file path=xl/drawings/_rels/drawing14.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7.png"/><Relationship Id="rId7" Type="http://schemas.openxmlformats.org/officeDocument/2006/relationships/hyperlink" Target="https://bldsg.sharepoint.com/:b:/r/teams/SSP1b/Freigegebene%20Dokumente/BKU/Berufskundeunterlagen/3.Semester/01_Lernauftr%C3%A4ge%20%26%20%C3%9Cbungen/2.6_Auftrag.pdf?csf=1&amp;web=1&amp;e=GtZQMx" TargetMode="External"/><Relationship Id="rId12" Type="http://schemas.openxmlformats.org/officeDocument/2006/relationships/hyperlink" Target="https://bldsg.sharepoint.com/:b:/r/teams/SSP1b/Freigegebene%20Dokumente/BKU/Berufskundeunterlagen/3.Semester/01_Lernauftr%C3%A4ge%20%26%20%C3%9Cbungen/4.2_Auftrag.pdf?csf=1&amp;web=1&amp;e=dE8Gy9" TargetMode="External"/><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0.svg"/><Relationship Id="rId11" Type="http://schemas.openxmlformats.org/officeDocument/2006/relationships/image" Target="../media/image15.svg"/><Relationship Id="rId5" Type="http://schemas.openxmlformats.org/officeDocument/2006/relationships/image" Target="../media/image9.png"/><Relationship Id="rId10" Type="http://schemas.openxmlformats.org/officeDocument/2006/relationships/image" Target="../media/image14.png"/><Relationship Id="rId4" Type="http://schemas.openxmlformats.org/officeDocument/2006/relationships/image" Target="../media/image8.svg"/><Relationship Id="rId9" Type="http://schemas.openxmlformats.org/officeDocument/2006/relationships/hyperlink" Target="https://bldsg-my.sharepoint.com/personal/marcel_item_gbssg_ch/_layouts/15/stream.aspx?id=%2Fpersonal%2Fmarcel%5Fitem%5Fgbssg%5Fch%2FDocuments%2F1%5FSanit%C3%A4rinstallateure%2F2%5FUnterrichtsmaterial%5FEFZ%2F2%5FDateien%5FMedien%2F1%2E6%5FSTOFFE%5FWAS%2Emp4&amp;ga=1&amp;referrer=StreamWebApp%2EWeb&amp;referrerScenario=AddressBarCopied%2Eview%2Ea1ea2462%2Db09b%2D4790%2D9e13%2D6324e4a99c42" TargetMode="External"/></Relationships>
</file>

<file path=xl/drawings/_rels/drawing15.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hyperlink" Target="https://bldsg.sharepoint.com/:b:/r/teams/SSP1b/Freigegebene%20Dokumente/BKU/Berufskundeunterlagen/3.Semester/01_Lernauftr%C3%A4ge%20%26%20%C3%9Cbungen/3.10_Auftrag.pdf?csf=1&amp;web=1&amp;e=yLTlE0" TargetMode="External"/><Relationship Id="rId3" Type="http://schemas.openxmlformats.org/officeDocument/2006/relationships/image" Target="../media/image7.png"/><Relationship Id="rId7" Type="http://schemas.openxmlformats.org/officeDocument/2006/relationships/hyperlink" Target="https://bldsg.sharepoint.com/:b:/r/teams/SSP1b/Freigegebene%20Dokumente/BKU/Berufskundeunterlagen/3.Semester/01_Lernauftr%C3%A4ge%20%26%20%C3%9Cbungen/2.6_Auftrag.pdf?csf=1&amp;web=1&amp;e=GtZQMx" TargetMode="External"/><Relationship Id="rId12" Type="http://schemas.openxmlformats.org/officeDocument/2006/relationships/hyperlink" Target="https://bldsg.sharepoint.com/:b:/r/teams/SSP1b/Freigegebene%20Dokumente/BKU/Berufskundeunterlagen/3.Semester/01_Lernauftr%C3%A4ge%20%26%20%C3%9Cbungen/4.2_Auftrag.pdf?csf=1&amp;web=1&amp;e=dE8Gy9" TargetMode="External"/><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0.svg"/><Relationship Id="rId11" Type="http://schemas.openxmlformats.org/officeDocument/2006/relationships/image" Target="../media/image15.svg"/><Relationship Id="rId5" Type="http://schemas.openxmlformats.org/officeDocument/2006/relationships/image" Target="../media/image9.png"/><Relationship Id="rId10" Type="http://schemas.openxmlformats.org/officeDocument/2006/relationships/image" Target="../media/image14.png"/><Relationship Id="rId4" Type="http://schemas.openxmlformats.org/officeDocument/2006/relationships/image" Target="../media/image8.svg"/><Relationship Id="rId9" Type="http://schemas.openxmlformats.org/officeDocument/2006/relationships/hyperlink" Target="https://bldsg-my.sharepoint.com/personal/marcel_item_gbssg_ch/_layouts/15/stream.aspx?id=%2Fpersonal%2Fmarcel%5Fitem%5Fgbssg%5Fch%2FDocuments%2F1%5FSanit%C3%A4rinstallateure%2F2%5FUnterrichtsmaterial%5FEFZ%2F2%5FDateien%5FMedien%2F1%2E6%5FSTOFFE%5FWAS%2Emp4&amp;ga=1&amp;referrer=StreamWebApp%2EWeb&amp;referrerScenario=AddressBarCopied%2Eview%2Ea1ea2462%2Db09b%2D4790%2D9e13%2D6324e4a99c42" TargetMode="External"/></Relationships>
</file>

<file path=xl/drawings/_rels/drawing16.xml.rels><?xml version="1.0" encoding="UTF-8" standalone="yes"?>
<Relationships xmlns="http://schemas.openxmlformats.org/package/2006/relationships"><Relationship Id="rId8" Type="http://schemas.openxmlformats.org/officeDocument/2006/relationships/image" Target="../media/image15.svg"/><Relationship Id="rId13" Type="http://schemas.openxmlformats.org/officeDocument/2006/relationships/image" Target="../media/image13.svg"/><Relationship Id="rId3" Type="http://schemas.openxmlformats.org/officeDocument/2006/relationships/image" Target="../media/image7.png"/><Relationship Id="rId7" Type="http://schemas.openxmlformats.org/officeDocument/2006/relationships/image" Target="../media/image14.png"/><Relationship Id="rId12" Type="http://schemas.openxmlformats.org/officeDocument/2006/relationships/image" Target="../media/image12.png"/><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0.svg"/><Relationship Id="rId11" Type="http://schemas.openxmlformats.org/officeDocument/2006/relationships/hyperlink" Target="https://bldsg.sharepoint.com/:b:/r/teams/SSP1b/Freigegebene%20Dokumente/BKU/Berufskundeunterlagen/3.Semester/01_Lernauftr%C3%A4ge%20%26%20%C3%9Cbungen/3.10_Auftrag.pdf?csf=1&amp;web=1&amp;e=yLTlE0" TargetMode="External"/><Relationship Id="rId5" Type="http://schemas.openxmlformats.org/officeDocument/2006/relationships/image" Target="../media/image9.png"/><Relationship Id="rId15" Type="http://schemas.openxmlformats.org/officeDocument/2006/relationships/image" Target="../media/image17.png"/><Relationship Id="rId10" Type="http://schemas.openxmlformats.org/officeDocument/2006/relationships/image" Target="../media/image11.png"/><Relationship Id="rId4" Type="http://schemas.openxmlformats.org/officeDocument/2006/relationships/image" Target="../media/image8.svg"/><Relationship Id="rId9" Type="http://schemas.openxmlformats.org/officeDocument/2006/relationships/hyperlink" Target="https://bldsg.sharepoint.com/:b:/r/teams/SSP1b/Freigegebene%20Dokumente/BKU/Berufskundeunterlagen/3.Semester/01_Lernauftr%C3%A4ge%20%26%20%C3%9Cbungen/4.2_Auftrag.pdf?csf=1&amp;web=1&amp;e=dE8Gy9" TargetMode="External"/><Relationship Id="rId14" Type="http://schemas.openxmlformats.org/officeDocument/2006/relationships/hyperlink" Target="https://teams.microsoft.com/l/entity/66aeee93-507d-479a-a3ef-8f494af43945/classroom?context=%7B%22subEntityId%22%3A%22%7B%5C%22version%5C%22%3A%5C%221.0%5C%22%2C%5C%22config%5C%22%3A%7B%5C%22classes%5C%22%3A%5B%7B%5C%22id%5C%22%3A%5C%22cf6144cc-79cd-4a05-b3b5-9ddce4bf9811%5C%22%2C%5C%22assignmentIds%5C%22%3A%5B%5C%223fcb2679-8aeb-4ffe-9833-35cb875bd4ad%5C%22%5D%7D%5D%7D%2C%5C%22action%5C%22%3A%5C%22navigate%5C%22%2C%5C%22view%5C%22%3A%5C%22assignment-viewer%5C%22%2C%5C%22appId%5C%22%3A%5C%221fec8e78-bce4-4aaf-ab1b-5451cc387264%5C%22%2C%5C%22deeplinkType%5C%22%3A4%7D%22%2C%22channelId%22%3Anull%7D" TargetMode="External"/></Relationships>
</file>

<file path=xl/drawings/_rels/drawing17.xml.rels><?xml version="1.0" encoding="UTF-8" standalone="yes"?>
<Relationships xmlns="http://schemas.openxmlformats.org/package/2006/relationships"><Relationship Id="rId8" Type="http://schemas.openxmlformats.org/officeDocument/2006/relationships/image" Target="../media/image15.svg"/><Relationship Id="rId13" Type="http://schemas.openxmlformats.org/officeDocument/2006/relationships/hyperlink" Target="https://bldsg.sharepoint.com/:b:/r/teams/SSP1b/Freigegebene%20Dokumente/BKU/Berufskundeunterlagen/3.Semester/05_Lernziele/3.3_B_Lernziele.pdf?csf=1&amp;web=1&amp;e=jP0d3G" TargetMode="External"/><Relationship Id="rId3" Type="http://schemas.openxmlformats.org/officeDocument/2006/relationships/image" Target="../media/image7.png"/><Relationship Id="rId7" Type="http://schemas.openxmlformats.org/officeDocument/2006/relationships/image" Target="../media/image14.png"/><Relationship Id="rId12" Type="http://schemas.openxmlformats.org/officeDocument/2006/relationships/image" Target="../media/image17.png"/><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0.svg"/><Relationship Id="rId11" Type="http://schemas.openxmlformats.org/officeDocument/2006/relationships/hyperlink" Target="https://teams.microsoft.com/l/entity/66aeee93-507d-479a-a3ef-8f494af43945/classroom?context=%7B%22subEntityId%22%3A%22%7B%5C%22version%5C%22%3A%5C%221.0%5C%22%2C%5C%22config%5C%22%3A%7B%5C%22classes%5C%22%3A%5B%7B%5C%22id%5C%22%3A%5C%22cf6144cc-79cd-4a05-b3b5-9ddce4bf9811%5C%22%2C%5C%22assignmentIds%5C%22%3A%5B%5C%223fcb2679-8aeb-4ffe-9833-35cb875bd4ad%5C%22%5D%7D%5D%7D%2C%5C%22action%5C%22%3A%5C%22navigate%5C%22%2C%5C%22view%5C%22%3A%5C%22assignment-viewer%5C%22%2C%5C%22appId%5C%22%3A%5C%221fec8e78-bce4-4aaf-ab1b-5451cc387264%5C%22%2C%5C%22deeplinkType%5C%22%3A4%7D%22%2C%22channelId%22%3Anull%7D" TargetMode="External"/><Relationship Id="rId5" Type="http://schemas.openxmlformats.org/officeDocument/2006/relationships/image" Target="../media/image9.png"/><Relationship Id="rId15" Type="http://schemas.openxmlformats.org/officeDocument/2006/relationships/image" Target="../media/image13.svg"/><Relationship Id="rId10" Type="http://schemas.openxmlformats.org/officeDocument/2006/relationships/image" Target="../media/image11.png"/><Relationship Id="rId4" Type="http://schemas.openxmlformats.org/officeDocument/2006/relationships/image" Target="../media/image8.svg"/><Relationship Id="rId9" Type="http://schemas.openxmlformats.org/officeDocument/2006/relationships/hyperlink" Target="https://bldsg.sharepoint.com/:b:/r/teams/SSP1b/Freigegebene%20Dokumente/BKU/Berufskundeunterlagen/3.Semester/01_Lernauftr%C3%A4ge%20%26%20%C3%9Cbungen/4.2_Auftrag.pdf?csf=1&amp;web=1&amp;e=dE8Gy9" TargetMode="External"/><Relationship Id="rId14" Type="http://schemas.openxmlformats.org/officeDocument/2006/relationships/image" Target="../media/image12.png"/></Relationships>
</file>

<file path=xl/drawings/_rels/drawing18.xml.rels><?xml version="1.0" encoding="UTF-8" standalone="yes"?>
<Relationships xmlns="http://schemas.openxmlformats.org/package/2006/relationships"><Relationship Id="rId8" Type="http://schemas.openxmlformats.org/officeDocument/2006/relationships/image" Target="../media/image15.svg"/><Relationship Id="rId13" Type="http://schemas.openxmlformats.org/officeDocument/2006/relationships/hyperlink" Target="https://teams.microsoft.com/l/entity/66aeee93-507d-479a-a3ef-8f494af43945/classroom?context=%7B%22subEntityId%22%3A%22%7B%5C%22version%5C%22%3A%5C%221.0%5C%22%2C%5C%22config%5C%22%3A%7B%5C%22classes%5C%22%3A%5B%7B%5C%22id%5C%22%3A%5C%22cf6144cc-79cd-4a05-b3b5-9ddce4bf9811%5C%22%2C%5C%22assignmentIds%5C%22%3A%5B%5C%222c4629a5-c402-45b1-9dfb-e84db493aa09%5C%22%5D%7D%5D%7D%2C%5C%22action%5C%22%3A%5C%22navigate%5C%22%2C%5C%22view%5C%22%3A%5C%22assignment-viewer%5C%22%2C%5C%22appId%5C%22%3A%5C%221fec8e78-bce4-4aaf-ab1b-5451cc387264%5C%22%2C%5C%22deeplinkType%5C%22%3A4%7D%22%2C%22channelId%22%3Anull%7D" TargetMode="External"/><Relationship Id="rId3" Type="http://schemas.openxmlformats.org/officeDocument/2006/relationships/image" Target="../media/image7.png"/><Relationship Id="rId7" Type="http://schemas.openxmlformats.org/officeDocument/2006/relationships/image" Target="../media/image14.png"/><Relationship Id="rId12" Type="http://schemas.openxmlformats.org/officeDocument/2006/relationships/image" Target="../media/image17.png"/><Relationship Id="rId17" Type="http://schemas.openxmlformats.org/officeDocument/2006/relationships/image" Target="../media/image21.svg"/><Relationship Id="rId2" Type="http://schemas.openxmlformats.org/officeDocument/2006/relationships/image" Target="../media/image6.svg"/><Relationship Id="rId16" Type="http://schemas.openxmlformats.org/officeDocument/2006/relationships/image" Target="../media/image20.png"/><Relationship Id="rId1" Type="http://schemas.openxmlformats.org/officeDocument/2006/relationships/image" Target="../media/image5.png"/><Relationship Id="rId6" Type="http://schemas.openxmlformats.org/officeDocument/2006/relationships/image" Target="../media/image10.svg"/><Relationship Id="rId11" Type="http://schemas.openxmlformats.org/officeDocument/2006/relationships/hyperlink" Target="https://teams.microsoft.com/l/entity/66aeee93-507d-479a-a3ef-8f494af43945/classroom?context=%7B%22subEntityId%22%3A%22%7B%5C%22version%5C%22%3A%5C%221.0%5C%22%2C%5C%22config%5C%22%3A%7B%5C%22classes%5C%22%3A%5B%7B%5C%22id%5C%22%3A%5C%22cf6144cc-79cd-4a05-b3b5-9ddce4bf9811%5C%22%2C%5C%22assignmentIds%5C%22%3A%5B%5C%223fcb2679-8aeb-4ffe-9833-35cb875bd4ad%5C%22%5D%7D%5D%7D%2C%5C%22action%5C%22%3A%5C%22navigate%5C%22%2C%5C%22view%5C%22%3A%5C%22assignment-viewer%5C%22%2C%5C%22appId%5C%22%3A%5C%221fec8e78-bce4-4aaf-ab1b-5451cc387264%5C%22%2C%5C%22deeplinkType%5C%22%3A4%7D%22%2C%22channelId%22%3Anull%7D" TargetMode="External"/><Relationship Id="rId5" Type="http://schemas.openxmlformats.org/officeDocument/2006/relationships/image" Target="../media/image9.png"/><Relationship Id="rId15" Type="http://schemas.openxmlformats.org/officeDocument/2006/relationships/image" Target="../media/image19.svg"/><Relationship Id="rId10" Type="http://schemas.openxmlformats.org/officeDocument/2006/relationships/image" Target="../media/image11.png"/><Relationship Id="rId4" Type="http://schemas.openxmlformats.org/officeDocument/2006/relationships/image" Target="../media/image8.svg"/><Relationship Id="rId9" Type="http://schemas.openxmlformats.org/officeDocument/2006/relationships/hyperlink" Target="https://bldsg.sharepoint.com/:b:/r/teams/SSP1b/Freigegebene%20Dokumente/BKU/Berufskundeunterlagen/3.Semester/01_Lernauftr%C3%A4ge%20%26%20%C3%9Cbungen/4.2_Auftrag.pdf?csf=1&amp;web=1&amp;e=dE8Gy9" TargetMode="External"/><Relationship Id="rId14"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8" Type="http://schemas.openxmlformats.org/officeDocument/2006/relationships/image" Target="../media/image15.svg"/><Relationship Id="rId13" Type="http://schemas.openxmlformats.org/officeDocument/2006/relationships/hyperlink" Target="https://bldsg.sharepoint.com/:b:/r/teams/SSP1b/Freigegebene%20Dokumente/BKU/Berufskundeunterlagen/3.Semester/01_Lernauftr%C3%A4ge%20%26%20%C3%9Cbungen/3.10_Auftrag.pdf?csf=1&amp;web=1&amp;e=yLTlE0" TargetMode="External"/><Relationship Id="rId3" Type="http://schemas.openxmlformats.org/officeDocument/2006/relationships/image" Target="../media/image7.png"/><Relationship Id="rId7" Type="http://schemas.openxmlformats.org/officeDocument/2006/relationships/image" Target="../media/image14.png"/><Relationship Id="rId12" Type="http://schemas.openxmlformats.org/officeDocument/2006/relationships/image" Target="../media/image17.png"/><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0.svg"/><Relationship Id="rId11" Type="http://schemas.openxmlformats.org/officeDocument/2006/relationships/hyperlink" Target="https://teams.microsoft.com/l/entity/66aeee93-507d-479a-a3ef-8f494af43945/classroom?context=%7B%22subEntityId%22%3A%22%7B%5C%22version%5C%22%3A%5C%221.0%5C%22%2C%5C%22config%5C%22%3A%7B%5C%22classes%5C%22%3A%5B%7B%5C%22id%5C%22%3A%5C%22cf6144cc-79cd-4a05-b3b5-9ddce4bf9811%5C%22%2C%5C%22assignmentIds%5C%22%3A%5B%5C%222c4629a5-c402-45b1-9dfb-e84db493aa09%5C%22%5D%7D%5D%7D%2C%5C%22action%5C%22%3A%5C%22navigate%5C%22%2C%5C%22view%5C%22%3A%5C%22assignment-viewer%5C%22%2C%5C%22appId%5C%22%3A%5C%221fec8e78-bce4-4aaf-ab1b-5451cc387264%5C%22%2C%5C%22deeplinkType%5C%22%3A4%7D%22%2C%22channelId%22%3Anull%7D" TargetMode="External"/><Relationship Id="rId5" Type="http://schemas.openxmlformats.org/officeDocument/2006/relationships/image" Target="../media/image9.png"/><Relationship Id="rId10" Type="http://schemas.openxmlformats.org/officeDocument/2006/relationships/image" Target="../media/image11.png"/><Relationship Id="rId4" Type="http://schemas.openxmlformats.org/officeDocument/2006/relationships/image" Target="../media/image8.svg"/><Relationship Id="rId9" Type="http://schemas.openxmlformats.org/officeDocument/2006/relationships/hyperlink" Target="https://bldsg.sharepoint.com/:b:/r/teams/SSP1b/Freigegebene%20Dokumente/BKU/Berufskundeunterlagen/3.Semester/01_Lernauftr%C3%A4ge%20%26%20%C3%9Cbungen/4.2_Auftrag.pdf?csf=1&amp;web=1&amp;e=dE8Gy9" TargetMode="External"/></Relationships>
</file>

<file path=xl/drawings/_rels/drawing20.xml.rels><?xml version="1.0" encoding="UTF-8" standalone="yes"?>
<Relationships xmlns="http://schemas.openxmlformats.org/package/2006/relationships"><Relationship Id="rId8" Type="http://schemas.openxmlformats.org/officeDocument/2006/relationships/image" Target="../media/image15.svg"/><Relationship Id="rId3" Type="http://schemas.openxmlformats.org/officeDocument/2006/relationships/image" Target="../media/image7.png"/><Relationship Id="rId7" Type="http://schemas.openxmlformats.org/officeDocument/2006/relationships/image" Target="../media/image14.png"/><Relationship Id="rId12" Type="http://schemas.openxmlformats.org/officeDocument/2006/relationships/image" Target="../media/image4.svg"/><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0.svg"/><Relationship Id="rId11" Type="http://schemas.openxmlformats.org/officeDocument/2006/relationships/image" Target="../media/image3.png"/><Relationship Id="rId5" Type="http://schemas.openxmlformats.org/officeDocument/2006/relationships/image" Target="../media/image9.png"/><Relationship Id="rId10" Type="http://schemas.openxmlformats.org/officeDocument/2006/relationships/image" Target="../media/image17.png"/><Relationship Id="rId4" Type="http://schemas.openxmlformats.org/officeDocument/2006/relationships/image" Target="../media/image8.svg"/><Relationship Id="rId9" Type="http://schemas.openxmlformats.org/officeDocument/2006/relationships/hyperlink" Target="https://teams.microsoft.com/l/entity/66aeee93-507d-479a-a3ef-8f494af43945/classroom?context=%7B%22subEntityId%22%3A%22%7B%5C%22version%5C%22%3A%5C%221.0%5C%22%2C%5C%22config%5C%22%3A%7B%5C%22classes%5C%22%3A%5B%7B%5C%22id%5C%22%3A%5C%22cf6144cc-79cd-4a05-b3b5-9ddce4bf9811%5C%22%2C%5C%22assignmentIds%5C%22%3A%5B%5C%222c4629a5-c402-45b1-9dfb-e84db493aa09%5C%22%5D%7D%5D%7D%2C%5C%22action%5C%22%3A%5C%22navigate%5C%22%2C%5C%22view%5C%22%3A%5C%22assignment-viewer%5C%22%2C%5C%22appId%5C%22%3A%5C%221fec8e78-bce4-4aaf-ab1b-5451cc387264%5C%22%2C%5C%22deeplinkType%5C%22%3A4%7D%22%2C%22channelId%22%3Anull%7D" TargetMode="External"/></Relationships>
</file>

<file path=xl/drawings/drawing1.xml><?xml version="1.0" encoding="utf-8"?>
<xdr:wsDr xmlns:xdr="http://schemas.openxmlformats.org/drawingml/2006/spreadsheetDrawing" xmlns:a="http://schemas.openxmlformats.org/drawingml/2006/main">
  <xdr:oneCellAnchor>
    <xdr:from>
      <xdr:col>17</xdr:col>
      <xdr:colOff>381000</xdr:colOff>
      <xdr:row>41</xdr:row>
      <xdr:rowOff>212271</xdr:rowOff>
    </xdr:from>
    <xdr:ext cx="3090635" cy="174172"/>
    <xdr:sp macro="" textlink="">
      <xdr:nvSpPr>
        <xdr:cNvPr id="2" name="Textfeld 1">
          <a:extLst>
            <a:ext uri="{FF2B5EF4-FFF2-40B4-BE49-F238E27FC236}">
              <a16:creationId xmlns:a16="http://schemas.microsoft.com/office/drawing/2014/main" id="{CC1BE3C0-56E9-42A8-88BE-1A8F94C974E8}"/>
            </a:ext>
          </a:extLst>
        </xdr:cNvPr>
        <xdr:cNvSpPr txBox="1"/>
      </xdr:nvSpPr>
      <xdr:spPr>
        <a:xfrm>
          <a:off x="11239500" y="9748157"/>
          <a:ext cx="3090635" cy="1741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de-CH" sz="700" b="0">
              <a:latin typeface="Century Gothic" panose="020B0502020202020204" pitchFamily="34" charset="0"/>
            </a:rPr>
            <a:t>Kanton St.Gallen</a:t>
          </a:r>
          <a:r>
            <a:rPr lang="de-CH" sz="700" b="0" baseline="0">
              <a:latin typeface="Century Gothic" panose="020B0502020202020204" pitchFamily="34" charset="0"/>
            </a:rPr>
            <a:t> </a:t>
          </a:r>
          <a:r>
            <a:rPr lang="de-CH" sz="700" b="0">
              <a:latin typeface="Century Gothic" panose="020B0502020202020204" pitchFamily="34" charset="0"/>
            </a:rPr>
            <a:t>Gewerbliches Berufs- und Weiterbildungszentrum</a:t>
          </a:r>
        </a:p>
      </xdr:txBody>
    </xdr:sp>
    <xdr:clientData/>
  </xdr:oneCellAnchor>
  <xdr:twoCellAnchor editAs="oneCell">
    <xdr:from>
      <xdr:col>3</xdr:col>
      <xdr:colOff>9526</xdr:colOff>
      <xdr:row>4</xdr:row>
      <xdr:rowOff>57151</xdr:rowOff>
    </xdr:from>
    <xdr:to>
      <xdr:col>3</xdr:col>
      <xdr:colOff>333376</xdr:colOff>
      <xdr:row>5</xdr:row>
      <xdr:rowOff>150717</xdr:rowOff>
    </xdr:to>
    <xdr:pic>
      <xdr:nvPicPr>
        <xdr:cNvPr id="3" name="Grafik 2">
          <a:extLst>
            <a:ext uri="{FF2B5EF4-FFF2-40B4-BE49-F238E27FC236}">
              <a16:creationId xmlns:a16="http://schemas.microsoft.com/office/drawing/2014/main" id="{D6707DCD-9878-411D-846A-4A79822E51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38276" y="742951"/>
          <a:ext cx="323850" cy="323850"/>
        </a:xfrm>
        <a:prstGeom prst="rect">
          <a:avLst/>
        </a:prstGeom>
      </xdr:spPr>
    </xdr:pic>
    <xdr:clientData/>
  </xdr:twoCellAnchor>
  <xdr:twoCellAnchor editAs="oneCell">
    <xdr:from>
      <xdr:col>7</xdr:col>
      <xdr:colOff>19051</xdr:colOff>
      <xdr:row>4</xdr:row>
      <xdr:rowOff>57151</xdr:rowOff>
    </xdr:from>
    <xdr:to>
      <xdr:col>7</xdr:col>
      <xdr:colOff>342901</xdr:colOff>
      <xdr:row>5</xdr:row>
      <xdr:rowOff>150717</xdr:rowOff>
    </xdr:to>
    <xdr:pic>
      <xdr:nvPicPr>
        <xdr:cNvPr id="4" name="Grafik 3">
          <a:extLst>
            <a:ext uri="{FF2B5EF4-FFF2-40B4-BE49-F238E27FC236}">
              <a16:creationId xmlns:a16="http://schemas.microsoft.com/office/drawing/2014/main" id="{3343FE49-151C-4E10-A49D-5B051658F2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19651" y="742951"/>
          <a:ext cx="323850" cy="323850"/>
        </a:xfrm>
        <a:prstGeom prst="rect">
          <a:avLst/>
        </a:prstGeom>
      </xdr:spPr>
    </xdr:pic>
    <xdr:clientData/>
  </xdr:twoCellAnchor>
  <xdr:twoCellAnchor editAs="oneCell">
    <xdr:from>
      <xdr:col>3</xdr:col>
      <xdr:colOff>19051</xdr:colOff>
      <xdr:row>13</xdr:row>
      <xdr:rowOff>57151</xdr:rowOff>
    </xdr:from>
    <xdr:to>
      <xdr:col>3</xdr:col>
      <xdr:colOff>342901</xdr:colOff>
      <xdr:row>14</xdr:row>
      <xdr:rowOff>150717</xdr:rowOff>
    </xdr:to>
    <xdr:pic>
      <xdr:nvPicPr>
        <xdr:cNvPr id="5" name="Grafik 4">
          <a:extLst>
            <a:ext uri="{FF2B5EF4-FFF2-40B4-BE49-F238E27FC236}">
              <a16:creationId xmlns:a16="http://schemas.microsoft.com/office/drawing/2014/main" id="{DE9C1239-6CBE-428E-8DA1-57B117F7D6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19651" y="2971801"/>
          <a:ext cx="323850" cy="323850"/>
        </a:xfrm>
        <a:prstGeom prst="rect">
          <a:avLst/>
        </a:prstGeom>
      </xdr:spPr>
    </xdr:pic>
    <xdr:clientData/>
  </xdr:twoCellAnchor>
  <xdr:twoCellAnchor editAs="oneCell">
    <xdr:from>
      <xdr:col>9</xdr:col>
      <xdr:colOff>19050</xdr:colOff>
      <xdr:row>4</xdr:row>
      <xdr:rowOff>47625</xdr:rowOff>
    </xdr:from>
    <xdr:to>
      <xdr:col>9</xdr:col>
      <xdr:colOff>342900</xdr:colOff>
      <xdr:row>5</xdr:row>
      <xdr:rowOff>131666</xdr:rowOff>
    </xdr:to>
    <xdr:pic>
      <xdr:nvPicPr>
        <xdr:cNvPr id="6" name="Grafik 5">
          <a:extLst>
            <a:ext uri="{FF2B5EF4-FFF2-40B4-BE49-F238E27FC236}">
              <a16:creationId xmlns:a16="http://schemas.microsoft.com/office/drawing/2014/main" id="{BBCBE927-5AF7-43BB-BAD9-55191F22F4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73398" y="735082"/>
          <a:ext cx="323850" cy="324678"/>
        </a:xfrm>
        <a:prstGeom prst="rect">
          <a:avLst/>
        </a:prstGeom>
      </xdr:spPr>
    </xdr:pic>
    <xdr:clientData/>
  </xdr:twoCellAnchor>
  <xdr:twoCellAnchor editAs="oneCell">
    <xdr:from>
      <xdr:col>4</xdr:col>
      <xdr:colOff>9525</xdr:colOff>
      <xdr:row>31</xdr:row>
      <xdr:rowOff>47625</xdr:rowOff>
    </xdr:from>
    <xdr:to>
      <xdr:col>4</xdr:col>
      <xdr:colOff>333375</xdr:colOff>
      <xdr:row>32</xdr:row>
      <xdr:rowOff>131667</xdr:rowOff>
    </xdr:to>
    <xdr:pic>
      <xdr:nvPicPr>
        <xdr:cNvPr id="7" name="Grafik 6">
          <a:extLst>
            <a:ext uri="{FF2B5EF4-FFF2-40B4-BE49-F238E27FC236}">
              <a16:creationId xmlns:a16="http://schemas.microsoft.com/office/drawing/2014/main" id="{ED7B53F5-18E3-4BB1-8FDA-59AF7F7D97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2650" y="7419975"/>
          <a:ext cx="323850" cy="323850"/>
        </a:xfrm>
        <a:prstGeom prst="rect">
          <a:avLst/>
        </a:prstGeom>
      </xdr:spPr>
    </xdr:pic>
    <xdr:clientData/>
  </xdr:twoCellAnchor>
  <xdr:twoCellAnchor editAs="oneCell">
    <xdr:from>
      <xdr:col>6</xdr:col>
      <xdr:colOff>19051</xdr:colOff>
      <xdr:row>13</xdr:row>
      <xdr:rowOff>57151</xdr:rowOff>
    </xdr:from>
    <xdr:to>
      <xdr:col>6</xdr:col>
      <xdr:colOff>342901</xdr:colOff>
      <xdr:row>14</xdr:row>
      <xdr:rowOff>150717</xdr:rowOff>
    </xdr:to>
    <xdr:pic>
      <xdr:nvPicPr>
        <xdr:cNvPr id="8" name="Grafik 7">
          <a:extLst>
            <a:ext uri="{FF2B5EF4-FFF2-40B4-BE49-F238E27FC236}">
              <a16:creationId xmlns:a16="http://schemas.microsoft.com/office/drawing/2014/main" id="{677BB87C-2129-487F-97BF-DDB0CEE96E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91301" y="2971801"/>
          <a:ext cx="323850" cy="323850"/>
        </a:xfrm>
        <a:prstGeom prst="rect">
          <a:avLst/>
        </a:prstGeom>
      </xdr:spPr>
    </xdr:pic>
    <xdr:clientData/>
  </xdr:twoCellAnchor>
  <xdr:twoCellAnchor editAs="oneCell">
    <xdr:from>
      <xdr:col>7</xdr:col>
      <xdr:colOff>19050</xdr:colOff>
      <xdr:row>31</xdr:row>
      <xdr:rowOff>57150</xdr:rowOff>
    </xdr:from>
    <xdr:to>
      <xdr:col>7</xdr:col>
      <xdr:colOff>342900</xdr:colOff>
      <xdr:row>32</xdr:row>
      <xdr:rowOff>147542</xdr:rowOff>
    </xdr:to>
    <xdr:pic>
      <xdr:nvPicPr>
        <xdr:cNvPr id="9" name="Grafik 8">
          <a:extLst>
            <a:ext uri="{FF2B5EF4-FFF2-40B4-BE49-F238E27FC236}">
              <a16:creationId xmlns:a16="http://schemas.microsoft.com/office/drawing/2014/main" id="{3DC8456E-F5FF-465D-AAE8-3DB301EB4B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19650" y="7429500"/>
          <a:ext cx="323850" cy="323850"/>
        </a:xfrm>
        <a:prstGeom prst="rect">
          <a:avLst/>
        </a:prstGeom>
      </xdr:spPr>
    </xdr:pic>
    <xdr:clientData/>
  </xdr:twoCellAnchor>
  <xdr:twoCellAnchor editAs="oneCell">
    <xdr:from>
      <xdr:col>22</xdr:col>
      <xdr:colOff>626269</xdr:colOff>
      <xdr:row>4</xdr:row>
      <xdr:rowOff>91678</xdr:rowOff>
    </xdr:from>
    <xdr:to>
      <xdr:col>22</xdr:col>
      <xdr:colOff>954881</xdr:colOff>
      <xdr:row>5</xdr:row>
      <xdr:rowOff>169369</xdr:rowOff>
    </xdr:to>
    <xdr:pic>
      <xdr:nvPicPr>
        <xdr:cNvPr id="10" name="Grafik 9" descr="Ein Bild, das Schwarz, Dunkelheit enthält.&#10;&#10;Automatisch generierte Beschreibung">
          <a:hlinkClick xmlns:r="http://schemas.openxmlformats.org/officeDocument/2006/relationships" r:id="rId2"/>
          <a:extLst>
            <a:ext uri="{FF2B5EF4-FFF2-40B4-BE49-F238E27FC236}">
              <a16:creationId xmlns:a16="http://schemas.microsoft.com/office/drawing/2014/main" id="{6E7F7B95-2305-497E-A5C1-364E2AD1E7C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237369" y="777478"/>
          <a:ext cx="328612" cy="323850"/>
        </a:xfrm>
        <a:prstGeom prst="rect">
          <a:avLst/>
        </a:prstGeom>
      </xdr:spPr>
    </xdr:pic>
    <xdr:clientData/>
  </xdr:twoCellAnchor>
  <xdr:twoCellAnchor editAs="oneCell">
    <xdr:from>
      <xdr:col>22</xdr:col>
      <xdr:colOff>622697</xdr:colOff>
      <xdr:row>6</xdr:row>
      <xdr:rowOff>90487</xdr:rowOff>
    </xdr:from>
    <xdr:to>
      <xdr:col>22</xdr:col>
      <xdr:colOff>954484</xdr:colOff>
      <xdr:row>7</xdr:row>
      <xdr:rowOff>168178</xdr:rowOff>
    </xdr:to>
    <xdr:pic>
      <xdr:nvPicPr>
        <xdr:cNvPr id="11" name="Grafik 10" descr="Ein Bild, das Schwarz, Dunkelheit enthält.&#10;&#10;Automatisch generierte Beschreibung">
          <a:hlinkClick xmlns:r="http://schemas.openxmlformats.org/officeDocument/2006/relationships" r:id="rId4"/>
          <a:extLst>
            <a:ext uri="{FF2B5EF4-FFF2-40B4-BE49-F238E27FC236}">
              <a16:creationId xmlns:a16="http://schemas.microsoft.com/office/drawing/2014/main" id="{B98C1FF2-243E-4A3B-81C0-28741C0412B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233797" y="1271587"/>
          <a:ext cx="328612" cy="323850"/>
        </a:xfrm>
        <a:prstGeom prst="rect">
          <a:avLst/>
        </a:prstGeom>
      </xdr:spPr>
    </xdr:pic>
    <xdr:clientData/>
  </xdr:twoCellAnchor>
  <xdr:twoCellAnchor editAs="oneCell">
    <xdr:from>
      <xdr:col>22</xdr:col>
      <xdr:colOff>619125</xdr:colOff>
      <xdr:row>8</xdr:row>
      <xdr:rowOff>83344</xdr:rowOff>
    </xdr:from>
    <xdr:to>
      <xdr:col>22</xdr:col>
      <xdr:colOff>944562</xdr:colOff>
      <xdr:row>9</xdr:row>
      <xdr:rowOff>170560</xdr:rowOff>
    </xdr:to>
    <xdr:pic>
      <xdr:nvPicPr>
        <xdr:cNvPr id="12" name="Grafik 11" descr="Ein Bild, das Schwarz, Dunkelheit enthält.&#10;&#10;Automatisch generierte Beschreibung">
          <a:hlinkClick xmlns:r="http://schemas.openxmlformats.org/officeDocument/2006/relationships" r:id="rId5"/>
          <a:extLst>
            <a:ext uri="{FF2B5EF4-FFF2-40B4-BE49-F238E27FC236}">
              <a16:creationId xmlns:a16="http://schemas.microsoft.com/office/drawing/2014/main" id="{D619FA06-7714-4C1B-B8AF-D538D6DDFF8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230225" y="1759744"/>
          <a:ext cx="328612" cy="323850"/>
        </a:xfrm>
        <a:prstGeom prst="rect">
          <a:avLst/>
        </a:prstGeom>
      </xdr:spPr>
    </xdr:pic>
    <xdr:clientData/>
  </xdr:twoCellAnchor>
  <xdr:twoCellAnchor editAs="oneCell">
    <xdr:from>
      <xdr:col>22</xdr:col>
      <xdr:colOff>619115</xdr:colOff>
      <xdr:row>10</xdr:row>
      <xdr:rowOff>83342</xdr:rowOff>
    </xdr:from>
    <xdr:to>
      <xdr:col>22</xdr:col>
      <xdr:colOff>944552</xdr:colOff>
      <xdr:row>11</xdr:row>
      <xdr:rowOff>170560</xdr:rowOff>
    </xdr:to>
    <xdr:pic>
      <xdr:nvPicPr>
        <xdr:cNvPr id="13" name="Grafik 12" descr="Ein Bild, das Schwarz, Dunkelheit enthält.&#10;&#10;Automatisch generierte Beschreibung">
          <a:hlinkClick xmlns:r="http://schemas.openxmlformats.org/officeDocument/2006/relationships" r:id="rId6"/>
          <a:extLst>
            <a:ext uri="{FF2B5EF4-FFF2-40B4-BE49-F238E27FC236}">
              <a16:creationId xmlns:a16="http://schemas.microsoft.com/office/drawing/2014/main" id="{D862DD51-D654-492C-98BA-861B3CD747F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230215" y="2255042"/>
          <a:ext cx="328612" cy="323850"/>
        </a:xfrm>
        <a:prstGeom prst="rect">
          <a:avLst/>
        </a:prstGeom>
      </xdr:spPr>
    </xdr:pic>
    <xdr:clientData/>
  </xdr:twoCellAnchor>
  <xdr:twoCellAnchor editAs="oneCell">
    <xdr:from>
      <xdr:col>22</xdr:col>
      <xdr:colOff>619111</xdr:colOff>
      <xdr:row>12</xdr:row>
      <xdr:rowOff>89295</xdr:rowOff>
    </xdr:from>
    <xdr:to>
      <xdr:col>22</xdr:col>
      <xdr:colOff>944548</xdr:colOff>
      <xdr:row>13</xdr:row>
      <xdr:rowOff>172432</xdr:rowOff>
    </xdr:to>
    <xdr:pic>
      <xdr:nvPicPr>
        <xdr:cNvPr id="14" name="Grafik 13" descr="Ein Bild, das Schwarz, Dunkelheit enthält.&#10;&#10;Automatisch generierte Beschreibung">
          <a:hlinkClick xmlns:r="http://schemas.openxmlformats.org/officeDocument/2006/relationships" r:id="rId7"/>
          <a:extLst>
            <a:ext uri="{FF2B5EF4-FFF2-40B4-BE49-F238E27FC236}">
              <a16:creationId xmlns:a16="http://schemas.microsoft.com/office/drawing/2014/main" id="{CC45B0DE-127A-4024-ADF1-6CE4434BB95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230211" y="2756295"/>
          <a:ext cx="328612" cy="323850"/>
        </a:xfrm>
        <a:prstGeom prst="rect">
          <a:avLst/>
        </a:prstGeom>
      </xdr:spPr>
    </xdr:pic>
    <xdr:clientData/>
  </xdr:twoCellAnchor>
  <xdr:twoCellAnchor editAs="oneCell">
    <xdr:from>
      <xdr:col>22</xdr:col>
      <xdr:colOff>621260</xdr:colOff>
      <xdr:row>14</xdr:row>
      <xdr:rowOff>89295</xdr:rowOff>
    </xdr:from>
    <xdr:to>
      <xdr:col>22</xdr:col>
      <xdr:colOff>953047</xdr:colOff>
      <xdr:row>15</xdr:row>
      <xdr:rowOff>170162</xdr:rowOff>
    </xdr:to>
    <xdr:pic>
      <xdr:nvPicPr>
        <xdr:cNvPr id="15" name="Grafik 14" descr="Ein Bild, das Schwarz, Dunkelheit enthält.&#10;&#10;Automatisch generierte Beschreibung">
          <a:hlinkClick xmlns:r="http://schemas.openxmlformats.org/officeDocument/2006/relationships" r:id="rId8"/>
          <a:extLst>
            <a:ext uri="{FF2B5EF4-FFF2-40B4-BE49-F238E27FC236}">
              <a16:creationId xmlns:a16="http://schemas.microsoft.com/office/drawing/2014/main" id="{0C3297D6-EF6A-4F20-B6CB-900B536C1D5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232360" y="3251595"/>
          <a:ext cx="328612" cy="323850"/>
        </a:xfrm>
        <a:prstGeom prst="rect">
          <a:avLst/>
        </a:prstGeom>
      </xdr:spPr>
    </xdr:pic>
    <xdr:clientData/>
  </xdr:twoCellAnchor>
  <xdr:twoCellAnchor editAs="oneCell">
    <xdr:from>
      <xdr:col>22</xdr:col>
      <xdr:colOff>620780</xdr:colOff>
      <xdr:row>16</xdr:row>
      <xdr:rowOff>89295</xdr:rowOff>
    </xdr:from>
    <xdr:to>
      <xdr:col>22</xdr:col>
      <xdr:colOff>952567</xdr:colOff>
      <xdr:row>17</xdr:row>
      <xdr:rowOff>170162</xdr:rowOff>
    </xdr:to>
    <xdr:pic>
      <xdr:nvPicPr>
        <xdr:cNvPr id="16" name="Grafik 15" descr="Ein Bild, das Schwarz, Dunkelheit enthält.&#10;&#10;Automatisch generierte Beschreibung">
          <a:hlinkClick xmlns:r="http://schemas.openxmlformats.org/officeDocument/2006/relationships" r:id="rId9"/>
          <a:extLst>
            <a:ext uri="{FF2B5EF4-FFF2-40B4-BE49-F238E27FC236}">
              <a16:creationId xmlns:a16="http://schemas.microsoft.com/office/drawing/2014/main" id="{15FC3D8C-89EF-448E-8386-32C9823BCA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231880" y="3746895"/>
          <a:ext cx="328612" cy="323850"/>
        </a:xfrm>
        <a:prstGeom prst="rect">
          <a:avLst/>
        </a:prstGeom>
      </xdr:spPr>
    </xdr:pic>
    <xdr:clientData/>
  </xdr:twoCellAnchor>
  <xdr:twoCellAnchor editAs="oneCell">
    <xdr:from>
      <xdr:col>22</xdr:col>
      <xdr:colOff>628650</xdr:colOff>
      <xdr:row>18</xdr:row>
      <xdr:rowOff>57150</xdr:rowOff>
    </xdr:from>
    <xdr:to>
      <xdr:col>22</xdr:col>
      <xdr:colOff>963612</xdr:colOff>
      <xdr:row>19</xdr:row>
      <xdr:rowOff>150718</xdr:rowOff>
    </xdr:to>
    <xdr:pic>
      <xdr:nvPicPr>
        <xdr:cNvPr id="17" name="Grafik 16" descr="Ein Bild, das Schwarz, Dunkelheit enthält.&#10;&#10;Automatisch generierte Beschreibung">
          <a:hlinkClick xmlns:r="http://schemas.openxmlformats.org/officeDocument/2006/relationships" r:id="rId10"/>
          <a:extLst>
            <a:ext uri="{FF2B5EF4-FFF2-40B4-BE49-F238E27FC236}">
              <a16:creationId xmlns:a16="http://schemas.microsoft.com/office/drawing/2014/main" id="{D1CFFF1D-3E9E-4165-B71C-9CFAAF9A722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239750" y="4210050"/>
          <a:ext cx="328612" cy="323850"/>
        </a:xfrm>
        <a:prstGeom prst="rect">
          <a:avLst/>
        </a:prstGeom>
      </xdr:spPr>
    </xdr:pic>
    <xdr:clientData/>
  </xdr:twoCellAnchor>
  <xdr:twoCellAnchor editAs="oneCell">
    <xdr:from>
      <xdr:col>22</xdr:col>
      <xdr:colOff>619125</xdr:colOff>
      <xdr:row>22</xdr:row>
      <xdr:rowOff>66675</xdr:rowOff>
    </xdr:from>
    <xdr:to>
      <xdr:col>22</xdr:col>
      <xdr:colOff>944562</xdr:colOff>
      <xdr:row>23</xdr:row>
      <xdr:rowOff>150715</xdr:rowOff>
    </xdr:to>
    <xdr:pic>
      <xdr:nvPicPr>
        <xdr:cNvPr id="18" name="Grafik 17" descr="Ein Bild, das Schwarz, Dunkelheit enthält.&#10;&#10;Automatisch generierte Beschreibung">
          <a:hlinkClick xmlns:r="http://schemas.openxmlformats.org/officeDocument/2006/relationships" r:id="rId11"/>
          <a:extLst>
            <a:ext uri="{FF2B5EF4-FFF2-40B4-BE49-F238E27FC236}">
              <a16:creationId xmlns:a16="http://schemas.microsoft.com/office/drawing/2014/main" id="{F9DA7477-990A-45C4-8C14-4598A23A463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230225" y="5210175"/>
          <a:ext cx="328612" cy="323850"/>
        </a:xfrm>
        <a:prstGeom prst="rect">
          <a:avLst/>
        </a:prstGeom>
      </xdr:spPr>
    </xdr:pic>
    <xdr:clientData/>
  </xdr:twoCellAnchor>
  <xdr:oneCellAnchor>
    <xdr:from>
      <xdr:col>5</xdr:col>
      <xdr:colOff>19051</xdr:colOff>
      <xdr:row>4</xdr:row>
      <xdr:rowOff>57151</xdr:rowOff>
    </xdr:from>
    <xdr:ext cx="323850" cy="324678"/>
    <xdr:pic>
      <xdr:nvPicPr>
        <xdr:cNvPr id="19" name="Grafik 18">
          <a:extLst>
            <a:ext uri="{FF2B5EF4-FFF2-40B4-BE49-F238E27FC236}">
              <a16:creationId xmlns:a16="http://schemas.microsoft.com/office/drawing/2014/main" id="{A9E395F8-5CBA-41EC-9ECC-A48EA6A72A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47801" y="2971801"/>
          <a:ext cx="323850" cy="324678"/>
        </a:xfrm>
        <a:prstGeom prst="rect">
          <a:avLst/>
        </a:prstGeom>
      </xdr:spPr>
    </xdr:pic>
    <xdr:clientData/>
  </xdr:oneCellAnchor>
  <xdr:twoCellAnchor editAs="oneCell">
    <xdr:from>
      <xdr:col>4</xdr:col>
      <xdr:colOff>49696</xdr:colOff>
      <xdr:row>22</xdr:row>
      <xdr:rowOff>49696</xdr:rowOff>
    </xdr:from>
    <xdr:to>
      <xdr:col>4</xdr:col>
      <xdr:colOff>412197</xdr:colOff>
      <xdr:row>23</xdr:row>
      <xdr:rowOff>169294</xdr:rowOff>
    </xdr:to>
    <xdr:pic>
      <xdr:nvPicPr>
        <xdr:cNvPr id="20" name="Grafik 19">
          <a:extLst>
            <a:ext uri="{FF2B5EF4-FFF2-40B4-BE49-F238E27FC236}">
              <a16:creationId xmlns:a16="http://schemas.microsoft.com/office/drawing/2014/main" id="{32F299B1-BF5B-4F09-9C6F-4891ECA815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50296" y="5193196"/>
          <a:ext cx="356151" cy="356233"/>
        </a:xfrm>
        <a:prstGeom prst="rect">
          <a:avLst/>
        </a:prstGeom>
      </xdr:spPr>
    </xdr:pic>
    <xdr:clientData/>
  </xdr:twoCellAnchor>
  <xdr:twoCellAnchor>
    <xdr:from>
      <xdr:col>7</xdr:col>
      <xdr:colOff>465771</xdr:colOff>
      <xdr:row>21</xdr:row>
      <xdr:rowOff>5927</xdr:rowOff>
    </xdr:from>
    <xdr:to>
      <xdr:col>7</xdr:col>
      <xdr:colOff>468923</xdr:colOff>
      <xdr:row>22</xdr:row>
      <xdr:rowOff>7327</xdr:rowOff>
    </xdr:to>
    <xdr:cxnSp macro="">
      <xdr:nvCxnSpPr>
        <xdr:cNvPr id="21" name="Gerade Verbindung mit Pfeil 20">
          <a:extLst>
            <a:ext uri="{FF2B5EF4-FFF2-40B4-BE49-F238E27FC236}">
              <a16:creationId xmlns:a16="http://schemas.microsoft.com/office/drawing/2014/main" id="{7C85A9EB-C9A6-4693-BED3-F0D278448C95}"/>
            </a:ext>
          </a:extLst>
        </xdr:cNvPr>
        <xdr:cNvCxnSpPr/>
      </xdr:nvCxnSpPr>
      <xdr:spPr>
        <a:xfrm>
          <a:off x="5272233" y="4929619"/>
          <a:ext cx="3152" cy="2505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22</xdr:col>
      <xdr:colOff>628650</xdr:colOff>
      <xdr:row>20</xdr:row>
      <xdr:rowOff>57150</xdr:rowOff>
    </xdr:from>
    <xdr:ext cx="328612" cy="323850"/>
    <xdr:pic>
      <xdr:nvPicPr>
        <xdr:cNvPr id="22" name="Grafik 21" descr="Ein Bild, das Schwarz, Dunkelheit enthält.&#10;&#10;Automatisch generierte Beschreibung">
          <a:hlinkClick xmlns:r="http://schemas.openxmlformats.org/officeDocument/2006/relationships" r:id="rId12"/>
          <a:extLst>
            <a:ext uri="{FF2B5EF4-FFF2-40B4-BE49-F238E27FC236}">
              <a16:creationId xmlns:a16="http://schemas.microsoft.com/office/drawing/2014/main" id="{E39B98C4-0EB9-410D-AC52-E96533F6FFC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239750" y="4705350"/>
          <a:ext cx="328612" cy="323850"/>
        </a:xfrm>
        <a:prstGeom prst="rect">
          <a:avLst/>
        </a:prstGeom>
      </xdr:spPr>
    </xdr:pic>
    <xdr:clientData/>
  </xdr:oneCellAnchor>
  <xdr:oneCellAnchor>
    <xdr:from>
      <xdr:col>22</xdr:col>
      <xdr:colOff>619125</xdr:colOff>
      <xdr:row>24</xdr:row>
      <xdr:rowOff>66675</xdr:rowOff>
    </xdr:from>
    <xdr:ext cx="328612" cy="323850"/>
    <xdr:pic>
      <xdr:nvPicPr>
        <xdr:cNvPr id="23" name="Grafik 22" descr="Ein Bild, das Schwarz, Dunkelheit enthält.&#10;&#10;Automatisch generierte Beschreibung">
          <a:hlinkClick xmlns:r="http://schemas.openxmlformats.org/officeDocument/2006/relationships" r:id="rId13"/>
          <a:extLst>
            <a:ext uri="{FF2B5EF4-FFF2-40B4-BE49-F238E27FC236}">
              <a16:creationId xmlns:a16="http://schemas.microsoft.com/office/drawing/2014/main" id="{C35FA088-9BB2-48D4-AEF7-0C627C97D64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230225" y="5705475"/>
          <a:ext cx="328612" cy="323850"/>
        </a:xfrm>
        <a:prstGeom prst="rect">
          <a:avLst/>
        </a:prstGeom>
      </xdr:spPr>
    </xdr:pic>
    <xdr:clientData/>
  </xdr:oneCellAnchor>
  <xdr:oneCellAnchor>
    <xdr:from>
      <xdr:col>22</xdr:col>
      <xdr:colOff>619125</xdr:colOff>
      <xdr:row>26</xdr:row>
      <xdr:rowOff>66675</xdr:rowOff>
    </xdr:from>
    <xdr:ext cx="328612" cy="323850"/>
    <xdr:pic>
      <xdr:nvPicPr>
        <xdr:cNvPr id="24" name="Grafik 23" descr="Ein Bild, das Schwarz, Dunkelheit enthält.&#10;&#10;Automatisch generierte Beschreibung">
          <a:hlinkClick xmlns:r="http://schemas.openxmlformats.org/officeDocument/2006/relationships" r:id="rId14"/>
          <a:extLst>
            <a:ext uri="{FF2B5EF4-FFF2-40B4-BE49-F238E27FC236}">
              <a16:creationId xmlns:a16="http://schemas.microsoft.com/office/drawing/2014/main" id="{A5027A76-63C6-4014-91A1-1439245E49B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230225" y="6200775"/>
          <a:ext cx="328612" cy="323850"/>
        </a:xfrm>
        <a:prstGeom prst="rect">
          <a:avLst/>
        </a:prstGeom>
      </xdr:spPr>
    </xdr:pic>
    <xdr:clientData/>
  </xdr:oneCellAnchor>
  <xdr:oneCellAnchor>
    <xdr:from>
      <xdr:col>22</xdr:col>
      <xdr:colOff>619125</xdr:colOff>
      <xdr:row>28</xdr:row>
      <xdr:rowOff>66675</xdr:rowOff>
    </xdr:from>
    <xdr:ext cx="328612" cy="323850"/>
    <xdr:pic>
      <xdr:nvPicPr>
        <xdr:cNvPr id="25" name="Grafik 24" descr="Ein Bild, das Schwarz, Dunkelheit enthält.&#10;&#10;Automatisch generierte Beschreibung">
          <a:hlinkClick xmlns:r="http://schemas.openxmlformats.org/officeDocument/2006/relationships" r:id="rId15"/>
          <a:extLst>
            <a:ext uri="{FF2B5EF4-FFF2-40B4-BE49-F238E27FC236}">
              <a16:creationId xmlns:a16="http://schemas.microsoft.com/office/drawing/2014/main" id="{1DF67F72-570E-482F-BD44-4407E3CCC52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230225" y="6696075"/>
          <a:ext cx="328612" cy="323850"/>
        </a:xfrm>
        <a:prstGeom prst="rect">
          <a:avLst/>
        </a:prstGeom>
      </xdr:spPr>
    </xdr:pic>
    <xdr:clientData/>
  </xdr:oneCellAnchor>
  <xdr:oneCellAnchor>
    <xdr:from>
      <xdr:col>22</xdr:col>
      <xdr:colOff>619125</xdr:colOff>
      <xdr:row>30</xdr:row>
      <xdr:rowOff>66675</xdr:rowOff>
    </xdr:from>
    <xdr:ext cx="328612" cy="323850"/>
    <xdr:pic>
      <xdr:nvPicPr>
        <xdr:cNvPr id="26" name="Grafik 25" descr="Ein Bild, das Schwarz, Dunkelheit enthält.&#10;&#10;Automatisch generierte Beschreibung">
          <a:hlinkClick xmlns:r="http://schemas.openxmlformats.org/officeDocument/2006/relationships" r:id="rId16"/>
          <a:extLst>
            <a:ext uri="{FF2B5EF4-FFF2-40B4-BE49-F238E27FC236}">
              <a16:creationId xmlns:a16="http://schemas.microsoft.com/office/drawing/2014/main" id="{21C1E909-EDF4-4217-A3C8-34E0F24537A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230225" y="7191375"/>
          <a:ext cx="328612" cy="323850"/>
        </a:xfrm>
        <a:prstGeom prst="rect">
          <a:avLst/>
        </a:prstGeom>
      </xdr:spPr>
    </xdr:pic>
    <xdr:clientData/>
  </xdr:oneCellAnchor>
  <xdr:oneCellAnchor>
    <xdr:from>
      <xdr:col>22</xdr:col>
      <xdr:colOff>619125</xdr:colOff>
      <xdr:row>32</xdr:row>
      <xdr:rowOff>66675</xdr:rowOff>
    </xdr:from>
    <xdr:ext cx="328612" cy="323850"/>
    <xdr:pic>
      <xdr:nvPicPr>
        <xdr:cNvPr id="27" name="Grafik 26" descr="Ein Bild, das Schwarz, Dunkelheit enthält.&#10;&#10;Automatisch generierte Beschreibung">
          <a:hlinkClick xmlns:r="http://schemas.openxmlformats.org/officeDocument/2006/relationships" r:id="rId17"/>
          <a:extLst>
            <a:ext uri="{FF2B5EF4-FFF2-40B4-BE49-F238E27FC236}">
              <a16:creationId xmlns:a16="http://schemas.microsoft.com/office/drawing/2014/main" id="{24E0CCFA-B400-49B2-B8DF-CE09C5B945F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230225" y="7686675"/>
          <a:ext cx="328612" cy="323850"/>
        </a:xfrm>
        <a:prstGeom prst="rect">
          <a:avLst/>
        </a:prstGeom>
      </xdr:spPr>
    </xdr:pic>
    <xdr:clientData/>
  </xdr:oneCellAnchor>
  <xdr:oneCellAnchor>
    <xdr:from>
      <xdr:col>22</xdr:col>
      <xdr:colOff>619125</xdr:colOff>
      <xdr:row>34</xdr:row>
      <xdr:rowOff>66675</xdr:rowOff>
    </xdr:from>
    <xdr:ext cx="328612" cy="323850"/>
    <xdr:pic>
      <xdr:nvPicPr>
        <xdr:cNvPr id="28" name="Grafik 27" descr="Ein Bild, das Schwarz, Dunkelheit enthält.&#10;&#10;Automatisch generierte Beschreibung">
          <a:hlinkClick xmlns:r="http://schemas.openxmlformats.org/officeDocument/2006/relationships" r:id="rId18"/>
          <a:extLst>
            <a:ext uri="{FF2B5EF4-FFF2-40B4-BE49-F238E27FC236}">
              <a16:creationId xmlns:a16="http://schemas.microsoft.com/office/drawing/2014/main" id="{B32D768A-B4D6-404D-A99C-7E83D435897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230225" y="8181975"/>
          <a:ext cx="328612" cy="323850"/>
        </a:xfrm>
        <a:prstGeom prst="rect">
          <a:avLst/>
        </a:prstGeom>
      </xdr:spPr>
    </xdr:pic>
    <xdr:clientData/>
  </xdr:oneCellAnchor>
  <xdr:oneCellAnchor>
    <xdr:from>
      <xdr:col>22</xdr:col>
      <xdr:colOff>600075</xdr:colOff>
      <xdr:row>36</xdr:row>
      <xdr:rowOff>66675</xdr:rowOff>
    </xdr:from>
    <xdr:ext cx="328612" cy="323850"/>
    <xdr:pic>
      <xdr:nvPicPr>
        <xdr:cNvPr id="29" name="Grafik 28" descr="Ein Bild, das Schwarz, Dunkelheit enthält.&#10;&#10;Automatisch generierte Beschreibung">
          <a:hlinkClick xmlns:r="http://schemas.openxmlformats.org/officeDocument/2006/relationships" r:id="rId19"/>
          <a:extLst>
            <a:ext uri="{FF2B5EF4-FFF2-40B4-BE49-F238E27FC236}">
              <a16:creationId xmlns:a16="http://schemas.microsoft.com/office/drawing/2014/main" id="{F8F6C8C2-7010-49C0-A0C9-C5C89E4F690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211175" y="8677275"/>
          <a:ext cx="328612" cy="323850"/>
        </a:xfrm>
        <a:prstGeom prst="rect">
          <a:avLst/>
        </a:prstGeom>
      </xdr:spPr>
    </xdr:pic>
    <xdr:clientData/>
  </xdr:oneCellAnchor>
  <xdr:oneCellAnchor>
    <xdr:from>
      <xdr:col>22</xdr:col>
      <xdr:colOff>609600</xdr:colOff>
      <xdr:row>38</xdr:row>
      <xdr:rowOff>66675</xdr:rowOff>
    </xdr:from>
    <xdr:ext cx="328612" cy="323850"/>
    <xdr:pic>
      <xdr:nvPicPr>
        <xdr:cNvPr id="30" name="Grafik 29" descr="Ein Bild, das Schwarz, Dunkelheit enthält.&#10;&#10;Automatisch generierte Beschreibung">
          <a:hlinkClick xmlns:r="http://schemas.openxmlformats.org/officeDocument/2006/relationships" r:id="rId20"/>
          <a:extLst>
            <a:ext uri="{FF2B5EF4-FFF2-40B4-BE49-F238E27FC236}">
              <a16:creationId xmlns:a16="http://schemas.microsoft.com/office/drawing/2014/main" id="{AFB44F7B-48D2-472A-84E6-3FFF4EBBF72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220700" y="9172575"/>
          <a:ext cx="328612" cy="323850"/>
        </a:xfrm>
        <a:prstGeom prst="rect">
          <a:avLst/>
        </a:prstGeom>
      </xdr:spPr>
    </xdr:pic>
    <xdr:clientData/>
  </xdr:oneCellAnchor>
  <xdr:twoCellAnchor editAs="oneCell">
    <xdr:from>
      <xdr:col>22</xdr:col>
      <xdr:colOff>560296</xdr:colOff>
      <xdr:row>40</xdr:row>
      <xdr:rowOff>14129</xdr:rowOff>
    </xdr:from>
    <xdr:to>
      <xdr:col>22</xdr:col>
      <xdr:colOff>970431</xdr:colOff>
      <xdr:row>41</xdr:row>
      <xdr:rowOff>193813</xdr:rowOff>
    </xdr:to>
    <xdr:pic>
      <xdr:nvPicPr>
        <xdr:cNvPr id="32" name="Grafik 31" descr="Skigondel Silhouette">
          <a:extLst>
            <a:ext uri="{FF2B5EF4-FFF2-40B4-BE49-F238E27FC236}">
              <a16:creationId xmlns:a16="http://schemas.microsoft.com/office/drawing/2014/main" id="{85AC040E-ACA1-1E1E-8DF3-2BFFAD554F84}"/>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3969839" y="9332064"/>
          <a:ext cx="410135" cy="4198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17</xdr:col>
      <xdr:colOff>357189</xdr:colOff>
      <xdr:row>40</xdr:row>
      <xdr:rowOff>19050</xdr:rowOff>
    </xdr:from>
    <xdr:ext cx="4243386" cy="333375"/>
    <xdr:sp macro="" textlink="">
      <xdr:nvSpPr>
        <xdr:cNvPr id="2" name="Textfeld 1">
          <a:extLst>
            <a:ext uri="{FF2B5EF4-FFF2-40B4-BE49-F238E27FC236}">
              <a16:creationId xmlns:a16="http://schemas.microsoft.com/office/drawing/2014/main" id="{A3533485-A75B-4997-97F8-90983581CBF5}"/>
            </a:ext>
          </a:extLst>
        </xdr:cNvPr>
        <xdr:cNvSpPr txBox="1"/>
      </xdr:nvSpPr>
      <xdr:spPr>
        <a:xfrm>
          <a:off x="11434764" y="9401175"/>
          <a:ext cx="4243386" cy="333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de-CH" sz="700" b="0">
              <a:latin typeface="Century Gothic" panose="020B0502020202020204" pitchFamily="34" charset="0"/>
            </a:rPr>
            <a:t>Kanton St.Gallen</a:t>
          </a:r>
          <a:r>
            <a:rPr lang="de-CH" sz="700" b="0" baseline="0">
              <a:latin typeface="Century Gothic" panose="020B0502020202020204" pitchFamily="34" charset="0"/>
            </a:rPr>
            <a:t> </a:t>
          </a:r>
          <a:r>
            <a:rPr lang="de-CH" sz="700" b="0">
              <a:latin typeface="Century Gothic" panose="020B0502020202020204" pitchFamily="34" charset="0"/>
            </a:rPr>
            <a:t>Gewerbliches Berufs- und Weiterbildungszentrum</a:t>
          </a:r>
        </a:p>
      </xdr:txBody>
    </xdr:sp>
    <xdr:clientData/>
  </xdr:oneCellAnchor>
  <xdr:twoCellAnchor editAs="oneCell">
    <xdr:from>
      <xdr:col>3</xdr:col>
      <xdr:colOff>9526</xdr:colOff>
      <xdr:row>4</xdr:row>
      <xdr:rowOff>57151</xdr:rowOff>
    </xdr:from>
    <xdr:to>
      <xdr:col>3</xdr:col>
      <xdr:colOff>333376</xdr:colOff>
      <xdr:row>5</xdr:row>
      <xdr:rowOff>133351</xdr:rowOff>
    </xdr:to>
    <xdr:pic>
      <xdr:nvPicPr>
        <xdr:cNvPr id="3" name="Grafik 2">
          <a:extLst>
            <a:ext uri="{FF2B5EF4-FFF2-40B4-BE49-F238E27FC236}">
              <a16:creationId xmlns:a16="http://schemas.microsoft.com/office/drawing/2014/main" id="{58C3E831-DA6A-43E1-A2D2-6350ECEE9A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38276" y="745882"/>
          <a:ext cx="323850" cy="325315"/>
        </a:xfrm>
        <a:prstGeom prst="rect">
          <a:avLst/>
        </a:prstGeom>
      </xdr:spPr>
    </xdr:pic>
    <xdr:clientData/>
  </xdr:twoCellAnchor>
  <xdr:twoCellAnchor editAs="oneCell">
    <xdr:from>
      <xdr:col>5</xdr:col>
      <xdr:colOff>19051</xdr:colOff>
      <xdr:row>13</xdr:row>
      <xdr:rowOff>57151</xdr:rowOff>
    </xdr:from>
    <xdr:to>
      <xdr:col>5</xdr:col>
      <xdr:colOff>342901</xdr:colOff>
      <xdr:row>14</xdr:row>
      <xdr:rowOff>133351</xdr:rowOff>
    </xdr:to>
    <xdr:pic>
      <xdr:nvPicPr>
        <xdr:cNvPr id="5" name="Grafik 4">
          <a:extLst>
            <a:ext uri="{FF2B5EF4-FFF2-40B4-BE49-F238E27FC236}">
              <a16:creationId xmlns:a16="http://schemas.microsoft.com/office/drawing/2014/main" id="{C4A06DFC-8EA4-48C2-BE77-F1612B8615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4576" y="3000376"/>
          <a:ext cx="323850" cy="323850"/>
        </a:xfrm>
        <a:prstGeom prst="rect">
          <a:avLst/>
        </a:prstGeom>
      </xdr:spPr>
    </xdr:pic>
    <xdr:clientData/>
  </xdr:twoCellAnchor>
  <xdr:twoCellAnchor editAs="oneCell">
    <xdr:from>
      <xdr:col>7</xdr:col>
      <xdr:colOff>19051</xdr:colOff>
      <xdr:row>13</xdr:row>
      <xdr:rowOff>57151</xdr:rowOff>
    </xdr:from>
    <xdr:to>
      <xdr:col>7</xdr:col>
      <xdr:colOff>342901</xdr:colOff>
      <xdr:row>14</xdr:row>
      <xdr:rowOff>133351</xdr:rowOff>
    </xdr:to>
    <xdr:pic>
      <xdr:nvPicPr>
        <xdr:cNvPr id="6" name="Grafik 5">
          <a:extLst>
            <a:ext uri="{FF2B5EF4-FFF2-40B4-BE49-F238E27FC236}">
              <a16:creationId xmlns:a16="http://schemas.microsoft.com/office/drawing/2014/main" id="{7CE4B450-E8C8-4478-A5EA-74D6F152E8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19576" y="3000376"/>
          <a:ext cx="323850" cy="323850"/>
        </a:xfrm>
        <a:prstGeom prst="rect">
          <a:avLst/>
        </a:prstGeom>
      </xdr:spPr>
    </xdr:pic>
    <xdr:clientData/>
  </xdr:twoCellAnchor>
  <xdr:twoCellAnchor editAs="oneCell">
    <xdr:from>
      <xdr:col>4</xdr:col>
      <xdr:colOff>19050</xdr:colOff>
      <xdr:row>22</xdr:row>
      <xdr:rowOff>47625</xdr:rowOff>
    </xdr:from>
    <xdr:to>
      <xdr:col>4</xdr:col>
      <xdr:colOff>342900</xdr:colOff>
      <xdr:row>23</xdr:row>
      <xdr:rowOff>123825</xdr:rowOff>
    </xdr:to>
    <xdr:pic>
      <xdr:nvPicPr>
        <xdr:cNvPr id="7" name="Grafik 6">
          <a:extLst>
            <a:ext uri="{FF2B5EF4-FFF2-40B4-BE49-F238E27FC236}">
              <a16:creationId xmlns:a16="http://schemas.microsoft.com/office/drawing/2014/main" id="{967B8DC7-0857-4511-A0C5-9EC443843E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5963" y="5207690"/>
          <a:ext cx="323850" cy="324678"/>
        </a:xfrm>
        <a:prstGeom prst="rect">
          <a:avLst/>
        </a:prstGeom>
      </xdr:spPr>
    </xdr:pic>
    <xdr:clientData/>
  </xdr:twoCellAnchor>
  <xdr:twoCellAnchor editAs="oneCell">
    <xdr:from>
      <xdr:col>4</xdr:col>
      <xdr:colOff>9525</xdr:colOff>
      <xdr:row>31</xdr:row>
      <xdr:rowOff>47625</xdr:rowOff>
    </xdr:from>
    <xdr:to>
      <xdr:col>4</xdr:col>
      <xdr:colOff>333375</xdr:colOff>
      <xdr:row>32</xdr:row>
      <xdr:rowOff>123825</xdr:rowOff>
    </xdr:to>
    <xdr:pic>
      <xdr:nvPicPr>
        <xdr:cNvPr id="8" name="Grafik 7">
          <a:extLst>
            <a:ext uri="{FF2B5EF4-FFF2-40B4-BE49-F238E27FC236}">
              <a16:creationId xmlns:a16="http://schemas.microsoft.com/office/drawing/2014/main" id="{42907529-CA34-439D-9865-B4D1E662A9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05050" y="7448550"/>
          <a:ext cx="323850" cy="323850"/>
        </a:xfrm>
        <a:prstGeom prst="rect">
          <a:avLst/>
        </a:prstGeom>
      </xdr:spPr>
    </xdr:pic>
    <xdr:clientData/>
  </xdr:twoCellAnchor>
  <xdr:twoCellAnchor editAs="oneCell">
    <xdr:from>
      <xdr:col>9</xdr:col>
      <xdr:colOff>19051</xdr:colOff>
      <xdr:row>13</xdr:row>
      <xdr:rowOff>57151</xdr:rowOff>
    </xdr:from>
    <xdr:to>
      <xdr:col>9</xdr:col>
      <xdr:colOff>342901</xdr:colOff>
      <xdr:row>14</xdr:row>
      <xdr:rowOff>133351</xdr:rowOff>
    </xdr:to>
    <xdr:pic>
      <xdr:nvPicPr>
        <xdr:cNvPr id="10" name="Grafik 9">
          <a:extLst>
            <a:ext uri="{FF2B5EF4-FFF2-40B4-BE49-F238E27FC236}">
              <a16:creationId xmlns:a16="http://schemas.microsoft.com/office/drawing/2014/main" id="{BE31D4C8-6DD4-4442-8B9B-42899DFAA9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14681" y="2980912"/>
          <a:ext cx="323850" cy="324678"/>
        </a:xfrm>
        <a:prstGeom prst="rect">
          <a:avLst/>
        </a:prstGeom>
      </xdr:spPr>
    </xdr:pic>
    <xdr:clientData/>
  </xdr:twoCellAnchor>
  <xdr:twoCellAnchor editAs="oneCell">
    <xdr:from>
      <xdr:col>7</xdr:col>
      <xdr:colOff>19050</xdr:colOff>
      <xdr:row>31</xdr:row>
      <xdr:rowOff>57150</xdr:rowOff>
    </xdr:from>
    <xdr:to>
      <xdr:col>7</xdr:col>
      <xdr:colOff>342900</xdr:colOff>
      <xdr:row>32</xdr:row>
      <xdr:rowOff>133350</xdr:rowOff>
    </xdr:to>
    <xdr:pic>
      <xdr:nvPicPr>
        <xdr:cNvPr id="12" name="Grafik 11">
          <a:extLst>
            <a:ext uri="{FF2B5EF4-FFF2-40B4-BE49-F238E27FC236}">
              <a16:creationId xmlns:a16="http://schemas.microsoft.com/office/drawing/2014/main" id="{FA280E1A-A53E-4FE5-9F52-ABDF396CFD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72075" y="7458075"/>
          <a:ext cx="323850" cy="323850"/>
        </a:xfrm>
        <a:prstGeom prst="rect">
          <a:avLst/>
        </a:prstGeom>
      </xdr:spPr>
    </xdr:pic>
    <xdr:clientData/>
  </xdr:twoCellAnchor>
  <xdr:twoCellAnchor editAs="oneCell">
    <xdr:from>
      <xdr:col>21</xdr:col>
      <xdr:colOff>626269</xdr:colOff>
      <xdr:row>4</xdr:row>
      <xdr:rowOff>91678</xdr:rowOff>
    </xdr:from>
    <xdr:to>
      <xdr:col>21</xdr:col>
      <xdr:colOff>954881</xdr:colOff>
      <xdr:row>5</xdr:row>
      <xdr:rowOff>167878</xdr:rowOff>
    </xdr:to>
    <xdr:pic>
      <xdr:nvPicPr>
        <xdr:cNvPr id="13" name="Grafik 12" descr="Ein Bild, das Schwarz, Dunkelheit enthält.&#10;&#10;Automatisch generierte Beschreibung">
          <a:extLst>
            <a:ext uri="{FF2B5EF4-FFF2-40B4-BE49-F238E27FC236}">
              <a16:creationId xmlns:a16="http://schemas.microsoft.com/office/drawing/2014/main" id="{EFE898AC-6648-4EA3-B609-C2D16A721CD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94519" y="812006"/>
          <a:ext cx="328612" cy="326231"/>
        </a:xfrm>
        <a:prstGeom prst="rect">
          <a:avLst/>
        </a:prstGeom>
      </xdr:spPr>
    </xdr:pic>
    <xdr:clientData/>
  </xdr:twoCellAnchor>
  <xdr:twoCellAnchor editAs="oneCell">
    <xdr:from>
      <xdr:col>21</xdr:col>
      <xdr:colOff>622697</xdr:colOff>
      <xdr:row>6</xdr:row>
      <xdr:rowOff>90487</xdr:rowOff>
    </xdr:from>
    <xdr:to>
      <xdr:col>21</xdr:col>
      <xdr:colOff>951309</xdr:colOff>
      <xdr:row>7</xdr:row>
      <xdr:rowOff>166687</xdr:rowOff>
    </xdr:to>
    <xdr:pic>
      <xdr:nvPicPr>
        <xdr:cNvPr id="14" name="Grafik 13" descr="Ein Bild, das Schwarz, Dunkelheit enthält.&#10;&#10;Automatisch generierte Beschreibung">
          <a:extLst>
            <a:ext uri="{FF2B5EF4-FFF2-40B4-BE49-F238E27FC236}">
              <a16:creationId xmlns:a16="http://schemas.microsoft.com/office/drawing/2014/main" id="{BA867D6B-2DD1-42E6-B9F6-18A4A79F6D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90947" y="1310878"/>
          <a:ext cx="328612" cy="326231"/>
        </a:xfrm>
        <a:prstGeom prst="rect">
          <a:avLst/>
        </a:prstGeom>
      </xdr:spPr>
    </xdr:pic>
    <xdr:clientData/>
  </xdr:twoCellAnchor>
  <xdr:twoCellAnchor editAs="oneCell">
    <xdr:from>
      <xdr:col>21</xdr:col>
      <xdr:colOff>619125</xdr:colOff>
      <xdr:row>8</xdr:row>
      <xdr:rowOff>83344</xdr:rowOff>
    </xdr:from>
    <xdr:to>
      <xdr:col>21</xdr:col>
      <xdr:colOff>947737</xdr:colOff>
      <xdr:row>9</xdr:row>
      <xdr:rowOff>159544</xdr:rowOff>
    </xdr:to>
    <xdr:pic>
      <xdr:nvPicPr>
        <xdr:cNvPr id="15" name="Grafik 14" descr="Ein Bild, das Schwarz, Dunkelheit enthält.&#10;&#10;Automatisch generierte Beschreibung">
          <a:extLst>
            <a:ext uri="{FF2B5EF4-FFF2-40B4-BE49-F238E27FC236}">
              <a16:creationId xmlns:a16="http://schemas.microsoft.com/office/drawing/2014/main" id="{A4680E72-2001-404F-A31E-0B4D1066BE2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87375" y="1803797"/>
          <a:ext cx="328612" cy="326231"/>
        </a:xfrm>
        <a:prstGeom prst="rect">
          <a:avLst/>
        </a:prstGeom>
      </xdr:spPr>
    </xdr:pic>
    <xdr:clientData/>
  </xdr:twoCellAnchor>
  <xdr:twoCellAnchor editAs="oneCell">
    <xdr:from>
      <xdr:col>21</xdr:col>
      <xdr:colOff>619115</xdr:colOff>
      <xdr:row>10</xdr:row>
      <xdr:rowOff>83342</xdr:rowOff>
    </xdr:from>
    <xdr:to>
      <xdr:col>21</xdr:col>
      <xdr:colOff>947727</xdr:colOff>
      <xdr:row>11</xdr:row>
      <xdr:rowOff>159542</xdr:rowOff>
    </xdr:to>
    <xdr:pic>
      <xdr:nvPicPr>
        <xdr:cNvPr id="16" name="Grafik 15" descr="Ein Bild, das Schwarz, Dunkelheit enthält.&#10;&#10;Automatisch generierte Beschreibung">
          <a:extLst>
            <a:ext uri="{FF2B5EF4-FFF2-40B4-BE49-F238E27FC236}">
              <a16:creationId xmlns:a16="http://schemas.microsoft.com/office/drawing/2014/main" id="{2CD42637-0184-4D5A-8290-9F0AD96882B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87365" y="2303858"/>
          <a:ext cx="328612" cy="326231"/>
        </a:xfrm>
        <a:prstGeom prst="rect">
          <a:avLst/>
        </a:prstGeom>
      </xdr:spPr>
    </xdr:pic>
    <xdr:clientData/>
  </xdr:twoCellAnchor>
  <xdr:twoCellAnchor editAs="oneCell">
    <xdr:from>
      <xdr:col>21</xdr:col>
      <xdr:colOff>619111</xdr:colOff>
      <xdr:row>12</xdr:row>
      <xdr:rowOff>89295</xdr:rowOff>
    </xdr:from>
    <xdr:to>
      <xdr:col>21</xdr:col>
      <xdr:colOff>947723</xdr:colOff>
      <xdr:row>13</xdr:row>
      <xdr:rowOff>165495</xdr:rowOff>
    </xdr:to>
    <xdr:pic>
      <xdr:nvPicPr>
        <xdr:cNvPr id="17" name="Grafik 16" descr="Ein Bild, das Schwarz, Dunkelheit enthält.&#10;&#10;Automatisch generierte Beschreibung">
          <a:extLst>
            <a:ext uri="{FF2B5EF4-FFF2-40B4-BE49-F238E27FC236}">
              <a16:creationId xmlns:a16="http://schemas.microsoft.com/office/drawing/2014/main" id="{45FD291A-057A-47AF-8B67-88AE3B49CD2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87361" y="2809873"/>
          <a:ext cx="328612" cy="326231"/>
        </a:xfrm>
        <a:prstGeom prst="rect">
          <a:avLst/>
        </a:prstGeom>
      </xdr:spPr>
    </xdr:pic>
    <xdr:clientData/>
  </xdr:twoCellAnchor>
  <xdr:twoCellAnchor editAs="oneCell">
    <xdr:from>
      <xdr:col>21</xdr:col>
      <xdr:colOff>621260</xdr:colOff>
      <xdr:row>14</xdr:row>
      <xdr:rowOff>89295</xdr:rowOff>
    </xdr:from>
    <xdr:to>
      <xdr:col>21</xdr:col>
      <xdr:colOff>949872</xdr:colOff>
      <xdr:row>15</xdr:row>
      <xdr:rowOff>165495</xdr:rowOff>
    </xdr:to>
    <xdr:pic>
      <xdr:nvPicPr>
        <xdr:cNvPr id="18" name="Grafik 17" descr="Ein Bild, das Schwarz, Dunkelheit enthält.&#10;&#10;Automatisch generierte Beschreibung">
          <a:extLst>
            <a:ext uri="{FF2B5EF4-FFF2-40B4-BE49-F238E27FC236}">
              <a16:creationId xmlns:a16="http://schemas.microsoft.com/office/drawing/2014/main" id="{0C72B005-9E86-4D31-BB67-CA57C707073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304750" y="3282075"/>
          <a:ext cx="328612" cy="323850"/>
        </a:xfrm>
        <a:prstGeom prst="rect">
          <a:avLst/>
        </a:prstGeom>
      </xdr:spPr>
    </xdr:pic>
    <xdr:clientData/>
  </xdr:twoCellAnchor>
  <xdr:twoCellAnchor editAs="oneCell">
    <xdr:from>
      <xdr:col>21</xdr:col>
      <xdr:colOff>620780</xdr:colOff>
      <xdr:row>16</xdr:row>
      <xdr:rowOff>89295</xdr:rowOff>
    </xdr:from>
    <xdr:to>
      <xdr:col>21</xdr:col>
      <xdr:colOff>949392</xdr:colOff>
      <xdr:row>17</xdr:row>
      <xdr:rowOff>165495</xdr:rowOff>
    </xdr:to>
    <xdr:pic>
      <xdr:nvPicPr>
        <xdr:cNvPr id="19" name="Grafik 18" descr="Ein Bild, das Schwarz, Dunkelheit enthält.&#10;&#10;Automatisch generierte Beschreibung">
          <a:extLst>
            <a:ext uri="{FF2B5EF4-FFF2-40B4-BE49-F238E27FC236}">
              <a16:creationId xmlns:a16="http://schemas.microsoft.com/office/drawing/2014/main" id="{B820CE31-A5F4-4735-BD88-84656F0B235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304270" y="3777375"/>
          <a:ext cx="328612" cy="323850"/>
        </a:xfrm>
        <a:prstGeom prst="rect">
          <a:avLst/>
        </a:prstGeom>
      </xdr:spPr>
    </xdr:pic>
    <xdr:clientData/>
  </xdr:twoCellAnchor>
  <xdr:twoCellAnchor editAs="oneCell">
    <xdr:from>
      <xdr:col>21</xdr:col>
      <xdr:colOff>628650</xdr:colOff>
      <xdr:row>18</xdr:row>
      <xdr:rowOff>57150</xdr:rowOff>
    </xdr:from>
    <xdr:to>
      <xdr:col>21</xdr:col>
      <xdr:colOff>957262</xdr:colOff>
      <xdr:row>19</xdr:row>
      <xdr:rowOff>133350</xdr:rowOff>
    </xdr:to>
    <xdr:pic>
      <xdr:nvPicPr>
        <xdr:cNvPr id="20" name="Grafik 19" descr="Ein Bild, das Schwarz, Dunkelheit enthält.&#10;&#10;Automatisch generierte Beschreibung">
          <a:extLst>
            <a:ext uri="{FF2B5EF4-FFF2-40B4-BE49-F238E27FC236}">
              <a16:creationId xmlns:a16="http://schemas.microsoft.com/office/drawing/2014/main" id="{4AC25B5B-DE94-4CEB-ACB2-937C2997B10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87375" y="4238625"/>
          <a:ext cx="328612" cy="323850"/>
        </a:xfrm>
        <a:prstGeom prst="rect">
          <a:avLst/>
        </a:prstGeom>
      </xdr:spPr>
    </xdr:pic>
    <xdr:clientData/>
  </xdr:twoCellAnchor>
  <xdr:twoCellAnchor editAs="oneCell">
    <xdr:from>
      <xdr:col>21</xdr:col>
      <xdr:colOff>619125</xdr:colOff>
      <xdr:row>22</xdr:row>
      <xdr:rowOff>66675</xdr:rowOff>
    </xdr:from>
    <xdr:to>
      <xdr:col>21</xdr:col>
      <xdr:colOff>947737</xdr:colOff>
      <xdr:row>23</xdr:row>
      <xdr:rowOff>142875</xdr:rowOff>
    </xdr:to>
    <xdr:pic>
      <xdr:nvPicPr>
        <xdr:cNvPr id="22" name="Grafik 21" descr="Ein Bild, das Schwarz, Dunkelheit enthält.&#10;&#10;Automatisch generierte Beschreibung">
          <a:extLst>
            <a:ext uri="{FF2B5EF4-FFF2-40B4-BE49-F238E27FC236}">
              <a16:creationId xmlns:a16="http://schemas.microsoft.com/office/drawing/2014/main" id="{1A8D7249-EB4B-4D0F-8986-2A58AA66755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77850" y="5238750"/>
          <a:ext cx="328612" cy="323850"/>
        </a:xfrm>
        <a:prstGeom prst="rect">
          <a:avLst/>
        </a:prstGeom>
      </xdr:spPr>
    </xdr:pic>
    <xdr:clientData/>
  </xdr:twoCellAnchor>
  <xdr:oneCellAnchor>
    <xdr:from>
      <xdr:col>3</xdr:col>
      <xdr:colOff>19051</xdr:colOff>
      <xdr:row>13</xdr:row>
      <xdr:rowOff>57151</xdr:rowOff>
    </xdr:from>
    <xdr:ext cx="323850" cy="324678"/>
    <xdr:pic>
      <xdr:nvPicPr>
        <xdr:cNvPr id="32" name="Grafik 31">
          <a:extLst>
            <a:ext uri="{FF2B5EF4-FFF2-40B4-BE49-F238E27FC236}">
              <a16:creationId xmlns:a16="http://schemas.microsoft.com/office/drawing/2014/main" id="{9CBF617C-3D52-4B3B-AA6E-FD3D271CED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43660" y="2980912"/>
          <a:ext cx="323850" cy="324678"/>
        </a:xfrm>
        <a:prstGeom prst="rect">
          <a:avLst/>
        </a:prstGeom>
      </xdr:spPr>
    </xdr:pic>
    <xdr:clientData/>
  </xdr:oneCellAnchor>
  <xdr:twoCellAnchor editAs="oneCell">
    <xdr:from>
      <xdr:col>7</xdr:col>
      <xdr:colOff>49696</xdr:colOff>
      <xdr:row>22</xdr:row>
      <xdr:rowOff>49696</xdr:rowOff>
    </xdr:from>
    <xdr:to>
      <xdr:col>7</xdr:col>
      <xdr:colOff>405847</xdr:colOff>
      <xdr:row>23</xdr:row>
      <xdr:rowOff>158279</xdr:rowOff>
    </xdr:to>
    <xdr:pic>
      <xdr:nvPicPr>
        <xdr:cNvPr id="33" name="Grafik 32">
          <a:extLst>
            <a:ext uri="{FF2B5EF4-FFF2-40B4-BE49-F238E27FC236}">
              <a16:creationId xmlns:a16="http://schemas.microsoft.com/office/drawing/2014/main" id="{C15A2D24-A2F2-4C80-8253-C4D93A7505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45326" y="5209761"/>
          <a:ext cx="356151" cy="357061"/>
        </a:xfrm>
        <a:prstGeom prst="rect">
          <a:avLst/>
        </a:prstGeom>
      </xdr:spPr>
    </xdr:pic>
    <xdr:clientData/>
  </xdr:twoCellAnchor>
  <xdr:twoCellAnchor>
    <xdr:from>
      <xdr:col>9</xdr:col>
      <xdr:colOff>172694</xdr:colOff>
      <xdr:row>14</xdr:row>
      <xdr:rowOff>108503</xdr:rowOff>
    </xdr:from>
    <xdr:to>
      <xdr:col>10</xdr:col>
      <xdr:colOff>115956</xdr:colOff>
      <xdr:row>22</xdr:row>
      <xdr:rowOff>132522</xdr:rowOff>
    </xdr:to>
    <xdr:cxnSp macro="">
      <xdr:nvCxnSpPr>
        <xdr:cNvPr id="36" name="Gerade Verbindung mit Pfeil 35">
          <a:extLst>
            <a:ext uri="{FF2B5EF4-FFF2-40B4-BE49-F238E27FC236}">
              <a16:creationId xmlns:a16="http://schemas.microsoft.com/office/drawing/2014/main" id="{0F2E0D20-C592-1CD8-4D42-B507C9C26B93}"/>
            </a:ext>
          </a:extLst>
        </xdr:cNvPr>
        <xdr:cNvCxnSpPr/>
      </xdr:nvCxnSpPr>
      <xdr:spPr>
        <a:xfrm>
          <a:off x="6740803" y="3280742"/>
          <a:ext cx="829501" cy="201184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21</xdr:col>
      <xdr:colOff>628650</xdr:colOff>
      <xdr:row>20</xdr:row>
      <xdr:rowOff>57150</xdr:rowOff>
    </xdr:from>
    <xdr:ext cx="328612" cy="323850"/>
    <xdr:pic>
      <xdr:nvPicPr>
        <xdr:cNvPr id="59" name="Grafik 58" descr="Ein Bild, das Schwarz, Dunkelheit enthält.&#10;&#10;Automatisch generierte Beschreibung">
          <a:extLst>
            <a:ext uri="{FF2B5EF4-FFF2-40B4-BE49-F238E27FC236}">
              <a16:creationId xmlns:a16="http://schemas.microsoft.com/office/drawing/2014/main" id="{7E6B4CBE-6621-4037-B533-98DBB0826CB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39750" y="4210050"/>
          <a:ext cx="328612" cy="323850"/>
        </a:xfrm>
        <a:prstGeom prst="rect">
          <a:avLst/>
        </a:prstGeom>
      </xdr:spPr>
    </xdr:pic>
    <xdr:clientData/>
  </xdr:oneCellAnchor>
  <xdr:oneCellAnchor>
    <xdr:from>
      <xdr:col>21</xdr:col>
      <xdr:colOff>619125</xdr:colOff>
      <xdr:row>24</xdr:row>
      <xdr:rowOff>66675</xdr:rowOff>
    </xdr:from>
    <xdr:ext cx="328612" cy="323850"/>
    <xdr:pic>
      <xdr:nvPicPr>
        <xdr:cNvPr id="62" name="Grafik 61" descr="Ein Bild, das Schwarz, Dunkelheit enthält.&#10;&#10;Automatisch generierte Beschreibung">
          <a:extLst>
            <a:ext uri="{FF2B5EF4-FFF2-40B4-BE49-F238E27FC236}">
              <a16:creationId xmlns:a16="http://schemas.microsoft.com/office/drawing/2014/main" id="{1A000F04-B41B-45E4-9CC7-A9C00B37D2B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30225" y="5210175"/>
          <a:ext cx="328612" cy="323850"/>
        </a:xfrm>
        <a:prstGeom prst="rect">
          <a:avLst/>
        </a:prstGeom>
      </xdr:spPr>
    </xdr:pic>
    <xdr:clientData/>
  </xdr:oneCellAnchor>
  <xdr:oneCellAnchor>
    <xdr:from>
      <xdr:col>21</xdr:col>
      <xdr:colOff>619125</xdr:colOff>
      <xdr:row>26</xdr:row>
      <xdr:rowOff>66675</xdr:rowOff>
    </xdr:from>
    <xdr:ext cx="328612" cy="323850"/>
    <xdr:pic>
      <xdr:nvPicPr>
        <xdr:cNvPr id="63" name="Grafik 62" descr="Ein Bild, das Schwarz, Dunkelheit enthält.&#10;&#10;Automatisch generierte Beschreibung">
          <a:extLst>
            <a:ext uri="{FF2B5EF4-FFF2-40B4-BE49-F238E27FC236}">
              <a16:creationId xmlns:a16="http://schemas.microsoft.com/office/drawing/2014/main" id="{9316B379-D958-4AC8-A90A-B590E81C4AE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30225" y="5210175"/>
          <a:ext cx="328612" cy="323850"/>
        </a:xfrm>
        <a:prstGeom prst="rect">
          <a:avLst/>
        </a:prstGeom>
      </xdr:spPr>
    </xdr:pic>
    <xdr:clientData/>
  </xdr:oneCellAnchor>
  <xdr:oneCellAnchor>
    <xdr:from>
      <xdr:col>21</xdr:col>
      <xdr:colOff>619125</xdr:colOff>
      <xdr:row>28</xdr:row>
      <xdr:rowOff>66675</xdr:rowOff>
    </xdr:from>
    <xdr:ext cx="328612" cy="323850"/>
    <xdr:pic>
      <xdr:nvPicPr>
        <xdr:cNvPr id="64" name="Grafik 63" descr="Ein Bild, das Schwarz, Dunkelheit enthält.&#10;&#10;Automatisch generierte Beschreibung">
          <a:extLst>
            <a:ext uri="{FF2B5EF4-FFF2-40B4-BE49-F238E27FC236}">
              <a16:creationId xmlns:a16="http://schemas.microsoft.com/office/drawing/2014/main" id="{CCD6CB99-2AEC-46C2-9922-29A52541AAC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30225" y="5210175"/>
          <a:ext cx="328612" cy="323850"/>
        </a:xfrm>
        <a:prstGeom prst="rect">
          <a:avLst/>
        </a:prstGeom>
      </xdr:spPr>
    </xdr:pic>
    <xdr:clientData/>
  </xdr:oneCellAnchor>
  <xdr:oneCellAnchor>
    <xdr:from>
      <xdr:col>21</xdr:col>
      <xdr:colOff>619125</xdr:colOff>
      <xdr:row>30</xdr:row>
      <xdr:rowOff>66675</xdr:rowOff>
    </xdr:from>
    <xdr:ext cx="328612" cy="323850"/>
    <xdr:pic>
      <xdr:nvPicPr>
        <xdr:cNvPr id="65" name="Grafik 64" descr="Ein Bild, das Schwarz, Dunkelheit enthält.&#10;&#10;Automatisch generierte Beschreibung">
          <a:extLst>
            <a:ext uri="{FF2B5EF4-FFF2-40B4-BE49-F238E27FC236}">
              <a16:creationId xmlns:a16="http://schemas.microsoft.com/office/drawing/2014/main" id="{D11C8482-BF5A-4160-8685-576925BB478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30225" y="5210175"/>
          <a:ext cx="328612" cy="323850"/>
        </a:xfrm>
        <a:prstGeom prst="rect">
          <a:avLst/>
        </a:prstGeom>
      </xdr:spPr>
    </xdr:pic>
    <xdr:clientData/>
  </xdr:oneCellAnchor>
  <xdr:oneCellAnchor>
    <xdr:from>
      <xdr:col>21</xdr:col>
      <xdr:colOff>619125</xdr:colOff>
      <xdr:row>32</xdr:row>
      <xdr:rowOff>66675</xdr:rowOff>
    </xdr:from>
    <xdr:ext cx="328612" cy="323850"/>
    <xdr:pic>
      <xdr:nvPicPr>
        <xdr:cNvPr id="66" name="Grafik 65" descr="Ein Bild, das Schwarz, Dunkelheit enthält.&#10;&#10;Automatisch generierte Beschreibung">
          <a:extLst>
            <a:ext uri="{FF2B5EF4-FFF2-40B4-BE49-F238E27FC236}">
              <a16:creationId xmlns:a16="http://schemas.microsoft.com/office/drawing/2014/main" id="{409A2A93-339B-4C8D-A266-E46F3E47868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30225" y="5210175"/>
          <a:ext cx="328612" cy="323850"/>
        </a:xfrm>
        <a:prstGeom prst="rect">
          <a:avLst/>
        </a:prstGeom>
      </xdr:spPr>
    </xdr:pic>
    <xdr:clientData/>
  </xdr:oneCellAnchor>
  <xdr:oneCellAnchor>
    <xdr:from>
      <xdr:col>21</xdr:col>
      <xdr:colOff>619125</xdr:colOff>
      <xdr:row>34</xdr:row>
      <xdr:rowOff>66675</xdr:rowOff>
    </xdr:from>
    <xdr:ext cx="328612" cy="323850"/>
    <xdr:pic>
      <xdr:nvPicPr>
        <xdr:cNvPr id="67" name="Grafik 66" descr="Ein Bild, das Schwarz, Dunkelheit enthält.&#10;&#10;Automatisch generierte Beschreibung">
          <a:extLst>
            <a:ext uri="{FF2B5EF4-FFF2-40B4-BE49-F238E27FC236}">
              <a16:creationId xmlns:a16="http://schemas.microsoft.com/office/drawing/2014/main" id="{D800A320-EC13-415B-90F1-0106B7F85B1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30225" y="5210175"/>
          <a:ext cx="328612" cy="323850"/>
        </a:xfrm>
        <a:prstGeom prst="rect">
          <a:avLst/>
        </a:prstGeom>
      </xdr:spPr>
    </xdr:pic>
    <xdr:clientData/>
  </xdr:oneCellAnchor>
  <xdr:oneCellAnchor>
    <xdr:from>
      <xdr:col>21</xdr:col>
      <xdr:colOff>600075</xdr:colOff>
      <xdr:row>36</xdr:row>
      <xdr:rowOff>66675</xdr:rowOff>
    </xdr:from>
    <xdr:ext cx="328612" cy="323850"/>
    <xdr:pic>
      <xdr:nvPicPr>
        <xdr:cNvPr id="68" name="Grafik 67" descr="Ein Bild, das Schwarz, Dunkelheit enthält.&#10;&#10;Automatisch generierte Beschreibung">
          <a:extLst>
            <a:ext uri="{FF2B5EF4-FFF2-40B4-BE49-F238E27FC236}">
              <a16:creationId xmlns:a16="http://schemas.microsoft.com/office/drawing/2014/main" id="{B41B658C-26DA-4F98-8DA3-046B3A6F038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11175" y="8677275"/>
          <a:ext cx="328612" cy="323850"/>
        </a:xfrm>
        <a:prstGeom prst="rect">
          <a:avLst/>
        </a:prstGeom>
      </xdr:spPr>
    </xdr:pic>
    <xdr:clientData/>
  </xdr:oneCellAnchor>
  <xdr:oneCellAnchor>
    <xdr:from>
      <xdr:col>21</xdr:col>
      <xdr:colOff>609600</xdr:colOff>
      <xdr:row>38</xdr:row>
      <xdr:rowOff>66675</xdr:rowOff>
    </xdr:from>
    <xdr:ext cx="328612" cy="323850"/>
    <xdr:pic>
      <xdr:nvPicPr>
        <xdr:cNvPr id="69" name="Grafik 68" descr="Ein Bild, das Schwarz, Dunkelheit enthält.&#10;&#10;Automatisch generierte Beschreibung">
          <a:extLst>
            <a:ext uri="{FF2B5EF4-FFF2-40B4-BE49-F238E27FC236}">
              <a16:creationId xmlns:a16="http://schemas.microsoft.com/office/drawing/2014/main" id="{B4196AA5-2CAF-45BA-9521-83C3177CA6A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20700" y="9172575"/>
          <a:ext cx="328612" cy="3238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777008</xdr:colOff>
      <xdr:row>42</xdr:row>
      <xdr:rowOff>32844</xdr:rowOff>
    </xdr:from>
    <xdr:ext cx="336323" cy="325276"/>
    <xdr:pic>
      <xdr:nvPicPr>
        <xdr:cNvPr id="3" name="Grafik 2" descr="Klemmbrett abgehakt Silhouette">
          <a:extLst>
            <a:ext uri="{FF2B5EF4-FFF2-40B4-BE49-F238E27FC236}">
              <a16:creationId xmlns:a16="http://schemas.microsoft.com/office/drawing/2014/main" id="{D669B56C-B51B-474B-B33F-3C723757EC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234458" y="7398844"/>
          <a:ext cx="336323" cy="325276"/>
        </a:xfrm>
        <a:prstGeom prst="rect">
          <a:avLst/>
        </a:prstGeom>
      </xdr:spPr>
    </xdr:pic>
    <xdr:clientData/>
  </xdr:oneCellAnchor>
  <xdr:oneCellAnchor>
    <xdr:from>
      <xdr:col>5</xdr:col>
      <xdr:colOff>558363</xdr:colOff>
      <xdr:row>42</xdr:row>
      <xdr:rowOff>39414</xdr:rowOff>
    </xdr:from>
    <xdr:ext cx="380350" cy="364469"/>
    <xdr:pic>
      <xdr:nvPicPr>
        <xdr:cNvPr id="4" name="Grafik 3" descr="Kommentar (wichtig) Silhouette">
          <a:extLst>
            <a:ext uri="{FF2B5EF4-FFF2-40B4-BE49-F238E27FC236}">
              <a16:creationId xmlns:a16="http://schemas.microsoft.com/office/drawing/2014/main" id="{DD833594-974F-4E2B-B898-C0344F532B0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654113" y="7405414"/>
          <a:ext cx="380350" cy="364469"/>
        </a:xfrm>
        <a:prstGeom prst="rect">
          <a:avLst/>
        </a:prstGeom>
      </xdr:spPr>
    </xdr:pic>
    <xdr:clientData/>
  </xdr:oneCellAnchor>
  <xdr:oneCellAnchor>
    <xdr:from>
      <xdr:col>8</xdr:col>
      <xdr:colOff>755430</xdr:colOff>
      <xdr:row>42</xdr:row>
      <xdr:rowOff>6570</xdr:rowOff>
    </xdr:from>
    <xdr:ext cx="358119" cy="361296"/>
    <xdr:pic>
      <xdr:nvPicPr>
        <xdr:cNvPr id="5" name="Grafik 4" descr="Fernglas Silhouette">
          <a:extLst>
            <a:ext uri="{FF2B5EF4-FFF2-40B4-BE49-F238E27FC236}">
              <a16:creationId xmlns:a16="http://schemas.microsoft.com/office/drawing/2014/main" id="{CA135879-4E41-46F0-97E2-23AE5E26F79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308630" y="7372570"/>
          <a:ext cx="358119" cy="361296"/>
        </a:xfrm>
        <a:prstGeom prst="rect">
          <a:avLst/>
        </a:prstGeom>
      </xdr:spPr>
    </xdr:pic>
    <xdr:clientData/>
  </xdr:oneCellAnchor>
  <xdr:twoCellAnchor>
    <xdr:from>
      <xdr:col>8</xdr:col>
      <xdr:colOff>85364</xdr:colOff>
      <xdr:row>22</xdr:row>
      <xdr:rowOff>43814</xdr:rowOff>
    </xdr:from>
    <xdr:to>
      <xdr:col>8</xdr:col>
      <xdr:colOff>1079011</xdr:colOff>
      <xdr:row>23</xdr:row>
      <xdr:rowOff>92474</xdr:rowOff>
    </xdr:to>
    <xdr:grpSp>
      <xdr:nvGrpSpPr>
        <xdr:cNvPr id="6" name="Gruppieren 5">
          <a:hlinkClick xmlns:r="http://schemas.openxmlformats.org/officeDocument/2006/relationships" r:id="rId7"/>
          <a:extLst>
            <a:ext uri="{FF2B5EF4-FFF2-40B4-BE49-F238E27FC236}">
              <a16:creationId xmlns:a16="http://schemas.microsoft.com/office/drawing/2014/main" id="{72A6FB6E-5FB0-44B3-8F63-570524C4C47F}"/>
            </a:ext>
          </a:extLst>
        </xdr:cNvPr>
        <xdr:cNvGrpSpPr/>
      </xdr:nvGrpSpPr>
      <xdr:grpSpPr>
        <a:xfrm>
          <a:off x="5822776" y="4122755"/>
          <a:ext cx="993647" cy="239160"/>
          <a:chOff x="4130444" y="3557713"/>
          <a:chExt cx="768976" cy="216568"/>
        </a:xfrm>
      </xdr:grpSpPr>
      <xdr:pic>
        <xdr:nvPicPr>
          <xdr:cNvPr id="7" name="Grafik 6">
            <a:extLst>
              <a:ext uri="{FF2B5EF4-FFF2-40B4-BE49-F238E27FC236}">
                <a16:creationId xmlns:a16="http://schemas.microsoft.com/office/drawing/2014/main" id="{CD220BC7-4DC0-AF8F-37DC-AF8B04328C0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8" name="Textfeld 7">
            <a:extLst>
              <a:ext uri="{FF2B5EF4-FFF2-40B4-BE49-F238E27FC236}">
                <a16:creationId xmlns:a16="http://schemas.microsoft.com/office/drawing/2014/main" id="{71BE282D-8A9E-6D0A-0362-10872DDFDF91}"/>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a:solidFill>
                  <a:schemeClr val="tx1">
                    <a:lumMod val="75000"/>
                    <a:lumOff val="25000"/>
                  </a:schemeClr>
                </a:solidFill>
              </a:rPr>
              <a:t>1.5 Auftrag</a:t>
            </a:r>
          </a:p>
        </xdr:txBody>
      </xdr:sp>
    </xdr:grpSp>
    <xdr:clientData/>
  </xdr:twoCellAnchor>
  <xdr:twoCellAnchor>
    <xdr:from>
      <xdr:col>8</xdr:col>
      <xdr:colOff>112059</xdr:colOff>
      <xdr:row>24</xdr:row>
      <xdr:rowOff>33617</xdr:rowOff>
    </xdr:from>
    <xdr:to>
      <xdr:col>8</xdr:col>
      <xdr:colOff>1096181</xdr:colOff>
      <xdr:row>25</xdr:row>
      <xdr:rowOff>82277</xdr:rowOff>
    </xdr:to>
    <xdr:grpSp>
      <xdr:nvGrpSpPr>
        <xdr:cNvPr id="11" name="Gruppieren 10">
          <a:hlinkClick xmlns:r="http://schemas.openxmlformats.org/officeDocument/2006/relationships" r:id="rId9"/>
          <a:extLst>
            <a:ext uri="{FF2B5EF4-FFF2-40B4-BE49-F238E27FC236}">
              <a16:creationId xmlns:a16="http://schemas.microsoft.com/office/drawing/2014/main" id="{7AF85C66-2F36-44A7-BF36-2834A93279DF}"/>
            </a:ext>
          </a:extLst>
        </xdr:cNvPr>
        <xdr:cNvGrpSpPr/>
      </xdr:nvGrpSpPr>
      <xdr:grpSpPr>
        <a:xfrm>
          <a:off x="5849471" y="4493558"/>
          <a:ext cx="984122" cy="239160"/>
          <a:chOff x="4130444" y="3557713"/>
          <a:chExt cx="768976" cy="216568"/>
        </a:xfrm>
      </xdr:grpSpPr>
      <xdr:pic>
        <xdr:nvPicPr>
          <xdr:cNvPr id="12" name="Grafik 11">
            <a:extLst>
              <a:ext uri="{FF2B5EF4-FFF2-40B4-BE49-F238E27FC236}">
                <a16:creationId xmlns:a16="http://schemas.microsoft.com/office/drawing/2014/main" id="{49224F14-F56D-D4BE-B36B-21688917FAD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13" name="Textfeld 12">
            <a:extLst>
              <a:ext uri="{FF2B5EF4-FFF2-40B4-BE49-F238E27FC236}">
                <a16:creationId xmlns:a16="http://schemas.microsoft.com/office/drawing/2014/main" id="{FCF3CA89-8BE4-1507-464C-3ACE9B72B3C7}"/>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a:solidFill>
                  <a:schemeClr val="tx1">
                    <a:lumMod val="75000"/>
                    <a:lumOff val="25000"/>
                  </a:schemeClr>
                </a:solidFill>
              </a:rPr>
              <a:t>2.4</a:t>
            </a:r>
            <a:r>
              <a:rPr lang="de-CH" sz="900" b="1" baseline="0">
                <a:solidFill>
                  <a:schemeClr val="tx1">
                    <a:lumMod val="75000"/>
                    <a:lumOff val="25000"/>
                  </a:schemeClr>
                </a:solidFill>
              </a:rPr>
              <a:t> </a:t>
            </a:r>
            <a:r>
              <a:rPr lang="de-CH" sz="900" b="1">
                <a:solidFill>
                  <a:schemeClr val="tx1">
                    <a:lumMod val="75000"/>
                    <a:lumOff val="25000"/>
                  </a:schemeClr>
                </a:solidFill>
              </a:rPr>
              <a:t>Auftrag</a:t>
            </a:r>
          </a:p>
        </xdr:txBody>
      </xdr:sp>
    </xdr:grpSp>
    <xdr:clientData/>
  </xdr:twoCellAnchor>
  <xdr:twoCellAnchor>
    <xdr:from>
      <xdr:col>8</xdr:col>
      <xdr:colOff>89647</xdr:colOff>
      <xdr:row>37</xdr:row>
      <xdr:rowOff>123264</xdr:rowOff>
    </xdr:from>
    <xdr:to>
      <xdr:col>8</xdr:col>
      <xdr:colOff>1073769</xdr:colOff>
      <xdr:row>38</xdr:row>
      <xdr:rowOff>175099</xdr:rowOff>
    </xdr:to>
    <xdr:grpSp>
      <xdr:nvGrpSpPr>
        <xdr:cNvPr id="17" name="Gruppieren 16">
          <a:hlinkClick xmlns:r="http://schemas.openxmlformats.org/officeDocument/2006/relationships" r:id="rId10"/>
          <a:extLst>
            <a:ext uri="{FF2B5EF4-FFF2-40B4-BE49-F238E27FC236}">
              <a16:creationId xmlns:a16="http://schemas.microsoft.com/office/drawing/2014/main" id="{5958D761-F2D0-4833-94E8-A8C2211961C9}"/>
            </a:ext>
          </a:extLst>
        </xdr:cNvPr>
        <xdr:cNvGrpSpPr/>
      </xdr:nvGrpSpPr>
      <xdr:grpSpPr>
        <a:xfrm>
          <a:off x="5827059" y="7003676"/>
          <a:ext cx="984122" cy="242335"/>
          <a:chOff x="4130444" y="3557713"/>
          <a:chExt cx="768976" cy="216568"/>
        </a:xfrm>
      </xdr:grpSpPr>
      <xdr:pic>
        <xdr:nvPicPr>
          <xdr:cNvPr id="18" name="Grafik 17">
            <a:extLst>
              <a:ext uri="{FF2B5EF4-FFF2-40B4-BE49-F238E27FC236}">
                <a16:creationId xmlns:a16="http://schemas.microsoft.com/office/drawing/2014/main" id="{4C655512-7FA1-F6D6-954A-3DC875AE6E0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19" name="Textfeld 18">
            <a:extLst>
              <a:ext uri="{FF2B5EF4-FFF2-40B4-BE49-F238E27FC236}">
                <a16:creationId xmlns:a16="http://schemas.microsoft.com/office/drawing/2014/main" id="{E7B89090-6155-F6B1-DA9B-2D4C7FE21785}"/>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2.2 </a:t>
            </a:r>
            <a:r>
              <a:rPr lang="de-CH" sz="900" b="1">
                <a:solidFill>
                  <a:schemeClr val="tx1">
                    <a:lumMod val="75000"/>
                    <a:lumOff val="25000"/>
                  </a:schemeClr>
                </a:solidFill>
              </a:rPr>
              <a:t>Auftrag</a:t>
            </a:r>
          </a:p>
        </xdr:txBody>
      </xdr:sp>
    </xdr:grpSp>
    <xdr:clientData/>
  </xdr:twoCellAnchor>
</xdr:wsDr>
</file>

<file path=xl/drawings/drawing4.xml><?xml version="1.0" encoding="utf-8"?>
<xdr:wsDr xmlns:xdr="http://schemas.openxmlformats.org/drawingml/2006/spreadsheetDrawing" xmlns:a="http://schemas.openxmlformats.org/drawingml/2006/main">
  <xdr:oneCellAnchor>
    <xdr:from>
      <xdr:col>3</xdr:col>
      <xdr:colOff>777008</xdr:colOff>
      <xdr:row>42</xdr:row>
      <xdr:rowOff>32844</xdr:rowOff>
    </xdr:from>
    <xdr:ext cx="336323" cy="325276"/>
    <xdr:pic>
      <xdr:nvPicPr>
        <xdr:cNvPr id="2" name="Grafik 1" descr="Klemmbrett abgehakt Silhouette">
          <a:extLst>
            <a:ext uri="{FF2B5EF4-FFF2-40B4-BE49-F238E27FC236}">
              <a16:creationId xmlns:a16="http://schemas.microsoft.com/office/drawing/2014/main" id="{608DE425-0C32-4062-8435-48FEABA29A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02583" y="7640144"/>
          <a:ext cx="336323" cy="325276"/>
        </a:xfrm>
        <a:prstGeom prst="rect">
          <a:avLst/>
        </a:prstGeom>
      </xdr:spPr>
    </xdr:pic>
    <xdr:clientData/>
  </xdr:oneCellAnchor>
  <xdr:oneCellAnchor>
    <xdr:from>
      <xdr:col>5</xdr:col>
      <xdr:colOff>558363</xdr:colOff>
      <xdr:row>42</xdr:row>
      <xdr:rowOff>39414</xdr:rowOff>
    </xdr:from>
    <xdr:ext cx="380350" cy="364469"/>
    <xdr:pic>
      <xdr:nvPicPr>
        <xdr:cNvPr id="3" name="Grafik 2" descr="Kommentar (wichtig) Silhouette">
          <a:extLst>
            <a:ext uri="{FF2B5EF4-FFF2-40B4-BE49-F238E27FC236}">
              <a16:creationId xmlns:a16="http://schemas.microsoft.com/office/drawing/2014/main" id="{7BF95EDE-6479-4E8F-9094-F7B71461109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095313" y="7649889"/>
          <a:ext cx="380350" cy="364469"/>
        </a:xfrm>
        <a:prstGeom prst="rect">
          <a:avLst/>
        </a:prstGeom>
      </xdr:spPr>
    </xdr:pic>
    <xdr:clientData/>
  </xdr:oneCellAnchor>
  <xdr:oneCellAnchor>
    <xdr:from>
      <xdr:col>8</xdr:col>
      <xdr:colOff>755430</xdr:colOff>
      <xdr:row>42</xdr:row>
      <xdr:rowOff>6570</xdr:rowOff>
    </xdr:from>
    <xdr:ext cx="358119" cy="361296"/>
    <xdr:pic>
      <xdr:nvPicPr>
        <xdr:cNvPr id="4" name="Grafik 3" descr="Fernglas Silhouette">
          <a:extLst>
            <a:ext uri="{FF2B5EF4-FFF2-40B4-BE49-F238E27FC236}">
              <a16:creationId xmlns:a16="http://schemas.microsoft.com/office/drawing/2014/main" id="{A9879BE6-6982-435A-9803-96AA2D6D5B2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57730" y="7620220"/>
          <a:ext cx="358119" cy="361296"/>
        </a:xfrm>
        <a:prstGeom prst="rect">
          <a:avLst/>
        </a:prstGeom>
      </xdr:spPr>
    </xdr:pic>
    <xdr:clientData/>
  </xdr:oneCellAnchor>
  <xdr:twoCellAnchor>
    <xdr:from>
      <xdr:col>8</xdr:col>
      <xdr:colOff>83484</xdr:colOff>
      <xdr:row>22</xdr:row>
      <xdr:rowOff>65367</xdr:rowOff>
    </xdr:from>
    <xdr:to>
      <xdr:col>8</xdr:col>
      <xdr:colOff>1067606</xdr:colOff>
      <xdr:row>23</xdr:row>
      <xdr:rowOff>126727</xdr:rowOff>
    </xdr:to>
    <xdr:grpSp>
      <xdr:nvGrpSpPr>
        <xdr:cNvPr id="8" name="Gruppieren 7">
          <a:hlinkClick xmlns:r="http://schemas.openxmlformats.org/officeDocument/2006/relationships" r:id="rId7"/>
          <a:extLst>
            <a:ext uri="{FF2B5EF4-FFF2-40B4-BE49-F238E27FC236}">
              <a16:creationId xmlns:a16="http://schemas.microsoft.com/office/drawing/2014/main" id="{18368E1D-8FD2-40A5-B5F8-45228769A775}"/>
            </a:ext>
          </a:extLst>
        </xdr:cNvPr>
        <xdr:cNvGrpSpPr/>
      </xdr:nvGrpSpPr>
      <xdr:grpSpPr>
        <a:xfrm>
          <a:off x="5827792" y="4124482"/>
          <a:ext cx="984122" cy="251860"/>
          <a:chOff x="4130444" y="3557713"/>
          <a:chExt cx="768976" cy="216568"/>
        </a:xfrm>
      </xdr:grpSpPr>
      <xdr:pic>
        <xdr:nvPicPr>
          <xdr:cNvPr id="9" name="Grafik 8">
            <a:extLst>
              <a:ext uri="{FF2B5EF4-FFF2-40B4-BE49-F238E27FC236}">
                <a16:creationId xmlns:a16="http://schemas.microsoft.com/office/drawing/2014/main" id="{C14FA5B9-C94C-0BAC-1991-435C671D746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10" name="Textfeld 9">
            <a:extLst>
              <a:ext uri="{FF2B5EF4-FFF2-40B4-BE49-F238E27FC236}">
                <a16:creationId xmlns:a16="http://schemas.microsoft.com/office/drawing/2014/main" id="{5C13A49B-6C8E-5C7C-C74C-FB1DBC732C05}"/>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a:solidFill>
                  <a:schemeClr val="tx1">
                    <a:lumMod val="75000"/>
                    <a:lumOff val="25000"/>
                  </a:schemeClr>
                </a:solidFill>
              </a:rPr>
              <a:t>2.4</a:t>
            </a:r>
            <a:r>
              <a:rPr lang="de-CH" sz="900" b="1" baseline="0">
                <a:solidFill>
                  <a:schemeClr val="tx1">
                    <a:lumMod val="75000"/>
                    <a:lumOff val="25000"/>
                  </a:schemeClr>
                </a:solidFill>
              </a:rPr>
              <a:t> </a:t>
            </a:r>
            <a:r>
              <a:rPr lang="de-CH" sz="900" b="1">
                <a:solidFill>
                  <a:schemeClr val="tx1">
                    <a:lumMod val="75000"/>
                    <a:lumOff val="25000"/>
                  </a:schemeClr>
                </a:solidFill>
              </a:rPr>
              <a:t>Auftrag</a:t>
            </a:r>
          </a:p>
        </xdr:txBody>
      </xdr:sp>
    </xdr:grpSp>
    <xdr:clientData/>
  </xdr:twoCellAnchor>
  <xdr:twoCellAnchor>
    <xdr:from>
      <xdr:col>8</xdr:col>
      <xdr:colOff>86472</xdr:colOff>
      <xdr:row>37</xdr:row>
      <xdr:rowOff>126439</xdr:rowOff>
    </xdr:from>
    <xdr:to>
      <xdr:col>8</xdr:col>
      <xdr:colOff>1076944</xdr:colOff>
      <xdr:row>38</xdr:row>
      <xdr:rowOff>178274</xdr:rowOff>
    </xdr:to>
    <xdr:grpSp>
      <xdr:nvGrpSpPr>
        <xdr:cNvPr id="11" name="Gruppieren 10">
          <a:hlinkClick xmlns:r="http://schemas.openxmlformats.org/officeDocument/2006/relationships" r:id="rId9"/>
          <a:extLst>
            <a:ext uri="{FF2B5EF4-FFF2-40B4-BE49-F238E27FC236}">
              <a16:creationId xmlns:a16="http://schemas.microsoft.com/office/drawing/2014/main" id="{09CD7157-EB3A-4429-9AAB-782E241BC376}"/>
            </a:ext>
          </a:extLst>
        </xdr:cNvPr>
        <xdr:cNvGrpSpPr/>
      </xdr:nvGrpSpPr>
      <xdr:grpSpPr>
        <a:xfrm>
          <a:off x="5830780" y="6984439"/>
          <a:ext cx="990472" cy="242335"/>
          <a:chOff x="4130444" y="3557713"/>
          <a:chExt cx="768976" cy="216568"/>
        </a:xfrm>
      </xdr:grpSpPr>
      <xdr:pic>
        <xdr:nvPicPr>
          <xdr:cNvPr id="12" name="Grafik 11">
            <a:extLst>
              <a:ext uri="{FF2B5EF4-FFF2-40B4-BE49-F238E27FC236}">
                <a16:creationId xmlns:a16="http://schemas.microsoft.com/office/drawing/2014/main" id="{8DD617BD-409D-E10E-5FE1-2BEE53556CD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13" name="Textfeld 12">
            <a:extLst>
              <a:ext uri="{FF2B5EF4-FFF2-40B4-BE49-F238E27FC236}">
                <a16:creationId xmlns:a16="http://schemas.microsoft.com/office/drawing/2014/main" id="{9295CFF8-0DC2-EF87-7151-238010D93476}"/>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2.2 </a:t>
            </a:r>
            <a:r>
              <a:rPr lang="de-CH" sz="900" b="1">
                <a:solidFill>
                  <a:schemeClr val="tx1">
                    <a:lumMod val="75000"/>
                    <a:lumOff val="25000"/>
                  </a:schemeClr>
                </a:solidFill>
              </a:rPr>
              <a:t>Auftrag</a:t>
            </a:r>
          </a:p>
        </xdr:txBody>
      </xdr:sp>
    </xdr:grpSp>
    <xdr:clientData/>
  </xdr:twoCellAnchor>
</xdr:wsDr>
</file>

<file path=xl/drawings/drawing5.xml><?xml version="1.0" encoding="utf-8"?>
<xdr:wsDr xmlns:xdr="http://schemas.openxmlformats.org/drawingml/2006/spreadsheetDrawing" xmlns:a="http://schemas.openxmlformats.org/drawingml/2006/main">
  <xdr:oneCellAnchor>
    <xdr:from>
      <xdr:col>3</xdr:col>
      <xdr:colOff>777008</xdr:colOff>
      <xdr:row>42</xdr:row>
      <xdr:rowOff>32844</xdr:rowOff>
    </xdr:from>
    <xdr:ext cx="336323" cy="325276"/>
    <xdr:pic>
      <xdr:nvPicPr>
        <xdr:cNvPr id="2" name="Grafik 1" descr="Klemmbrett abgehakt Silhouette">
          <a:extLst>
            <a:ext uri="{FF2B5EF4-FFF2-40B4-BE49-F238E27FC236}">
              <a16:creationId xmlns:a16="http://schemas.microsoft.com/office/drawing/2014/main" id="{A2FE4F87-C84D-44BD-AC3C-1A803E718A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15283" y="7776669"/>
          <a:ext cx="336323" cy="325276"/>
        </a:xfrm>
        <a:prstGeom prst="rect">
          <a:avLst/>
        </a:prstGeom>
      </xdr:spPr>
    </xdr:pic>
    <xdr:clientData/>
  </xdr:oneCellAnchor>
  <xdr:oneCellAnchor>
    <xdr:from>
      <xdr:col>5</xdr:col>
      <xdr:colOff>558363</xdr:colOff>
      <xdr:row>42</xdr:row>
      <xdr:rowOff>39414</xdr:rowOff>
    </xdr:from>
    <xdr:ext cx="380350" cy="364469"/>
    <xdr:pic>
      <xdr:nvPicPr>
        <xdr:cNvPr id="3" name="Grafik 2" descr="Kommentar (wichtig) Silhouette">
          <a:extLst>
            <a:ext uri="{FF2B5EF4-FFF2-40B4-BE49-F238E27FC236}">
              <a16:creationId xmlns:a16="http://schemas.microsoft.com/office/drawing/2014/main" id="{9C9C01B9-EC81-4024-8FCA-1ED07843C08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111188" y="7783239"/>
          <a:ext cx="380350" cy="364469"/>
        </a:xfrm>
        <a:prstGeom prst="rect">
          <a:avLst/>
        </a:prstGeom>
      </xdr:spPr>
    </xdr:pic>
    <xdr:clientData/>
  </xdr:oneCellAnchor>
  <xdr:oneCellAnchor>
    <xdr:from>
      <xdr:col>8</xdr:col>
      <xdr:colOff>755430</xdr:colOff>
      <xdr:row>42</xdr:row>
      <xdr:rowOff>6570</xdr:rowOff>
    </xdr:from>
    <xdr:ext cx="358119" cy="361296"/>
    <xdr:pic>
      <xdr:nvPicPr>
        <xdr:cNvPr id="4" name="Grafik 3" descr="Fernglas Silhouette">
          <a:extLst>
            <a:ext uri="{FF2B5EF4-FFF2-40B4-BE49-F238E27FC236}">
              <a16:creationId xmlns:a16="http://schemas.microsoft.com/office/drawing/2014/main" id="{B18BFA9C-F30D-48D9-B421-AFFA21C8129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89480" y="7750395"/>
          <a:ext cx="358119" cy="361296"/>
        </a:xfrm>
        <a:prstGeom prst="rect">
          <a:avLst/>
        </a:prstGeom>
      </xdr:spPr>
    </xdr:pic>
    <xdr:clientData/>
  </xdr:oneCellAnchor>
  <xdr:twoCellAnchor>
    <xdr:from>
      <xdr:col>8</xdr:col>
      <xdr:colOff>58084</xdr:colOff>
      <xdr:row>18</xdr:row>
      <xdr:rowOff>78067</xdr:rowOff>
    </xdr:from>
    <xdr:to>
      <xdr:col>8</xdr:col>
      <xdr:colOff>1039031</xdr:colOff>
      <xdr:row>19</xdr:row>
      <xdr:rowOff>133077</xdr:rowOff>
    </xdr:to>
    <xdr:grpSp>
      <xdr:nvGrpSpPr>
        <xdr:cNvPr id="5" name="Gruppieren 4">
          <a:hlinkClick xmlns:r="http://schemas.openxmlformats.org/officeDocument/2006/relationships" r:id="rId7"/>
          <a:extLst>
            <a:ext uri="{FF2B5EF4-FFF2-40B4-BE49-F238E27FC236}">
              <a16:creationId xmlns:a16="http://schemas.microsoft.com/office/drawing/2014/main" id="{E6227B96-2DA4-451E-B1B8-F8CB8A3242B2}"/>
            </a:ext>
          </a:extLst>
        </xdr:cNvPr>
        <xdr:cNvGrpSpPr/>
      </xdr:nvGrpSpPr>
      <xdr:grpSpPr>
        <a:xfrm>
          <a:off x="5800298" y="3398210"/>
          <a:ext cx="980947" cy="245510"/>
          <a:chOff x="4130444" y="3557713"/>
          <a:chExt cx="768976" cy="216568"/>
        </a:xfrm>
      </xdr:grpSpPr>
      <xdr:pic>
        <xdr:nvPicPr>
          <xdr:cNvPr id="6" name="Grafik 5">
            <a:extLst>
              <a:ext uri="{FF2B5EF4-FFF2-40B4-BE49-F238E27FC236}">
                <a16:creationId xmlns:a16="http://schemas.microsoft.com/office/drawing/2014/main" id="{0BAD8183-DD40-5AE4-90F6-2E0D1C1EEA2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7" name="Textfeld 6">
            <a:extLst>
              <a:ext uri="{FF2B5EF4-FFF2-40B4-BE49-F238E27FC236}">
                <a16:creationId xmlns:a16="http://schemas.microsoft.com/office/drawing/2014/main" id="{9F9178E0-D4E8-8929-4D6D-9CA52983DB78}"/>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a:solidFill>
                  <a:schemeClr val="tx1">
                    <a:lumMod val="75000"/>
                    <a:lumOff val="25000"/>
                  </a:schemeClr>
                </a:solidFill>
              </a:rPr>
              <a:t>2.4</a:t>
            </a:r>
            <a:r>
              <a:rPr lang="de-CH" sz="900" b="1" baseline="0">
                <a:solidFill>
                  <a:schemeClr val="tx1">
                    <a:lumMod val="75000"/>
                    <a:lumOff val="25000"/>
                  </a:schemeClr>
                </a:solidFill>
              </a:rPr>
              <a:t> </a:t>
            </a:r>
            <a:r>
              <a:rPr lang="de-CH" sz="900" b="1">
                <a:solidFill>
                  <a:schemeClr val="tx1">
                    <a:lumMod val="75000"/>
                    <a:lumOff val="25000"/>
                  </a:schemeClr>
                </a:solidFill>
              </a:rPr>
              <a:t>Auftrag</a:t>
            </a:r>
          </a:p>
        </xdr:txBody>
      </xdr:sp>
    </xdr:grpSp>
    <xdr:clientData/>
  </xdr:twoCellAnchor>
  <xdr:twoCellAnchor>
    <xdr:from>
      <xdr:col>8</xdr:col>
      <xdr:colOff>83297</xdr:colOff>
      <xdr:row>34</xdr:row>
      <xdr:rowOff>94689</xdr:rowOff>
    </xdr:from>
    <xdr:to>
      <xdr:col>8</xdr:col>
      <xdr:colOff>1073769</xdr:colOff>
      <xdr:row>35</xdr:row>
      <xdr:rowOff>152874</xdr:rowOff>
    </xdr:to>
    <xdr:grpSp>
      <xdr:nvGrpSpPr>
        <xdr:cNvPr id="8" name="Gruppieren 7">
          <a:hlinkClick xmlns:r="http://schemas.openxmlformats.org/officeDocument/2006/relationships" r:id="rId9"/>
          <a:extLst>
            <a:ext uri="{FF2B5EF4-FFF2-40B4-BE49-F238E27FC236}">
              <a16:creationId xmlns:a16="http://schemas.microsoft.com/office/drawing/2014/main" id="{3FF8C6D5-BE2C-4F01-AE76-7461A9B379E4}"/>
            </a:ext>
          </a:extLst>
        </xdr:cNvPr>
        <xdr:cNvGrpSpPr/>
      </xdr:nvGrpSpPr>
      <xdr:grpSpPr>
        <a:xfrm>
          <a:off x="5825511" y="6381189"/>
          <a:ext cx="990472" cy="248685"/>
          <a:chOff x="4130444" y="3557713"/>
          <a:chExt cx="768976" cy="216568"/>
        </a:xfrm>
      </xdr:grpSpPr>
      <xdr:pic>
        <xdr:nvPicPr>
          <xdr:cNvPr id="9" name="Grafik 8">
            <a:extLst>
              <a:ext uri="{FF2B5EF4-FFF2-40B4-BE49-F238E27FC236}">
                <a16:creationId xmlns:a16="http://schemas.microsoft.com/office/drawing/2014/main" id="{5D237FBB-4BD8-E442-825E-A7BE130A61C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10" name="Textfeld 9">
            <a:extLst>
              <a:ext uri="{FF2B5EF4-FFF2-40B4-BE49-F238E27FC236}">
                <a16:creationId xmlns:a16="http://schemas.microsoft.com/office/drawing/2014/main" id="{2B951676-5D42-6A0B-5C8E-6F526DF97F0F}"/>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2.2 </a:t>
            </a:r>
            <a:r>
              <a:rPr lang="de-CH" sz="900" b="1">
                <a:solidFill>
                  <a:schemeClr val="tx1">
                    <a:lumMod val="75000"/>
                    <a:lumOff val="25000"/>
                  </a:schemeClr>
                </a:solidFill>
              </a:rPr>
              <a:t>Auftrag</a:t>
            </a:r>
          </a:p>
        </xdr:txBody>
      </xdr:sp>
    </xdr:grpSp>
    <xdr:clientData/>
  </xdr:twoCellAnchor>
</xdr:wsDr>
</file>

<file path=xl/drawings/drawing6.xml><?xml version="1.0" encoding="utf-8"?>
<xdr:wsDr xmlns:xdr="http://schemas.openxmlformats.org/drawingml/2006/spreadsheetDrawing" xmlns:a="http://schemas.openxmlformats.org/drawingml/2006/main">
  <xdr:oneCellAnchor>
    <xdr:from>
      <xdr:col>3</xdr:col>
      <xdr:colOff>777008</xdr:colOff>
      <xdr:row>42</xdr:row>
      <xdr:rowOff>32844</xdr:rowOff>
    </xdr:from>
    <xdr:ext cx="336323" cy="325276"/>
    <xdr:pic>
      <xdr:nvPicPr>
        <xdr:cNvPr id="2" name="Grafik 1" descr="Klemmbrett abgehakt Silhouette">
          <a:extLst>
            <a:ext uri="{FF2B5EF4-FFF2-40B4-BE49-F238E27FC236}">
              <a16:creationId xmlns:a16="http://schemas.microsoft.com/office/drawing/2014/main" id="{A0967529-F350-4D2A-BA08-85389608C6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02583" y="7640144"/>
          <a:ext cx="336323" cy="325276"/>
        </a:xfrm>
        <a:prstGeom prst="rect">
          <a:avLst/>
        </a:prstGeom>
      </xdr:spPr>
    </xdr:pic>
    <xdr:clientData/>
  </xdr:oneCellAnchor>
  <xdr:oneCellAnchor>
    <xdr:from>
      <xdr:col>5</xdr:col>
      <xdr:colOff>558363</xdr:colOff>
      <xdr:row>42</xdr:row>
      <xdr:rowOff>39414</xdr:rowOff>
    </xdr:from>
    <xdr:ext cx="380350" cy="364469"/>
    <xdr:pic>
      <xdr:nvPicPr>
        <xdr:cNvPr id="3" name="Grafik 2" descr="Kommentar (wichtig) Silhouette">
          <a:extLst>
            <a:ext uri="{FF2B5EF4-FFF2-40B4-BE49-F238E27FC236}">
              <a16:creationId xmlns:a16="http://schemas.microsoft.com/office/drawing/2014/main" id="{90E049E5-C4B1-47EA-BEE4-EEE1105A67F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095313" y="7649889"/>
          <a:ext cx="380350" cy="364469"/>
        </a:xfrm>
        <a:prstGeom prst="rect">
          <a:avLst/>
        </a:prstGeom>
      </xdr:spPr>
    </xdr:pic>
    <xdr:clientData/>
  </xdr:oneCellAnchor>
  <xdr:oneCellAnchor>
    <xdr:from>
      <xdr:col>8</xdr:col>
      <xdr:colOff>755430</xdr:colOff>
      <xdr:row>42</xdr:row>
      <xdr:rowOff>6570</xdr:rowOff>
    </xdr:from>
    <xdr:ext cx="358119" cy="361296"/>
    <xdr:pic>
      <xdr:nvPicPr>
        <xdr:cNvPr id="4" name="Grafik 3" descr="Fernglas Silhouette">
          <a:extLst>
            <a:ext uri="{FF2B5EF4-FFF2-40B4-BE49-F238E27FC236}">
              <a16:creationId xmlns:a16="http://schemas.microsoft.com/office/drawing/2014/main" id="{21859A6F-8C4C-4156-BAB5-585C1EDE2CB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57730" y="7620220"/>
          <a:ext cx="358119" cy="361296"/>
        </a:xfrm>
        <a:prstGeom prst="rect">
          <a:avLst/>
        </a:prstGeom>
      </xdr:spPr>
    </xdr:pic>
    <xdr:clientData/>
  </xdr:oneCellAnchor>
  <xdr:twoCellAnchor>
    <xdr:from>
      <xdr:col>8</xdr:col>
      <xdr:colOff>58084</xdr:colOff>
      <xdr:row>18</xdr:row>
      <xdr:rowOff>87592</xdr:rowOff>
    </xdr:from>
    <xdr:to>
      <xdr:col>8</xdr:col>
      <xdr:colOff>1039031</xdr:colOff>
      <xdr:row>19</xdr:row>
      <xdr:rowOff>142602</xdr:rowOff>
    </xdr:to>
    <xdr:grpSp>
      <xdr:nvGrpSpPr>
        <xdr:cNvPr id="5" name="Gruppieren 4">
          <a:hlinkClick xmlns:r="http://schemas.openxmlformats.org/officeDocument/2006/relationships" r:id="rId7"/>
          <a:extLst>
            <a:ext uri="{FF2B5EF4-FFF2-40B4-BE49-F238E27FC236}">
              <a16:creationId xmlns:a16="http://schemas.microsoft.com/office/drawing/2014/main" id="{480DD6BB-CDF2-4A72-9341-52362A0C01D1}"/>
            </a:ext>
          </a:extLst>
        </xdr:cNvPr>
        <xdr:cNvGrpSpPr/>
      </xdr:nvGrpSpPr>
      <xdr:grpSpPr>
        <a:xfrm>
          <a:off x="5792134" y="3392767"/>
          <a:ext cx="980947" cy="245510"/>
          <a:chOff x="4130444" y="3557713"/>
          <a:chExt cx="768976" cy="216568"/>
        </a:xfrm>
      </xdr:grpSpPr>
      <xdr:pic>
        <xdr:nvPicPr>
          <xdr:cNvPr id="6" name="Grafik 5">
            <a:extLst>
              <a:ext uri="{FF2B5EF4-FFF2-40B4-BE49-F238E27FC236}">
                <a16:creationId xmlns:a16="http://schemas.microsoft.com/office/drawing/2014/main" id="{0AFE714C-4357-63A8-F89C-6A9298D427E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7" name="Textfeld 6">
            <a:extLst>
              <a:ext uri="{FF2B5EF4-FFF2-40B4-BE49-F238E27FC236}">
                <a16:creationId xmlns:a16="http://schemas.microsoft.com/office/drawing/2014/main" id="{8D8D3C31-C60B-095F-059C-D05A89355A0D}"/>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a:solidFill>
                  <a:schemeClr val="tx1">
                    <a:lumMod val="75000"/>
                    <a:lumOff val="25000"/>
                  </a:schemeClr>
                </a:solidFill>
              </a:rPr>
              <a:t>2.4</a:t>
            </a:r>
            <a:r>
              <a:rPr lang="de-CH" sz="900" b="1" baseline="0">
                <a:solidFill>
                  <a:schemeClr val="tx1">
                    <a:lumMod val="75000"/>
                    <a:lumOff val="25000"/>
                  </a:schemeClr>
                </a:solidFill>
              </a:rPr>
              <a:t> </a:t>
            </a:r>
            <a:r>
              <a:rPr lang="de-CH" sz="900" b="1">
                <a:solidFill>
                  <a:schemeClr val="tx1">
                    <a:lumMod val="75000"/>
                    <a:lumOff val="25000"/>
                  </a:schemeClr>
                </a:solidFill>
              </a:rPr>
              <a:t>Auftrag</a:t>
            </a:r>
          </a:p>
        </xdr:txBody>
      </xdr:sp>
    </xdr:grpSp>
    <xdr:clientData/>
  </xdr:twoCellAnchor>
  <xdr:twoCellAnchor>
    <xdr:from>
      <xdr:col>8</xdr:col>
      <xdr:colOff>92822</xdr:colOff>
      <xdr:row>33</xdr:row>
      <xdr:rowOff>94689</xdr:rowOff>
    </xdr:from>
    <xdr:to>
      <xdr:col>8</xdr:col>
      <xdr:colOff>1083294</xdr:colOff>
      <xdr:row>34</xdr:row>
      <xdr:rowOff>143349</xdr:rowOff>
    </xdr:to>
    <xdr:grpSp>
      <xdr:nvGrpSpPr>
        <xdr:cNvPr id="8" name="Gruppieren 7">
          <a:hlinkClick xmlns:r="http://schemas.openxmlformats.org/officeDocument/2006/relationships" r:id="rId9"/>
          <a:extLst>
            <a:ext uri="{FF2B5EF4-FFF2-40B4-BE49-F238E27FC236}">
              <a16:creationId xmlns:a16="http://schemas.microsoft.com/office/drawing/2014/main" id="{F9BABE64-029A-442F-ABEF-6BBCF46ADB98}"/>
            </a:ext>
          </a:extLst>
        </xdr:cNvPr>
        <xdr:cNvGrpSpPr/>
      </xdr:nvGrpSpPr>
      <xdr:grpSpPr>
        <a:xfrm>
          <a:off x="5826872" y="6171639"/>
          <a:ext cx="990472" cy="248685"/>
          <a:chOff x="4130444" y="3557713"/>
          <a:chExt cx="768976" cy="216568"/>
        </a:xfrm>
      </xdr:grpSpPr>
      <xdr:pic>
        <xdr:nvPicPr>
          <xdr:cNvPr id="9" name="Grafik 8">
            <a:extLst>
              <a:ext uri="{FF2B5EF4-FFF2-40B4-BE49-F238E27FC236}">
                <a16:creationId xmlns:a16="http://schemas.microsoft.com/office/drawing/2014/main" id="{FB0B874D-1E3D-D936-B861-E220ACAF267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10" name="Textfeld 9">
            <a:extLst>
              <a:ext uri="{FF2B5EF4-FFF2-40B4-BE49-F238E27FC236}">
                <a16:creationId xmlns:a16="http://schemas.microsoft.com/office/drawing/2014/main" id="{59D66B2E-2541-E80C-A997-B4FC49D328D4}"/>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2.2 </a:t>
            </a:r>
            <a:r>
              <a:rPr lang="de-CH" sz="900" b="1">
                <a:solidFill>
                  <a:schemeClr val="tx1">
                    <a:lumMod val="75000"/>
                    <a:lumOff val="25000"/>
                  </a:schemeClr>
                </a:solidFill>
              </a:rPr>
              <a:t>Auftrag</a:t>
            </a:r>
          </a:p>
        </xdr:txBody>
      </xdr:sp>
    </xdr:grpSp>
    <xdr:clientData/>
  </xdr:twoCellAnchor>
</xdr:wsDr>
</file>

<file path=xl/drawings/drawing7.xml><?xml version="1.0" encoding="utf-8"?>
<xdr:wsDr xmlns:xdr="http://schemas.openxmlformats.org/drawingml/2006/spreadsheetDrawing" xmlns:a="http://schemas.openxmlformats.org/drawingml/2006/main">
  <xdr:oneCellAnchor>
    <xdr:from>
      <xdr:col>3</xdr:col>
      <xdr:colOff>777008</xdr:colOff>
      <xdr:row>42</xdr:row>
      <xdr:rowOff>32844</xdr:rowOff>
    </xdr:from>
    <xdr:ext cx="336323" cy="325276"/>
    <xdr:pic>
      <xdr:nvPicPr>
        <xdr:cNvPr id="2" name="Grafik 1" descr="Klemmbrett abgehakt Silhouette">
          <a:extLst>
            <a:ext uri="{FF2B5EF4-FFF2-40B4-BE49-F238E27FC236}">
              <a16:creationId xmlns:a16="http://schemas.microsoft.com/office/drawing/2014/main" id="{2430BBA8-1D90-4E43-8FD5-2466A554B0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15283" y="7776669"/>
          <a:ext cx="336323" cy="325276"/>
        </a:xfrm>
        <a:prstGeom prst="rect">
          <a:avLst/>
        </a:prstGeom>
      </xdr:spPr>
    </xdr:pic>
    <xdr:clientData/>
  </xdr:oneCellAnchor>
  <xdr:oneCellAnchor>
    <xdr:from>
      <xdr:col>5</xdr:col>
      <xdr:colOff>558363</xdr:colOff>
      <xdr:row>42</xdr:row>
      <xdr:rowOff>39414</xdr:rowOff>
    </xdr:from>
    <xdr:ext cx="380350" cy="364469"/>
    <xdr:pic>
      <xdr:nvPicPr>
        <xdr:cNvPr id="3" name="Grafik 2" descr="Kommentar (wichtig) Silhouette">
          <a:extLst>
            <a:ext uri="{FF2B5EF4-FFF2-40B4-BE49-F238E27FC236}">
              <a16:creationId xmlns:a16="http://schemas.microsoft.com/office/drawing/2014/main" id="{7E92FBDE-7843-4CBA-82B2-6C7A0B5F4C1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111188" y="7783239"/>
          <a:ext cx="380350" cy="364469"/>
        </a:xfrm>
        <a:prstGeom prst="rect">
          <a:avLst/>
        </a:prstGeom>
      </xdr:spPr>
    </xdr:pic>
    <xdr:clientData/>
  </xdr:oneCellAnchor>
  <xdr:oneCellAnchor>
    <xdr:from>
      <xdr:col>8</xdr:col>
      <xdr:colOff>755430</xdr:colOff>
      <xdr:row>42</xdr:row>
      <xdr:rowOff>6570</xdr:rowOff>
    </xdr:from>
    <xdr:ext cx="358119" cy="361296"/>
    <xdr:pic>
      <xdr:nvPicPr>
        <xdr:cNvPr id="4" name="Grafik 3" descr="Fernglas Silhouette">
          <a:extLst>
            <a:ext uri="{FF2B5EF4-FFF2-40B4-BE49-F238E27FC236}">
              <a16:creationId xmlns:a16="http://schemas.microsoft.com/office/drawing/2014/main" id="{1EB5F1CA-1367-4122-8B5A-1A93E7BBA94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89480" y="7750395"/>
          <a:ext cx="358119" cy="361296"/>
        </a:xfrm>
        <a:prstGeom prst="rect">
          <a:avLst/>
        </a:prstGeom>
      </xdr:spPr>
    </xdr:pic>
    <xdr:clientData/>
  </xdr:oneCellAnchor>
  <xdr:twoCellAnchor>
    <xdr:from>
      <xdr:col>8</xdr:col>
      <xdr:colOff>75453</xdr:colOff>
      <xdr:row>27</xdr:row>
      <xdr:rowOff>169395</xdr:rowOff>
    </xdr:from>
    <xdr:to>
      <xdr:col>8</xdr:col>
      <xdr:colOff>1056400</xdr:colOff>
      <xdr:row>29</xdr:row>
      <xdr:rowOff>33905</xdr:rowOff>
    </xdr:to>
    <xdr:grpSp>
      <xdr:nvGrpSpPr>
        <xdr:cNvPr id="5" name="Gruppieren 4">
          <a:hlinkClick xmlns:r="http://schemas.openxmlformats.org/officeDocument/2006/relationships" r:id="rId7"/>
          <a:extLst>
            <a:ext uri="{FF2B5EF4-FFF2-40B4-BE49-F238E27FC236}">
              <a16:creationId xmlns:a16="http://schemas.microsoft.com/office/drawing/2014/main" id="{50EB24D6-AA67-4B9A-9196-67E12DC2D261}"/>
            </a:ext>
          </a:extLst>
        </xdr:cNvPr>
        <xdr:cNvGrpSpPr/>
      </xdr:nvGrpSpPr>
      <xdr:grpSpPr>
        <a:xfrm>
          <a:off x="5809503" y="5189070"/>
          <a:ext cx="980947" cy="245510"/>
          <a:chOff x="4130444" y="3557713"/>
          <a:chExt cx="768976" cy="216568"/>
        </a:xfrm>
      </xdr:grpSpPr>
      <xdr:pic>
        <xdr:nvPicPr>
          <xdr:cNvPr id="6" name="Grafik 5">
            <a:extLst>
              <a:ext uri="{FF2B5EF4-FFF2-40B4-BE49-F238E27FC236}">
                <a16:creationId xmlns:a16="http://schemas.microsoft.com/office/drawing/2014/main" id="{001766EC-53A9-41AE-40E5-016C4953963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7" name="Textfeld 6">
            <a:extLst>
              <a:ext uri="{FF2B5EF4-FFF2-40B4-BE49-F238E27FC236}">
                <a16:creationId xmlns:a16="http://schemas.microsoft.com/office/drawing/2014/main" id="{A8DCCAF2-E0ED-4185-870B-43F607F8D15C}"/>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a:solidFill>
                  <a:schemeClr val="tx1">
                    <a:lumMod val="75000"/>
                    <a:lumOff val="25000"/>
                  </a:schemeClr>
                </a:solidFill>
              </a:rPr>
              <a:t>2.4</a:t>
            </a:r>
            <a:r>
              <a:rPr lang="de-CH" sz="900" b="1" baseline="0">
                <a:solidFill>
                  <a:schemeClr val="tx1">
                    <a:lumMod val="75000"/>
                    <a:lumOff val="25000"/>
                  </a:schemeClr>
                </a:solidFill>
              </a:rPr>
              <a:t> </a:t>
            </a:r>
            <a:r>
              <a:rPr lang="de-CH" sz="900" b="1">
                <a:solidFill>
                  <a:schemeClr val="tx1">
                    <a:lumMod val="75000"/>
                    <a:lumOff val="25000"/>
                  </a:schemeClr>
                </a:solidFill>
              </a:rPr>
              <a:t>Auftrag</a:t>
            </a:r>
          </a:p>
        </xdr:txBody>
      </xdr:sp>
    </xdr:grpSp>
    <xdr:clientData/>
  </xdr:twoCellAnchor>
  <xdr:twoCellAnchor>
    <xdr:from>
      <xdr:col>8</xdr:col>
      <xdr:colOff>83297</xdr:colOff>
      <xdr:row>37</xdr:row>
      <xdr:rowOff>123264</xdr:rowOff>
    </xdr:from>
    <xdr:to>
      <xdr:col>8</xdr:col>
      <xdr:colOff>1073769</xdr:colOff>
      <xdr:row>38</xdr:row>
      <xdr:rowOff>181449</xdr:rowOff>
    </xdr:to>
    <xdr:grpSp>
      <xdr:nvGrpSpPr>
        <xdr:cNvPr id="8" name="Gruppieren 7">
          <a:hlinkClick xmlns:r="http://schemas.openxmlformats.org/officeDocument/2006/relationships" r:id="rId9"/>
          <a:extLst>
            <a:ext uri="{FF2B5EF4-FFF2-40B4-BE49-F238E27FC236}">
              <a16:creationId xmlns:a16="http://schemas.microsoft.com/office/drawing/2014/main" id="{FF87F54C-661C-4B8B-BC3F-18C9307A7CAA}"/>
            </a:ext>
          </a:extLst>
        </xdr:cNvPr>
        <xdr:cNvGrpSpPr/>
      </xdr:nvGrpSpPr>
      <xdr:grpSpPr>
        <a:xfrm>
          <a:off x="5817347" y="6990789"/>
          <a:ext cx="990472" cy="248685"/>
          <a:chOff x="4130444" y="3557713"/>
          <a:chExt cx="768976" cy="216568"/>
        </a:xfrm>
      </xdr:grpSpPr>
      <xdr:pic>
        <xdr:nvPicPr>
          <xdr:cNvPr id="9" name="Grafik 8">
            <a:extLst>
              <a:ext uri="{FF2B5EF4-FFF2-40B4-BE49-F238E27FC236}">
                <a16:creationId xmlns:a16="http://schemas.microsoft.com/office/drawing/2014/main" id="{2F4F7DA4-DB0F-32C6-4EA6-5839746F142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10" name="Textfeld 9">
            <a:extLst>
              <a:ext uri="{FF2B5EF4-FFF2-40B4-BE49-F238E27FC236}">
                <a16:creationId xmlns:a16="http://schemas.microsoft.com/office/drawing/2014/main" id="{612CBFF8-18F7-A204-52F0-C29705A295CF}"/>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2.2 </a:t>
            </a:r>
            <a:r>
              <a:rPr lang="de-CH" sz="900" b="1">
                <a:solidFill>
                  <a:schemeClr val="tx1">
                    <a:lumMod val="75000"/>
                    <a:lumOff val="25000"/>
                  </a:schemeClr>
                </a:solidFill>
              </a:rPr>
              <a:t>Auftrag</a:t>
            </a:r>
          </a:p>
        </xdr:txBody>
      </xdr:sp>
    </xdr:grpSp>
    <xdr:clientData/>
  </xdr:twoCellAnchor>
  <xdr:twoCellAnchor>
    <xdr:from>
      <xdr:col>8</xdr:col>
      <xdr:colOff>92822</xdr:colOff>
      <xdr:row>33</xdr:row>
      <xdr:rowOff>94689</xdr:rowOff>
    </xdr:from>
    <xdr:to>
      <xdr:col>8</xdr:col>
      <xdr:colOff>1083294</xdr:colOff>
      <xdr:row>34</xdr:row>
      <xdr:rowOff>143349</xdr:rowOff>
    </xdr:to>
    <xdr:grpSp>
      <xdr:nvGrpSpPr>
        <xdr:cNvPr id="11" name="Gruppieren 10">
          <a:hlinkClick xmlns:r="http://schemas.openxmlformats.org/officeDocument/2006/relationships" r:id="rId9"/>
          <a:extLst>
            <a:ext uri="{FF2B5EF4-FFF2-40B4-BE49-F238E27FC236}">
              <a16:creationId xmlns:a16="http://schemas.microsoft.com/office/drawing/2014/main" id="{DF12875E-DC14-48FE-9B17-B863257E5158}"/>
            </a:ext>
          </a:extLst>
        </xdr:cNvPr>
        <xdr:cNvGrpSpPr/>
      </xdr:nvGrpSpPr>
      <xdr:grpSpPr>
        <a:xfrm>
          <a:off x="5826872" y="6171639"/>
          <a:ext cx="990472" cy="248685"/>
          <a:chOff x="4130444" y="3557713"/>
          <a:chExt cx="768976" cy="216568"/>
        </a:xfrm>
      </xdr:grpSpPr>
      <xdr:pic>
        <xdr:nvPicPr>
          <xdr:cNvPr id="12" name="Grafik 11">
            <a:extLst>
              <a:ext uri="{FF2B5EF4-FFF2-40B4-BE49-F238E27FC236}">
                <a16:creationId xmlns:a16="http://schemas.microsoft.com/office/drawing/2014/main" id="{68448363-5C5F-E7F3-C973-379EF5FB7F4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13" name="Textfeld 12">
            <a:extLst>
              <a:ext uri="{FF2B5EF4-FFF2-40B4-BE49-F238E27FC236}">
                <a16:creationId xmlns:a16="http://schemas.microsoft.com/office/drawing/2014/main" id="{3684E3E3-CDD8-E01C-F343-08E6F4AA9D19}"/>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2.2 </a:t>
            </a:r>
            <a:r>
              <a:rPr lang="de-CH" sz="900" b="1">
                <a:solidFill>
                  <a:schemeClr val="tx1">
                    <a:lumMod val="75000"/>
                    <a:lumOff val="25000"/>
                  </a:schemeClr>
                </a:solidFill>
              </a:rPr>
              <a:t>Auftrag</a:t>
            </a:r>
          </a:p>
        </xdr:txBody>
      </xdr:sp>
    </xdr:grpSp>
    <xdr:clientData/>
  </xdr:twoCellAnchor>
  <xdr:twoCellAnchor editAs="oneCell">
    <xdr:from>
      <xdr:col>8</xdr:col>
      <xdr:colOff>224118</xdr:colOff>
      <xdr:row>25</xdr:row>
      <xdr:rowOff>156883</xdr:rowOff>
    </xdr:from>
    <xdr:to>
      <xdr:col>8</xdr:col>
      <xdr:colOff>649941</xdr:colOff>
      <xdr:row>28</xdr:row>
      <xdr:rowOff>11206</xdr:rowOff>
    </xdr:to>
    <xdr:pic>
      <xdr:nvPicPr>
        <xdr:cNvPr id="15" name="Grafik 14" descr="Volltreffer mit einfarbiger Füllung">
          <a:hlinkClick xmlns:r="http://schemas.openxmlformats.org/officeDocument/2006/relationships" r:id="rId10"/>
          <a:extLst>
            <a:ext uri="{FF2B5EF4-FFF2-40B4-BE49-F238E27FC236}">
              <a16:creationId xmlns:a16="http://schemas.microsoft.com/office/drawing/2014/main" id="{9D47C882-1C22-EC99-1061-287070D8700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961530" y="4807324"/>
          <a:ext cx="425823" cy="425823"/>
        </a:xfrm>
        <a:prstGeom prst="rect">
          <a:avLst/>
        </a:prstGeom>
      </xdr:spPr>
    </xdr:pic>
    <xdr:clientData/>
  </xdr:twoCellAnchor>
  <xdr:twoCellAnchor editAs="oneCell">
    <xdr:from>
      <xdr:col>3</xdr:col>
      <xdr:colOff>683559</xdr:colOff>
      <xdr:row>44</xdr:row>
      <xdr:rowOff>179294</xdr:rowOff>
    </xdr:from>
    <xdr:to>
      <xdr:col>3</xdr:col>
      <xdr:colOff>1109382</xdr:colOff>
      <xdr:row>46</xdr:row>
      <xdr:rowOff>201705</xdr:rowOff>
    </xdr:to>
    <xdr:pic>
      <xdr:nvPicPr>
        <xdr:cNvPr id="16" name="Grafik 15" descr="Volltreffer mit einfarbiger Füllung">
          <a:hlinkClick xmlns:r="http://schemas.openxmlformats.org/officeDocument/2006/relationships" r:id="rId10"/>
          <a:extLst>
            <a:ext uri="{FF2B5EF4-FFF2-40B4-BE49-F238E27FC236}">
              <a16:creationId xmlns:a16="http://schemas.microsoft.com/office/drawing/2014/main" id="{5B6570AC-7DA8-4164-B0D4-01B5F056D40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117912" y="8348382"/>
          <a:ext cx="425823" cy="42582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3</xdr:col>
      <xdr:colOff>777008</xdr:colOff>
      <xdr:row>42</xdr:row>
      <xdr:rowOff>32844</xdr:rowOff>
    </xdr:from>
    <xdr:ext cx="336323" cy="325276"/>
    <xdr:pic>
      <xdr:nvPicPr>
        <xdr:cNvPr id="2" name="Grafik 1" descr="Klemmbrett abgehakt Silhouette">
          <a:extLst>
            <a:ext uri="{FF2B5EF4-FFF2-40B4-BE49-F238E27FC236}">
              <a16:creationId xmlns:a16="http://schemas.microsoft.com/office/drawing/2014/main" id="{BF4EDA43-4D4B-4A28-93A4-81C246B2C1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15283" y="7776669"/>
          <a:ext cx="336323" cy="325276"/>
        </a:xfrm>
        <a:prstGeom prst="rect">
          <a:avLst/>
        </a:prstGeom>
      </xdr:spPr>
    </xdr:pic>
    <xdr:clientData/>
  </xdr:oneCellAnchor>
  <xdr:oneCellAnchor>
    <xdr:from>
      <xdr:col>5</xdr:col>
      <xdr:colOff>558363</xdr:colOff>
      <xdr:row>42</xdr:row>
      <xdr:rowOff>39414</xdr:rowOff>
    </xdr:from>
    <xdr:ext cx="380350" cy="364469"/>
    <xdr:pic>
      <xdr:nvPicPr>
        <xdr:cNvPr id="3" name="Grafik 2" descr="Kommentar (wichtig) Silhouette">
          <a:extLst>
            <a:ext uri="{FF2B5EF4-FFF2-40B4-BE49-F238E27FC236}">
              <a16:creationId xmlns:a16="http://schemas.microsoft.com/office/drawing/2014/main" id="{8D16DAB7-0F45-44FC-9F04-2091B8FCD2F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111188" y="7783239"/>
          <a:ext cx="380350" cy="364469"/>
        </a:xfrm>
        <a:prstGeom prst="rect">
          <a:avLst/>
        </a:prstGeom>
      </xdr:spPr>
    </xdr:pic>
    <xdr:clientData/>
  </xdr:oneCellAnchor>
  <xdr:oneCellAnchor>
    <xdr:from>
      <xdr:col>8</xdr:col>
      <xdr:colOff>755430</xdr:colOff>
      <xdr:row>42</xdr:row>
      <xdr:rowOff>6570</xdr:rowOff>
    </xdr:from>
    <xdr:ext cx="358119" cy="361296"/>
    <xdr:pic>
      <xdr:nvPicPr>
        <xdr:cNvPr id="4" name="Grafik 3" descr="Fernglas Silhouette">
          <a:extLst>
            <a:ext uri="{FF2B5EF4-FFF2-40B4-BE49-F238E27FC236}">
              <a16:creationId xmlns:a16="http://schemas.microsoft.com/office/drawing/2014/main" id="{28DB09A8-3150-45B7-978B-8F3A0CAB5FD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89480" y="7750395"/>
          <a:ext cx="358119" cy="361296"/>
        </a:xfrm>
        <a:prstGeom prst="rect">
          <a:avLst/>
        </a:prstGeom>
      </xdr:spPr>
    </xdr:pic>
    <xdr:clientData/>
  </xdr:oneCellAnchor>
  <xdr:twoCellAnchor>
    <xdr:from>
      <xdr:col>8</xdr:col>
      <xdr:colOff>56403</xdr:colOff>
      <xdr:row>23</xdr:row>
      <xdr:rowOff>102720</xdr:rowOff>
    </xdr:from>
    <xdr:to>
      <xdr:col>8</xdr:col>
      <xdr:colOff>1037350</xdr:colOff>
      <xdr:row>24</xdr:row>
      <xdr:rowOff>157730</xdr:rowOff>
    </xdr:to>
    <xdr:grpSp>
      <xdr:nvGrpSpPr>
        <xdr:cNvPr id="5" name="Gruppieren 4">
          <a:hlinkClick xmlns:r="http://schemas.openxmlformats.org/officeDocument/2006/relationships" r:id="rId7"/>
          <a:extLst>
            <a:ext uri="{FF2B5EF4-FFF2-40B4-BE49-F238E27FC236}">
              <a16:creationId xmlns:a16="http://schemas.microsoft.com/office/drawing/2014/main" id="{17AE84EA-7F45-4F3F-ABEE-8AFA610448A5}"/>
            </a:ext>
          </a:extLst>
        </xdr:cNvPr>
        <xdr:cNvGrpSpPr/>
      </xdr:nvGrpSpPr>
      <xdr:grpSpPr>
        <a:xfrm>
          <a:off x="5790453" y="4360395"/>
          <a:ext cx="980947" cy="245510"/>
          <a:chOff x="4130444" y="3557713"/>
          <a:chExt cx="768976" cy="216568"/>
        </a:xfrm>
      </xdr:grpSpPr>
      <xdr:pic>
        <xdr:nvPicPr>
          <xdr:cNvPr id="6" name="Grafik 5">
            <a:extLst>
              <a:ext uri="{FF2B5EF4-FFF2-40B4-BE49-F238E27FC236}">
                <a16:creationId xmlns:a16="http://schemas.microsoft.com/office/drawing/2014/main" id="{1B0B2C0B-3DC7-A4A5-BEA4-D8AB0D90458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7" name="Textfeld 6">
            <a:extLst>
              <a:ext uri="{FF2B5EF4-FFF2-40B4-BE49-F238E27FC236}">
                <a16:creationId xmlns:a16="http://schemas.microsoft.com/office/drawing/2014/main" id="{29E4FD74-311F-CD88-C074-1E6E686720FB}"/>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3.01 </a:t>
            </a:r>
            <a:r>
              <a:rPr lang="de-CH" sz="900" b="1">
                <a:solidFill>
                  <a:schemeClr val="tx1">
                    <a:lumMod val="75000"/>
                    <a:lumOff val="25000"/>
                  </a:schemeClr>
                </a:solidFill>
              </a:rPr>
              <a:t>Auftrag</a:t>
            </a:r>
          </a:p>
        </xdr:txBody>
      </xdr:sp>
    </xdr:grpSp>
    <xdr:clientData/>
  </xdr:twoCellAnchor>
  <xdr:twoCellAnchor>
    <xdr:from>
      <xdr:col>8</xdr:col>
      <xdr:colOff>83297</xdr:colOff>
      <xdr:row>37</xdr:row>
      <xdr:rowOff>123264</xdr:rowOff>
    </xdr:from>
    <xdr:to>
      <xdr:col>8</xdr:col>
      <xdr:colOff>1073769</xdr:colOff>
      <xdr:row>38</xdr:row>
      <xdr:rowOff>181449</xdr:rowOff>
    </xdr:to>
    <xdr:grpSp>
      <xdr:nvGrpSpPr>
        <xdr:cNvPr id="8" name="Gruppieren 7">
          <a:extLst>
            <a:ext uri="{FF2B5EF4-FFF2-40B4-BE49-F238E27FC236}">
              <a16:creationId xmlns:a16="http://schemas.microsoft.com/office/drawing/2014/main" id="{13F81C4D-7285-46F5-AFE5-8CFB8AAE863A}"/>
            </a:ext>
          </a:extLst>
        </xdr:cNvPr>
        <xdr:cNvGrpSpPr/>
      </xdr:nvGrpSpPr>
      <xdr:grpSpPr>
        <a:xfrm>
          <a:off x="5817347" y="6990789"/>
          <a:ext cx="990472" cy="248685"/>
          <a:chOff x="4130444" y="3557713"/>
          <a:chExt cx="768976" cy="216568"/>
        </a:xfrm>
      </xdr:grpSpPr>
      <xdr:pic>
        <xdr:nvPicPr>
          <xdr:cNvPr id="9" name="Grafik 8">
            <a:extLst>
              <a:ext uri="{FF2B5EF4-FFF2-40B4-BE49-F238E27FC236}">
                <a16:creationId xmlns:a16="http://schemas.microsoft.com/office/drawing/2014/main" id="{56FDBDFE-0FC1-BC07-9127-D38D877341F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10" name="Textfeld 9">
            <a:extLst>
              <a:ext uri="{FF2B5EF4-FFF2-40B4-BE49-F238E27FC236}">
                <a16:creationId xmlns:a16="http://schemas.microsoft.com/office/drawing/2014/main" id="{3C2F50F4-0953-DA5B-1509-C5CA56A293B7}"/>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2.2 </a:t>
            </a:r>
            <a:r>
              <a:rPr lang="de-CH" sz="900" b="1">
                <a:solidFill>
                  <a:schemeClr val="tx1">
                    <a:lumMod val="75000"/>
                    <a:lumOff val="25000"/>
                  </a:schemeClr>
                </a:solidFill>
              </a:rPr>
              <a:t>Auftrag</a:t>
            </a:r>
          </a:p>
        </xdr:txBody>
      </xdr:sp>
    </xdr:grpSp>
    <xdr:clientData/>
  </xdr:twoCellAnchor>
  <xdr:twoCellAnchor>
    <xdr:from>
      <xdr:col>8</xdr:col>
      <xdr:colOff>92822</xdr:colOff>
      <xdr:row>33</xdr:row>
      <xdr:rowOff>94689</xdr:rowOff>
    </xdr:from>
    <xdr:to>
      <xdr:col>8</xdr:col>
      <xdr:colOff>1083294</xdr:colOff>
      <xdr:row>34</xdr:row>
      <xdr:rowOff>143349</xdr:rowOff>
    </xdr:to>
    <xdr:grpSp>
      <xdr:nvGrpSpPr>
        <xdr:cNvPr id="11" name="Gruppieren 10">
          <a:extLst>
            <a:ext uri="{FF2B5EF4-FFF2-40B4-BE49-F238E27FC236}">
              <a16:creationId xmlns:a16="http://schemas.microsoft.com/office/drawing/2014/main" id="{47FF2294-5223-4CD4-863C-2A09EBEFA0F5}"/>
            </a:ext>
          </a:extLst>
        </xdr:cNvPr>
        <xdr:cNvGrpSpPr/>
      </xdr:nvGrpSpPr>
      <xdr:grpSpPr>
        <a:xfrm>
          <a:off x="5826872" y="6171639"/>
          <a:ext cx="990472" cy="248685"/>
          <a:chOff x="4130444" y="3557713"/>
          <a:chExt cx="768976" cy="216568"/>
        </a:xfrm>
      </xdr:grpSpPr>
      <xdr:pic>
        <xdr:nvPicPr>
          <xdr:cNvPr id="12" name="Grafik 11">
            <a:extLst>
              <a:ext uri="{FF2B5EF4-FFF2-40B4-BE49-F238E27FC236}">
                <a16:creationId xmlns:a16="http://schemas.microsoft.com/office/drawing/2014/main" id="{5321916E-4B6A-74C0-681F-985D6C222BB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13" name="Textfeld 12">
            <a:hlinkClick xmlns:r="http://schemas.openxmlformats.org/officeDocument/2006/relationships" r:id="rId9"/>
            <a:extLst>
              <a:ext uri="{FF2B5EF4-FFF2-40B4-BE49-F238E27FC236}">
                <a16:creationId xmlns:a16="http://schemas.microsoft.com/office/drawing/2014/main" id="{26A3F158-112E-CD0C-BE61-2C87C8817451}"/>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2.2 </a:t>
            </a:r>
            <a:r>
              <a:rPr lang="de-CH" sz="900" b="1">
                <a:solidFill>
                  <a:schemeClr val="tx1">
                    <a:lumMod val="75000"/>
                    <a:lumOff val="25000"/>
                  </a:schemeClr>
                </a:solidFill>
              </a:rPr>
              <a:t>Auftrag</a:t>
            </a:r>
          </a:p>
        </xdr:txBody>
      </xdr:sp>
    </xdr:grpSp>
    <xdr:clientData/>
  </xdr:twoCellAnchor>
</xdr:wsDr>
</file>

<file path=xl/drawings/drawing9.xml><?xml version="1.0" encoding="utf-8"?>
<xdr:wsDr xmlns:xdr="http://schemas.openxmlformats.org/drawingml/2006/spreadsheetDrawing" xmlns:a="http://schemas.openxmlformats.org/drawingml/2006/main">
  <xdr:oneCellAnchor>
    <xdr:from>
      <xdr:col>3</xdr:col>
      <xdr:colOff>777008</xdr:colOff>
      <xdr:row>42</xdr:row>
      <xdr:rowOff>32844</xdr:rowOff>
    </xdr:from>
    <xdr:ext cx="336323" cy="325276"/>
    <xdr:pic>
      <xdr:nvPicPr>
        <xdr:cNvPr id="2" name="Grafik 1" descr="Klemmbrett abgehakt Silhouette">
          <a:extLst>
            <a:ext uri="{FF2B5EF4-FFF2-40B4-BE49-F238E27FC236}">
              <a16:creationId xmlns:a16="http://schemas.microsoft.com/office/drawing/2014/main" id="{6E8A9412-D2F3-45FF-A0F2-8AD7182C5C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15283" y="7776669"/>
          <a:ext cx="336323" cy="325276"/>
        </a:xfrm>
        <a:prstGeom prst="rect">
          <a:avLst/>
        </a:prstGeom>
      </xdr:spPr>
    </xdr:pic>
    <xdr:clientData/>
  </xdr:oneCellAnchor>
  <xdr:oneCellAnchor>
    <xdr:from>
      <xdr:col>5</xdr:col>
      <xdr:colOff>558363</xdr:colOff>
      <xdr:row>42</xdr:row>
      <xdr:rowOff>39414</xdr:rowOff>
    </xdr:from>
    <xdr:ext cx="380350" cy="364469"/>
    <xdr:pic>
      <xdr:nvPicPr>
        <xdr:cNvPr id="3" name="Grafik 2" descr="Kommentar (wichtig) Silhouette">
          <a:extLst>
            <a:ext uri="{FF2B5EF4-FFF2-40B4-BE49-F238E27FC236}">
              <a16:creationId xmlns:a16="http://schemas.microsoft.com/office/drawing/2014/main" id="{0E1E08DC-444F-480C-8DE2-A81D9928A7A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111188" y="7783239"/>
          <a:ext cx="380350" cy="364469"/>
        </a:xfrm>
        <a:prstGeom prst="rect">
          <a:avLst/>
        </a:prstGeom>
      </xdr:spPr>
    </xdr:pic>
    <xdr:clientData/>
  </xdr:oneCellAnchor>
  <xdr:oneCellAnchor>
    <xdr:from>
      <xdr:col>8</xdr:col>
      <xdr:colOff>755430</xdr:colOff>
      <xdr:row>42</xdr:row>
      <xdr:rowOff>6570</xdr:rowOff>
    </xdr:from>
    <xdr:ext cx="358119" cy="361296"/>
    <xdr:pic>
      <xdr:nvPicPr>
        <xdr:cNvPr id="4" name="Grafik 3" descr="Fernglas Silhouette">
          <a:extLst>
            <a:ext uri="{FF2B5EF4-FFF2-40B4-BE49-F238E27FC236}">
              <a16:creationId xmlns:a16="http://schemas.microsoft.com/office/drawing/2014/main" id="{11F69FEA-E129-4563-96C8-B760C75A3E6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89480" y="7750395"/>
          <a:ext cx="358119" cy="361296"/>
        </a:xfrm>
        <a:prstGeom prst="rect">
          <a:avLst/>
        </a:prstGeom>
      </xdr:spPr>
    </xdr:pic>
    <xdr:clientData/>
  </xdr:oneCellAnchor>
  <xdr:twoCellAnchor>
    <xdr:from>
      <xdr:col>8</xdr:col>
      <xdr:colOff>65928</xdr:colOff>
      <xdr:row>19</xdr:row>
      <xdr:rowOff>64620</xdr:rowOff>
    </xdr:from>
    <xdr:to>
      <xdr:col>8</xdr:col>
      <xdr:colOff>1046875</xdr:colOff>
      <xdr:row>20</xdr:row>
      <xdr:rowOff>119630</xdr:rowOff>
    </xdr:to>
    <xdr:grpSp>
      <xdr:nvGrpSpPr>
        <xdr:cNvPr id="5" name="Gruppieren 4">
          <a:hlinkClick xmlns:r="http://schemas.openxmlformats.org/officeDocument/2006/relationships" r:id="rId7"/>
          <a:extLst>
            <a:ext uri="{FF2B5EF4-FFF2-40B4-BE49-F238E27FC236}">
              <a16:creationId xmlns:a16="http://schemas.microsoft.com/office/drawing/2014/main" id="{9E5D0ADB-DF90-479A-B137-A8B80E182B74}"/>
            </a:ext>
          </a:extLst>
        </xdr:cNvPr>
        <xdr:cNvGrpSpPr/>
      </xdr:nvGrpSpPr>
      <xdr:grpSpPr>
        <a:xfrm>
          <a:off x="5799978" y="3550770"/>
          <a:ext cx="980947" cy="245510"/>
          <a:chOff x="4130444" y="3557713"/>
          <a:chExt cx="768976" cy="216568"/>
        </a:xfrm>
      </xdr:grpSpPr>
      <xdr:pic>
        <xdr:nvPicPr>
          <xdr:cNvPr id="6" name="Grafik 5">
            <a:extLst>
              <a:ext uri="{FF2B5EF4-FFF2-40B4-BE49-F238E27FC236}">
                <a16:creationId xmlns:a16="http://schemas.microsoft.com/office/drawing/2014/main" id="{6015A383-7407-7671-821D-559DEFEC2D0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7" name="Textfeld 6">
            <a:extLst>
              <a:ext uri="{FF2B5EF4-FFF2-40B4-BE49-F238E27FC236}">
                <a16:creationId xmlns:a16="http://schemas.microsoft.com/office/drawing/2014/main" id="{2F8F50DA-1FF1-593D-A64F-B515640A8B61}"/>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3.01 </a:t>
            </a:r>
            <a:r>
              <a:rPr lang="de-CH" sz="900" b="1">
                <a:solidFill>
                  <a:schemeClr val="tx1">
                    <a:lumMod val="75000"/>
                    <a:lumOff val="25000"/>
                  </a:schemeClr>
                </a:solidFill>
              </a:rPr>
              <a:t>Auftrag</a:t>
            </a:r>
          </a:p>
        </xdr:txBody>
      </xdr:sp>
    </xdr:grpSp>
    <xdr:clientData/>
  </xdr:twoCellAnchor>
  <xdr:twoCellAnchor>
    <xdr:from>
      <xdr:col>8</xdr:col>
      <xdr:colOff>92822</xdr:colOff>
      <xdr:row>33</xdr:row>
      <xdr:rowOff>94689</xdr:rowOff>
    </xdr:from>
    <xdr:to>
      <xdr:col>8</xdr:col>
      <xdr:colOff>1083294</xdr:colOff>
      <xdr:row>34</xdr:row>
      <xdr:rowOff>143349</xdr:rowOff>
    </xdr:to>
    <xdr:grpSp>
      <xdr:nvGrpSpPr>
        <xdr:cNvPr id="11" name="Gruppieren 10">
          <a:extLst>
            <a:ext uri="{FF2B5EF4-FFF2-40B4-BE49-F238E27FC236}">
              <a16:creationId xmlns:a16="http://schemas.microsoft.com/office/drawing/2014/main" id="{3FAFAF14-B3D2-47BC-A97D-8322E584B7A2}"/>
            </a:ext>
          </a:extLst>
        </xdr:cNvPr>
        <xdr:cNvGrpSpPr/>
      </xdr:nvGrpSpPr>
      <xdr:grpSpPr>
        <a:xfrm>
          <a:off x="5826872" y="6181164"/>
          <a:ext cx="990472" cy="239160"/>
          <a:chOff x="4130444" y="3557713"/>
          <a:chExt cx="768976" cy="216568"/>
        </a:xfrm>
      </xdr:grpSpPr>
      <xdr:pic>
        <xdr:nvPicPr>
          <xdr:cNvPr id="12" name="Grafik 11">
            <a:extLst>
              <a:ext uri="{FF2B5EF4-FFF2-40B4-BE49-F238E27FC236}">
                <a16:creationId xmlns:a16="http://schemas.microsoft.com/office/drawing/2014/main" id="{3BF9C2FE-936B-C12C-7E0D-9D7E44F7F9C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13" name="Textfeld 12">
            <a:hlinkClick xmlns:r="http://schemas.openxmlformats.org/officeDocument/2006/relationships" r:id="rId9"/>
            <a:extLst>
              <a:ext uri="{FF2B5EF4-FFF2-40B4-BE49-F238E27FC236}">
                <a16:creationId xmlns:a16="http://schemas.microsoft.com/office/drawing/2014/main" id="{DF4CBF7A-E9AD-2F17-F4CB-73F10F17291F}"/>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2.2 </a:t>
            </a:r>
            <a:r>
              <a:rPr lang="de-CH" sz="900" b="1">
                <a:solidFill>
                  <a:schemeClr val="tx1">
                    <a:lumMod val="75000"/>
                    <a:lumOff val="25000"/>
                  </a:schemeClr>
                </a:solidFill>
              </a:rPr>
              <a:t>Auftrag</a:t>
            </a:r>
          </a:p>
        </xdr:txBody>
      </xdr:sp>
    </xdr:grpSp>
    <xdr:clientData/>
  </xdr:twoCellAnchor>
  <xdr:twoCellAnchor editAs="oneCell">
    <xdr:from>
      <xdr:col>8</xdr:col>
      <xdr:colOff>142875</xdr:colOff>
      <xdr:row>10</xdr:row>
      <xdr:rowOff>0</xdr:rowOff>
    </xdr:from>
    <xdr:to>
      <xdr:col>8</xdr:col>
      <xdr:colOff>552450</xdr:colOff>
      <xdr:row>12</xdr:row>
      <xdr:rowOff>9525</xdr:rowOff>
    </xdr:to>
    <xdr:pic>
      <xdr:nvPicPr>
        <xdr:cNvPr id="15" name="Grafik 14" descr="Videokamera Silhouette">
          <a:hlinkClick xmlns:r="http://schemas.openxmlformats.org/officeDocument/2006/relationships" r:id="rId10"/>
          <a:extLst>
            <a:ext uri="{FF2B5EF4-FFF2-40B4-BE49-F238E27FC236}">
              <a16:creationId xmlns:a16="http://schemas.microsoft.com/office/drawing/2014/main" id="{235F18AC-52E0-76B8-9E3A-FA00920CBD9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876925" y="1905000"/>
          <a:ext cx="409575" cy="409575"/>
        </a:xfrm>
        <a:prstGeom prst="rect">
          <a:avLst/>
        </a:prstGeom>
      </xdr:spPr>
    </xdr:pic>
    <xdr:clientData/>
  </xdr:twoCellAnchor>
  <xdr:twoCellAnchor editAs="oneCell">
    <xdr:from>
      <xdr:col>3</xdr:col>
      <xdr:colOff>1128713</xdr:colOff>
      <xdr:row>44</xdr:row>
      <xdr:rowOff>41672</xdr:rowOff>
    </xdr:from>
    <xdr:to>
      <xdr:col>4</xdr:col>
      <xdr:colOff>439286</xdr:colOff>
      <xdr:row>46</xdr:row>
      <xdr:rowOff>133350</xdr:rowOff>
    </xdr:to>
    <xdr:pic>
      <xdr:nvPicPr>
        <xdr:cNvPr id="16" name="Grafik 15">
          <a:hlinkClick xmlns:r="http://schemas.openxmlformats.org/officeDocument/2006/relationships" r:id="rId13"/>
          <a:extLst>
            <a:ext uri="{FF2B5EF4-FFF2-40B4-BE49-F238E27FC236}">
              <a16:creationId xmlns:a16="http://schemas.microsoft.com/office/drawing/2014/main" id="{371031A8-D869-484B-BD64-33F63B0ADDB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566988" y="8728472"/>
          <a:ext cx="472623" cy="47267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3</xdr:col>
      <xdr:colOff>777008</xdr:colOff>
      <xdr:row>42</xdr:row>
      <xdr:rowOff>32844</xdr:rowOff>
    </xdr:from>
    <xdr:ext cx="336323" cy="325276"/>
    <xdr:pic>
      <xdr:nvPicPr>
        <xdr:cNvPr id="2" name="Grafik 1" descr="Klemmbrett abgehakt Silhouette">
          <a:extLst>
            <a:ext uri="{FF2B5EF4-FFF2-40B4-BE49-F238E27FC236}">
              <a16:creationId xmlns:a16="http://schemas.microsoft.com/office/drawing/2014/main" id="{67B4678A-FE82-4309-9F30-F7A145665D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15283" y="7729044"/>
          <a:ext cx="336323" cy="325276"/>
        </a:xfrm>
        <a:prstGeom prst="rect">
          <a:avLst/>
        </a:prstGeom>
      </xdr:spPr>
    </xdr:pic>
    <xdr:clientData/>
  </xdr:oneCellAnchor>
  <xdr:oneCellAnchor>
    <xdr:from>
      <xdr:col>5</xdr:col>
      <xdr:colOff>558363</xdr:colOff>
      <xdr:row>42</xdr:row>
      <xdr:rowOff>39414</xdr:rowOff>
    </xdr:from>
    <xdr:ext cx="380350" cy="364469"/>
    <xdr:pic>
      <xdr:nvPicPr>
        <xdr:cNvPr id="3" name="Grafik 2" descr="Kommentar (wichtig) Silhouette">
          <a:extLst>
            <a:ext uri="{FF2B5EF4-FFF2-40B4-BE49-F238E27FC236}">
              <a16:creationId xmlns:a16="http://schemas.microsoft.com/office/drawing/2014/main" id="{61A23997-7513-4E97-A198-603CC91971D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111188" y="7735614"/>
          <a:ext cx="380350" cy="364469"/>
        </a:xfrm>
        <a:prstGeom prst="rect">
          <a:avLst/>
        </a:prstGeom>
      </xdr:spPr>
    </xdr:pic>
    <xdr:clientData/>
  </xdr:oneCellAnchor>
  <xdr:oneCellAnchor>
    <xdr:from>
      <xdr:col>8</xdr:col>
      <xdr:colOff>755430</xdr:colOff>
      <xdr:row>42</xdr:row>
      <xdr:rowOff>6570</xdr:rowOff>
    </xdr:from>
    <xdr:ext cx="358119" cy="361296"/>
    <xdr:pic>
      <xdr:nvPicPr>
        <xdr:cNvPr id="4" name="Grafik 3" descr="Fernglas Silhouette">
          <a:extLst>
            <a:ext uri="{FF2B5EF4-FFF2-40B4-BE49-F238E27FC236}">
              <a16:creationId xmlns:a16="http://schemas.microsoft.com/office/drawing/2014/main" id="{0F4875D0-2260-4B93-89B5-8D1F9B78EF5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89480" y="7702770"/>
          <a:ext cx="358119" cy="361296"/>
        </a:xfrm>
        <a:prstGeom prst="rect">
          <a:avLst/>
        </a:prstGeom>
      </xdr:spPr>
    </xdr:pic>
    <xdr:clientData/>
  </xdr:oneCellAnchor>
  <xdr:twoCellAnchor>
    <xdr:from>
      <xdr:col>8</xdr:col>
      <xdr:colOff>65928</xdr:colOff>
      <xdr:row>18</xdr:row>
      <xdr:rowOff>74145</xdr:rowOff>
    </xdr:from>
    <xdr:to>
      <xdr:col>8</xdr:col>
      <xdr:colOff>1046875</xdr:colOff>
      <xdr:row>19</xdr:row>
      <xdr:rowOff>129155</xdr:rowOff>
    </xdr:to>
    <xdr:grpSp>
      <xdr:nvGrpSpPr>
        <xdr:cNvPr id="5" name="Gruppieren 4">
          <a:hlinkClick xmlns:r="http://schemas.openxmlformats.org/officeDocument/2006/relationships" r:id="rId7"/>
          <a:extLst>
            <a:ext uri="{FF2B5EF4-FFF2-40B4-BE49-F238E27FC236}">
              <a16:creationId xmlns:a16="http://schemas.microsoft.com/office/drawing/2014/main" id="{77982ACC-2A47-4919-925F-F1C5A8E24BBB}"/>
            </a:ext>
          </a:extLst>
        </xdr:cNvPr>
        <xdr:cNvGrpSpPr/>
      </xdr:nvGrpSpPr>
      <xdr:grpSpPr>
        <a:xfrm>
          <a:off x="5799978" y="3369795"/>
          <a:ext cx="980947" cy="245510"/>
          <a:chOff x="4130444" y="3557713"/>
          <a:chExt cx="768976" cy="216568"/>
        </a:xfrm>
      </xdr:grpSpPr>
      <xdr:pic>
        <xdr:nvPicPr>
          <xdr:cNvPr id="6" name="Grafik 5">
            <a:extLst>
              <a:ext uri="{FF2B5EF4-FFF2-40B4-BE49-F238E27FC236}">
                <a16:creationId xmlns:a16="http://schemas.microsoft.com/office/drawing/2014/main" id="{D15505C4-E5EA-8351-8E67-008D3BF8A4D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7" name="Textfeld 6">
            <a:extLst>
              <a:ext uri="{FF2B5EF4-FFF2-40B4-BE49-F238E27FC236}">
                <a16:creationId xmlns:a16="http://schemas.microsoft.com/office/drawing/2014/main" id="{867B2680-753F-6FF2-3E4D-CDADF9AC0D8E}"/>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3.01 </a:t>
            </a:r>
            <a:r>
              <a:rPr lang="de-CH" sz="900" b="1">
                <a:solidFill>
                  <a:schemeClr val="tx1">
                    <a:lumMod val="75000"/>
                    <a:lumOff val="25000"/>
                  </a:schemeClr>
                </a:solidFill>
              </a:rPr>
              <a:t>Auftrag</a:t>
            </a:r>
          </a:p>
        </xdr:txBody>
      </xdr:sp>
    </xdr:grpSp>
    <xdr:clientData/>
  </xdr:twoCellAnchor>
  <xdr:twoCellAnchor>
    <xdr:from>
      <xdr:col>8</xdr:col>
      <xdr:colOff>83297</xdr:colOff>
      <xdr:row>34</xdr:row>
      <xdr:rowOff>142314</xdr:rowOff>
    </xdr:from>
    <xdr:to>
      <xdr:col>8</xdr:col>
      <xdr:colOff>1073769</xdr:colOff>
      <xdr:row>36</xdr:row>
      <xdr:rowOff>474</xdr:rowOff>
    </xdr:to>
    <xdr:grpSp>
      <xdr:nvGrpSpPr>
        <xdr:cNvPr id="8" name="Gruppieren 7">
          <a:extLst>
            <a:ext uri="{FF2B5EF4-FFF2-40B4-BE49-F238E27FC236}">
              <a16:creationId xmlns:a16="http://schemas.microsoft.com/office/drawing/2014/main" id="{1595F179-7CB1-423A-A5B6-B71D52F9D08F}"/>
            </a:ext>
          </a:extLst>
        </xdr:cNvPr>
        <xdr:cNvGrpSpPr/>
      </xdr:nvGrpSpPr>
      <xdr:grpSpPr>
        <a:xfrm>
          <a:off x="5817347" y="6419289"/>
          <a:ext cx="990472" cy="239160"/>
          <a:chOff x="4130444" y="3557713"/>
          <a:chExt cx="768976" cy="216568"/>
        </a:xfrm>
      </xdr:grpSpPr>
      <xdr:pic>
        <xdr:nvPicPr>
          <xdr:cNvPr id="9" name="Grafik 8">
            <a:extLst>
              <a:ext uri="{FF2B5EF4-FFF2-40B4-BE49-F238E27FC236}">
                <a16:creationId xmlns:a16="http://schemas.microsoft.com/office/drawing/2014/main" id="{AE2A90DB-ECFE-F298-646F-F40D8C6D7B3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10" name="Textfeld 9">
            <a:hlinkClick xmlns:r="http://schemas.openxmlformats.org/officeDocument/2006/relationships" r:id="rId9"/>
            <a:extLst>
              <a:ext uri="{FF2B5EF4-FFF2-40B4-BE49-F238E27FC236}">
                <a16:creationId xmlns:a16="http://schemas.microsoft.com/office/drawing/2014/main" id="{24E08603-AEC2-3AFA-0983-CF62A604EAEC}"/>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2.2 </a:t>
            </a:r>
            <a:r>
              <a:rPr lang="de-CH" sz="900" b="1">
                <a:solidFill>
                  <a:schemeClr val="tx1">
                    <a:lumMod val="75000"/>
                    <a:lumOff val="25000"/>
                  </a:schemeClr>
                </a:solidFill>
              </a:rPr>
              <a:t>Auftrag</a:t>
            </a:r>
          </a:p>
        </xdr:txBody>
      </xdr:sp>
    </xdr:grpSp>
    <xdr:clientData/>
  </xdr:twoCellAnchor>
  <xdr:twoCellAnchor editAs="oneCell">
    <xdr:from>
      <xdr:col>8</xdr:col>
      <xdr:colOff>142875</xdr:colOff>
      <xdr:row>10</xdr:row>
      <xdr:rowOff>0</xdr:rowOff>
    </xdr:from>
    <xdr:to>
      <xdr:col>8</xdr:col>
      <xdr:colOff>552450</xdr:colOff>
      <xdr:row>12</xdr:row>
      <xdr:rowOff>9525</xdr:rowOff>
    </xdr:to>
    <xdr:pic>
      <xdr:nvPicPr>
        <xdr:cNvPr id="11" name="Grafik 10" descr="Videokamera Silhouette">
          <a:hlinkClick xmlns:r="http://schemas.openxmlformats.org/officeDocument/2006/relationships" r:id="rId10"/>
          <a:extLst>
            <a:ext uri="{FF2B5EF4-FFF2-40B4-BE49-F238E27FC236}">
              <a16:creationId xmlns:a16="http://schemas.microsoft.com/office/drawing/2014/main" id="{42F69426-9D42-4303-AA3C-5141E5A43AA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876925" y="1905000"/>
          <a:ext cx="409575" cy="409575"/>
        </a:xfrm>
        <a:prstGeom prst="rect">
          <a:avLst/>
        </a:prstGeom>
      </xdr:spPr>
    </xdr:pic>
    <xdr:clientData/>
  </xdr:twoCellAnchor>
  <xdr:twoCellAnchor editAs="oneCell">
    <xdr:from>
      <xdr:col>8</xdr:col>
      <xdr:colOff>0</xdr:colOff>
      <xdr:row>37</xdr:row>
      <xdr:rowOff>0</xdr:rowOff>
    </xdr:from>
    <xdr:to>
      <xdr:col>8</xdr:col>
      <xdr:colOff>425823</xdr:colOff>
      <xdr:row>39</xdr:row>
      <xdr:rowOff>44823</xdr:rowOff>
    </xdr:to>
    <xdr:pic>
      <xdr:nvPicPr>
        <xdr:cNvPr id="12" name="Grafik 11" descr="Volltreffer mit einfarbiger Füllung">
          <a:hlinkClick xmlns:r="http://schemas.openxmlformats.org/officeDocument/2006/relationships" r:id="rId13"/>
          <a:extLst>
            <a:ext uri="{FF2B5EF4-FFF2-40B4-BE49-F238E27FC236}">
              <a16:creationId xmlns:a16="http://schemas.microsoft.com/office/drawing/2014/main" id="{9BFF3BEA-D5C9-4F68-9A9E-571C1589342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734050" y="6848475"/>
          <a:ext cx="425823" cy="425823"/>
        </a:xfrm>
        <a:prstGeom prst="rect">
          <a:avLst/>
        </a:prstGeom>
      </xdr:spPr>
    </xdr:pic>
    <xdr:clientData/>
  </xdr:twoCellAnchor>
  <xdr:twoCellAnchor editAs="oneCell">
    <xdr:from>
      <xdr:col>3</xdr:col>
      <xdr:colOff>581025</xdr:colOff>
      <xdr:row>47</xdr:row>
      <xdr:rowOff>47625</xdr:rowOff>
    </xdr:from>
    <xdr:to>
      <xdr:col>3</xdr:col>
      <xdr:colOff>1006848</xdr:colOff>
      <xdr:row>49</xdr:row>
      <xdr:rowOff>92448</xdr:rowOff>
    </xdr:to>
    <xdr:pic>
      <xdr:nvPicPr>
        <xdr:cNvPr id="13" name="Grafik 12" descr="Volltreffer mit einfarbiger Füllung">
          <a:hlinkClick xmlns:r="http://schemas.openxmlformats.org/officeDocument/2006/relationships" r:id="rId13"/>
          <a:extLst>
            <a:ext uri="{FF2B5EF4-FFF2-40B4-BE49-F238E27FC236}">
              <a16:creationId xmlns:a16="http://schemas.microsoft.com/office/drawing/2014/main" id="{30192D7D-F05C-4A0D-AB06-D5877DDF7D1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019300" y="8696325"/>
          <a:ext cx="425823" cy="42582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3</xdr:col>
      <xdr:colOff>777008</xdr:colOff>
      <xdr:row>42</xdr:row>
      <xdr:rowOff>32844</xdr:rowOff>
    </xdr:from>
    <xdr:ext cx="336323" cy="325276"/>
    <xdr:pic>
      <xdr:nvPicPr>
        <xdr:cNvPr id="2" name="Grafik 1" descr="Klemmbrett abgehakt Silhouette">
          <a:extLst>
            <a:ext uri="{FF2B5EF4-FFF2-40B4-BE49-F238E27FC236}">
              <a16:creationId xmlns:a16="http://schemas.microsoft.com/office/drawing/2014/main" id="{DAFDA059-5243-4DA6-8BCC-ACB9A800E1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15283" y="7729044"/>
          <a:ext cx="336323" cy="325276"/>
        </a:xfrm>
        <a:prstGeom prst="rect">
          <a:avLst/>
        </a:prstGeom>
      </xdr:spPr>
    </xdr:pic>
    <xdr:clientData/>
  </xdr:oneCellAnchor>
  <xdr:oneCellAnchor>
    <xdr:from>
      <xdr:col>5</xdr:col>
      <xdr:colOff>558363</xdr:colOff>
      <xdr:row>42</xdr:row>
      <xdr:rowOff>39414</xdr:rowOff>
    </xdr:from>
    <xdr:ext cx="380350" cy="364469"/>
    <xdr:pic>
      <xdr:nvPicPr>
        <xdr:cNvPr id="3" name="Grafik 2" descr="Kommentar (wichtig) Silhouette">
          <a:extLst>
            <a:ext uri="{FF2B5EF4-FFF2-40B4-BE49-F238E27FC236}">
              <a16:creationId xmlns:a16="http://schemas.microsoft.com/office/drawing/2014/main" id="{5E27D366-D6A6-4985-B19C-233022BB006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111188" y="7735614"/>
          <a:ext cx="380350" cy="364469"/>
        </a:xfrm>
        <a:prstGeom prst="rect">
          <a:avLst/>
        </a:prstGeom>
      </xdr:spPr>
    </xdr:pic>
    <xdr:clientData/>
  </xdr:oneCellAnchor>
  <xdr:oneCellAnchor>
    <xdr:from>
      <xdr:col>8</xdr:col>
      <xdr:colOff>755430</xdr:colOff>
      <xdr:row>42</xdr:row>
      <xdr:rowOff>6570</xdr:rowOff>
    </xdr:from>
    <xdr:ext cx="358119" cy="361296"/>
    <xdr:pic>
      <xdr:nvPicPr>
        <xdr:cNvPr id="4" name="Grafik 3" descr="Fernglas Silhouette">
          <a:extLst>
            <a:ext uri="{FF2B5EF4-FFF2-40B4-BE49-F238E27FC236}">
              <a16:creationId xmlns:a16="http://schemas.microsoft.com/office/drawing/2014/main" id="{4D5E8387-A431-48AE-9315-CD518C42A13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89480" y="7702770"/>
          <a:ext cx="358119" cy="361296"/>
        </a:xfrm>
        <a:prstGeom prst="rect">
          <a:avLst/>
        </a:prstGeom>
      </xdr:spPr>
    </xdr:pic>
    <xdr:clientData/>
  </xdr:oneCellAnchor>
  <xdr:twoCellAnchor>
    <xdr:from>
      <xdr:col>8</xdr:col>
      <xdr:colOff>46878</xdr:colOff>
      <xdr:row>26</xdr:row>
      <xdr:rowOff>93195</xdr:rowOff>
    </xdr:from>
    <xdr:to>
      <xdr:col>8</xdr:col>
      <xdr:colOff>1027825</xdr:colOff>
      <xdr:row>27</xdr:row>
      <xdr:rowOff>148205</xdr:rowOff>
    </xdr:to>
    <xdr:grpSp>
      <xdr:nvGrpSpPr>
        <xdr:cNvPr id="5" name="Gruppieren 4">
          <a:hlinkClick xmlns:r="http://schemas.openxmlformats.org/officeDocument/2006/relationships" r:id="rId7"/>
          <a:extLst>
            <a:ext uri="{FF2B5EF4-FFF2-40B4-BE49-F238E27FC236}">
              <a16:creationId xmlns:a16="http://schemas.microsoft.com/office/drawing/2014/main" id="{E2A60D8D-0FAE-46BD-8156-3A2DDF983741}"/>
            </a:ext>
          </a:extLst>
        </xdr:cNvPr>
        <xdr:cNvGrpSpPr/>
      </xdr:nvGrpSpPr>
      <xdr:grpSpPr>
        <a:xfrm>
          <a:off x="5780928" y="4912845"/>
          <a:ext cx="980947" cy="245510"/>
          <a:chOff x="4130444" y="3557713"/>
          <a:chExt cx="768976" cy="216568"/>
        </a:xfrm>
      </xdr:grpSpPr>
      <xdr:pic>
        <xdr:nvPicPr>
          <xdr:cNvPr id="6" name="Grafik 5">
            <a:extLst>
              <a:ext uri="{FF2B5EF4-FFF2-40B4-BE49-F238E27FC236}">
                <a16:creationId xmlns:a16="http://schemas.microsoft.com/office/drawing/2014/main" id="{0C7871F9-D05D-CC07-0733-7929156C7FF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7" name="Textfeld 6">
            <a:extLst>
              <a:ext uri="{FF2B5EF4-FFF2-40B4-BE49-F238E27FC236}">
                <a16:creationId xmlns:a16="http://schemas.microsoft.com/office/drawing/2014/main" id="{21C8F04B-990D-FC86-9551-C4580B2471FC}"/>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3.01 </a:t>
            </a:r>
            <a:r>
              <a:rPr lang="de-CH" sz="900" b="1">
                <a:solidFill>
                  <a:schemeClr val="tx1">
                    <a:lumMod val="75000"/>
                    <a:lumOff val="25000"/>
                  </a:schemeClr>
                </a:solidFill>
              </a:rPr>
              <a:t>Auftrag</a:t>
            </a:r>
          </a:p>
        </xdr:txBody>
      </xdr:sp>
    </xdr:grpSp>
    <xdr:clientData/>
  </xdr:twoCellAnchor>
  <xdr:twoCellAnchor editAs="oneCell">
    <xdr:from>
      <xdr:col>8</xdr:col>
      <xdr:colOff>142875</xdr:colOff>
      <xdr:row>10</xdr:row>
      <xdr:rowOff>0</xdr:rowOff>
    </xdr:from>
    <xdr:to>
      <xdr:col>8</xdr:col>
      <xdr:colOff>552450</xdr:colOff>
      <xdr:row>12</xdr:row>
      <xdr:rowOff>9525</xdr:rowOff>
    </xdr:to>
    <xdr:pic>
      <xdr:nvPicPr>
        <xdr:cNvPr id="11" name="Grafik 10" descr="Videokamera Silhouette">
          <a:hlinkClick xmlns:r="http://schemas.openxmlformats.org/officeDocument/2006/relationships" r:id="rId9"/>
          <a:extLst>
            <a:ext uri="{FF2B5EF4-FFF2-40B4-BE49-F238E27FC236}">
              <a16:creationId xmlns:a16="http://schemas.microsoft.com/office/drawing/2014/main" id="{88459D7C-5B15-4ACF-AED2-B6E5F28FFBF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876925" y="1905000"/>
          <a:ext cx="409575" cy="4095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3</xdr:col>
      <xdr:colOff>777008</xdr:colOff>
      <xdr:row>42</xdr:row>
      <xdr:rowOff>32844</xdr:rowOff>
    </xdr:from>
    <xdr:ext cx="336323" cy="325276"/>
    <xdr:pic>
      <xdr:nvPicPr>
        <xdr:cNvPr id="2" name="Grafik 1" descr="Klemmbrett abgehakt Silhouette">
          <a:extLst>
            <a:ext uri="{FF2B5EF4-FFF2-40B4-BE49-F238E27FC236}">
              <a16:creationId xmlns:a16="http://schemas.microsoft.com/office/drawing/2014/main" id="{58DC8F26-1A42-4CF8-96BC-0833895B50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15283" y="7729044"/>
          <a:ext cx="336323" cy="325276"/>
        </a:xfrm>
        <a:prstGeom prst="rect">
          <a:avLst/>
        </a:prstGeom>
      </xdr:spPr>
    </xdr:pic>
    <xdr:clientData/>
  </xdr:oneCellAnchor>
  <xdr:oneCellAnchor>
    <xdr:from>
      <xdr:col>5</xdr:col>
      <xdr:colOff>558363</xdr:colOff>
      <xdr:row>42</xdr:row>
      <xdr:rowOff>39414</xdr:rowOff>
    </xdr:from>
    <xdr:ext cx="380350" cy="364469"/>
    <xdr:pic>
      <xdr:nvPicPr>
        <xdr:cNvPr id="3" name="Grafik 2" descr="Kommentar (wichtig) Silhouette">
          <a:extLst>
            <a:ext uri="{FF2B5EF4-FFF2-40B4-BE49-F238E27FC236}">
              <a16:creationId xmlns:a16="http://schemas.microsoft.com/office/drawing/2014/main" id="{9C238294-E52C-4A27-8611-9FA81B48F55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111188" y="7735614"/>
          <a:ext cx="380350" cy="364469"/>
        </a:xfrm>
        <a:prstGeom prst="rect">
          <a:avLst/>
        </a:prstGeom>
      </xdr:spPr>
    </xdr:pic>
    <xdr:clientData/>
  </xdr:oneCellAnchor>
  <xdr:oneCellAnchor>
    <xdr:from>
      <xdr:col>8</xdr:col>
      <xdr:colOff>755430</xdr:colOff>
      <xdr:row>42</xdr:row>
      <xdr:rowOff>6570</xdr:rowOff>
    </xdr:from>
    <xdr:ext cx="358119" cy="361296"/>
    <xdr:pic>
      <xdr:nvPicPr>
        <xdr:cNvPr id="4" name="Grafik 3" descr="Fernglas Silhouette">
          <a:extLst>
            <a:ext uri="{FF2B5EF4-FFF2-40B4-BE49-F238E27FC236}">
              <a16:creationId xmlns:a16="http://schemas.microsoft.com/office/drawing/2014/main" id="{8E7C9F28-79D5-43FC-BC32-0A36A0A2D3C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89480" y="7702770"/>
          <a:ext cx="358119" cy="361296"/>
        </a:xfrm>
        <a:prstGeom prst="rect">
          <a:avLst/>
        </a:prstGeom>
      </xdr:spPr>
    </xdr:pic>
    <xdr:clientData/>
  </xdr:oneCellAnchor>
  <xdr:twoCellAnchor>
    <xdr:from>
      <xdr:col>8</xdr:col>
      <xdr:colOff>75453</xdr:colOff>
      <xdr:row>18</xdr:row>
      <xdr:rowOff>102720</xdr:rowOff>
    </xdr:from>
    <xdr:to>
      <xdr:col>8</xdr:col>
      <xdr:colOff>1056400</xdr:colOff>
      <xdr:row>19</xdr:row>
      <xdr:rowOff>157730</xdr:rowOff>
    </xdr:to>
    <xdr:grpSp>
      <xdr:nvGrpSpPr>
        <xdr:cNvPr id="5" name="Gruppieren 4">
          <a:hlinkClick xmlns:r="http://schemas.openxmlformats.org/officeDocument/2006/relationships" r:id="rId7"/>
          <a:extLst>
            <a:ext uri="{FF2B5EF4-FFF2-40B4-BE49-F238E27FC236}">
              <a16:creationId xmlns:a16="http://schemas.microsoft.com/office/drawing/2014/main" id="{57C76732-3623-49E4-92A9-B9A57AAB0CD2}"/>
            </a:ext>
          </a:extLst>
        </xdr:cNvPr>
        <xdr:cNvGrpSpPr/>
      </xdr:nvGrpSpPr>
      <xdr:grpSpPr>
        <a:xfrm>
          <a:off x="5809503" y="3398370"/>
          <a:ext cx="980947" cy="245510"/>
          <a:chOff x="4130444" y="3557713"/>
          <a:chExt cx="768976" cy="216568"/>
        </a:xfrm>
      </xdr:grpSpPr>
      <xdr:pic>
        <xdr:nvPicPr>
          <xdr:cNvPr id="6" name="Grafik 5">
            <a:extLst>
              <a:ext uri="{FF2B5EF4-FFF2-40B4-BE49-F238E27FC236}">
                <a16:creationId xmlns:a16="http://schemas.microsoft.com/office/drawing/2014/main" id="{D0B95924-04AB-26B3-DECD-226CA597E52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7" name="Textfeld 6">
            <a:extLst>
              <a:ext uri="{FF2B5EF4-FFF2-40B4-BE49-F238E27FC236}">
                <a16:creationId xmlns:a16="http://schemas.microsoft.com/office/drawing/2014/main" id="{AC5E8147-8835-BADA-C308-EB222F02D460}"/>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3.7 </a:t>
            </a:r>
            <a:r>
              <a:rPr lang="de-CH" sz="900" b="1">
                <a:solidFill>
                  <a:schemeClr val="tx1">
                    <a:lumMod val="75000"/>
                    <a:lumOff val="25000"/>
                  </a:schemeClr>
                </a:solidFill>
              </a:rPr>
              <a:t>Auftrag</a:t>
            </a:r>
          </a:p>
        </xdr:txBody>
      </xdr:sp>
    </xdr:grpSp>
    <xdr:clientData/>
  </xdr:twoCellAnchor>
  <xdr:twoCellAnchor editAs="oneCell">
    <xdr:from>
      <xdr:col>8</xdr:col>
      <xdr:colOff>142875</xdr:colOff>
      <xdr:row>10</xdr:row>
      <xdr:rowOff>0</xdr:rowOff>
    </xdr:from>
    <xdr:to>
      <xdr:col>8</xdr:col>
      <xdr:colOff>552450</xdr:colOff>
      <xdr:row>12</xdr:row>
      <xdr:rowOff>9525</xdr:rowOff>
    </xdr:to>
    <xdr:pic>
      <xdr:nvPicPr>
        <xdr:cNvPr id="8" name="Grafik 7" descr="Videokamera Silhouette">
          <a:hlinkClick xmlns:r="http://schemas.openxmlformats.org/officeDocument/2006/relationships" r:id="rId9"/>
          <a:extLst>
            <a:ext uri="{FF2B5EF4-FFF2-40B4-BE49-F238E27FC236}">
              <a16:creationId xmlns:a16="http://schemas.microsoft.com/office/drawing/2014/main" id="{4095C568-3D19-439E-89FC-DD3F0B783CA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876925" y="1905000"/>
          <a:ext cx="409575" cy="409575"/>
        </a:xfrm>
        <a:prstGeom prst="rect">
          <a:avLst/>
        </a:prstGeom>
      </xdr:spPr>
    </xdr:pic>
    <xdr:clientData/>
  </xdr:twoCellAnchor>
  <xdr:twoCellAnchor>
    <xdr:from>
      <xdr:col>8</xdr:col>
      <xdr:colOff>66675</xdr:colOff>
      <xdr:row>33</xdr:row>
      <xdr:rowOff>76200</xdr:rowOff>
    </xdr:from>
    <xdr:to>
      <xdr:col>8</xdr:col>
      <xdr:colOff>1047622</xdr:colOff>
      <xdr:row>34</xdr:row>
      <xdr:rowOff>131210</xdr:rowOff>
    </xdr:to>
    <xdr:grpSp>
      <xdr:nvGrpSpPr>
        <xdr:cNvPr id="9" name="Gruppieren 8">
          <a:hlinkClick xmlns:r="http://schemas.openxmlformats.org/officeDocument/2006/relationships" r:id="rId12"/>
          <a:extLst>
            <a:ext uri="{FF2B5EF4-FFF2-40B4-BE49-F238E27FC236}">
              <a16:creationId xmlns:a16="http://schemas.microsoft.com/office/drawing/2014/main" id="{E8BEE92C-0C52-4AC3-B34C-6610139AAF7B}"/>
            </a:ext>
          </a:extLst>
        </xdr:cNvPr>
        <xdr:cNvGrpSpPr/>
      </xdr:nvGrpSpPr>
      <xdr:grpSpPr>
        <a:xfrm>
          <a:off x="5800725" y="6162675"/>
          <a:ext cx="980947" cy="245510"/>
          <a:chOff x="4130444" y="3557713"/>
          <a:chExt cx="768976" cy="216568"/>
        </a:xfrm>
      </xdr:grpSpPr>
      <xdr:pic>
        <xdr:nvPicPr>
          <xdr:cNvPr id="10" name="Grafik 9">
            <a:extLst>
              <a:ext uri="{FF2B5EF4-FFF2-40B4-BE49-F238E27FC236}">
                <a16:creationId xmlns:a16="http://schemas.microsoft.com/office/drawing/2014/main" id="{7FD3B618-1D2D-9723-FEC0-5F2A79DB97E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11" name="Textfeld 10">
            <a:extLst>
              <a:ext uri="{FF2B5EF4-FFF2-40B4-BE49-F238E27FC236}">
                <a16:creationId xmlns:a16="http://schemas.microsoft.com/office/drawing/2014/main" id="{C99D9D66-0C93-423D-49DE-3DDF91C28A28}"/>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3.3 </a:t>
            </a:r>
            <a:r>
              <a:rPr lang="de-CH" sz="900" b="1">
                <a:solidFill>
                  <a:schemeClr val="tx1">
                    <a:lumMod val="75000"/>
                    <a:lumOff val="25000"/>
                  </a:schemeClr>
                </a:solidFill>
              </a:rPr>
              <a:t>Auftrag</a:t>
            </a:r>
          </a:p>
        </xdr:txBody>
      </xdr:sp>
    </xdr:grpSp>
    <xdr:clientData/>
  </xdr:twoCellAnchor>
</xdr:wsDr>
</file>

<file path=xl/drawings/drawing13.xml><?xml version="1.0" encoding="utf-8"?>
<xdr:wsDr xmlns:xdr="http://schemas.openxmlformats.org/drawingml/2006/spreadsheetDrawing" xmlns:a="http://schemas.openxmlformats.org/drawingml/2006/main">
  <xdr:oneCellAnchor>
    <xdr:from>
      <xdr:col>3</xdr:col>
      <xdr:colOff>777008</xdr:colOff>
      <xdr:row>42</xdr:row>
      <xdr:rowOff>32844</xdr:rowOff>
    </xdr:from>
    <xdr:ext cx="336323" cy="325276"/>
    <xdr:pic>
      <xdr:nvPicPr>
        <xdr:cNvPr id="2" name="Grafik 1" descr="Klemmbrett abgehakt Silhouette">
          <a:extLst>
            <a:ext uri="{FF2B5EF4-FFF2-40B4-BE49-F238E27FC236}">
              <a16:creationId xmlns:a16="http://schemas.microsoft.com/office/drawing/2014/main" id="{E821854B-E392-4BB3-B42C-952A12FD8E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15283" y="7729044"/>
          <a:ext cx="336323" cy="325276"/>
        </a:xfrm>
        <a:prstGeom prst="rect">
          <a:avLst/>
        </a:prstGeom>
      </xdr:spPr>
    </xdr:pic>
    <xdr:clientData/>
  </xdr:oneCellAnchor>
  <xdr:oneCellAnchor>
    <xdr:from>
      <xdr:col>5</xdr:col>
      <xdr:colOff>558363</xdr:colOff>
      <xdr:row>42</xdr:row>
      <xdr:rowOff>39414</xdr:rowOff>
    </xdr:from>
    <xdr:ext cx="380350" cy="364469"/>
    <xdr:pic>
      <xdr:nvPicPr>
        <xdr:cNvPr id="3" name="Grafik 2" descr="Kommentar (wichtig) Silhouette">
          <a:extLst>
            <a:ext uri="{FF2B5EF4-FFF2-40B4-BE49-F238E27FC236}">
              <a16:creationId xmlns:a16="http://schemas.microsoft.com/office/drawing/2014/main" id="{7F5C55C3-94B7-4301-AD75-E1880214AA4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111188" y="7735614"/>
          <a:ext cx="380350" cy="364469"/>
        </a:xfrm>
        <a:prstGeom prst="rect">
          <a:avLst/>
        </a:prstGeom>
      </xdr:spPr>
    </xdr:pic>
    <xdr:clientData/>
  </xdr:oneCellAnchor>
  <xdr:oneCellAnchor>
    <xdr:from>
      <xdr:col>8</xdr:col>
      <xdr:colOff>755430</xdr:colOff>
      <xdr:row>42</xdr:row>
      <xdr:rowOff>6570</xdr:rowOff>
    </xdr:from>
    <xdr:ext cx="358119" cy="361296"/>
    <xdr:pic>
      <xdr:nvPicPr>
        <xdr:cNvPr id="4" name="Grafik 3" descr="Fernglas Silhouette">
          <a:extLst>
            <a:ext uri="{FF2B5EF4-FFF2-40B4-BE49-F238E27FC236}">
              <a16:creationId xmlns:a16="http://schemas.microsoft.com/office/drawing/2014/main" id="{A7E081D1-1458-495E-8E2F-B28D6D39607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89480" y="7702770"/>
          <a:ext cx="358119" cy="361296"/>
        </a:xfrm>
        <a:prstGeom prst="rect">
          <a:avLst/>
        </a:prstGeom>
      </xdr:spPr>
    </xdr:pic>
    <xdr:clientData/>
  </xdr:oneCellAnchor>
  <xdr:twoCellAnchor>
    <xdr:from>
      <xdr:col>8</xdr:col>
      <xdr:colOff>75453</xdr:colOff>
      <xdr:row>18</xdr:row>
      <xdr:rowOff>102720</xdr:rowOff>
    </xdr:from>
    <xdr:to>
      <xdr:col>8</xdr:col>
      <xdr:colOff>1056400</xdr:colOff>
      <xdr:row>19</xdr:row>
      <xdr:rowOff>157730</xdr:rowOff>
    </xdr:to>
    <xdr:grpSp>
      <xdr:nvGrpSpPr>
        <xdr:cNvPr id="5" name="Gruppieren 4">
          <a:hlinkClick xmlns:r="http://schemas.openxmlformats.org/officeDocument/2006/relationships" r:id="rId7"/>
          <a:extLst>
            <a:ext uri="{FF2B5EF4-FFF2-40B4-BE49-F238E27FC236}">
              <a16:creationId xmlns:a16="http://schemas.microsoft.com/office/drawing/2014/main" id="{E75854AA-9459-40BE-8AE7-47B1D6BE0BF2}"/>
            </a:ext>
          </a:extLst>
        </xdr:cNvPr>
        <xdr:cNvGrpSpPr/>
      </xdr:nvGrpSpPr>
      <xdr:grpSpPr>
        <a:xfrm>
          <a:off x="5812865" y="3408455"/>
          <a:ext cx="980947" cy="245510"/>
          <a:chOff x="4130444" y="3557713"/>
          <a:chExt cx="768976" cy="216568"/>
        </a:xfrm>
      </xdr:grpSpPr>
      <xdr:pic>
        <xdr:nvPicPr>
          <xdr:cNvPr id="6" name="Grafik 5">
            <a:extLst>
              <a:ext uri="{FF2B5EF4-FFF2-40B4-BE49-F238E27FC236}">
                <a16:creationId xmlns:a16="http://schemas.microsoft.com/office/drawing/2014/main" id="{DB3AD070-A961-79ED-CC8B-C7A0F3F2273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7" name="Textfeld 6">
            <a:extLst>
              <a:ext uri="{FF2B5EF4-FFF2-40B4-BE49-F238E27FC236}">
                <a16:creationId xmlns:a16="http://schemas.microsoft.com/office/drawing/2014/main" id="{1F4B5D65-C24E-B5E7-27A3-4A3881B9ECDA}"/>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3.7 </a:t>
            </a:r>
            <a:r>
              <a:rPr lang="de-CH" sz="900" b="1">
                <a:solidFill>
                  <a:schemeClr val="tx1">
                    <a:lumMod val="75000"/>
                    <a:lumOff val="25000"/>
                  </a:schemeClr>
                </a:solidFill>
              </a:rPr>
              <a:t>Auftrag</a:t>
            </a:r>
          </a:p>
        </xdr:txBody>
      </xdr:sp>
    </xdr:grpSp>
    <xdr:clientData/>
  </xdr:twoCellAnchor>
  <xdr:twoCellAnchor editAs="oneCell">
    <xdr:from>
      <xdr:col>8</xdr:col>
      <xdr:colOff>142875</xdr:colOff>
      <xdr:row>10</xdr:row>
      <xdr:rowOff>0</xdr:rowOff>
    </xdr:from>
    <xdr:to>
      <xdr:col>8</xdr:col>
      <xdr:colOff>552450</xdr:colOff>
      <xdr:row>12</xdr:row>
      <xdr:rowOff>9525</xdr:rowOff>
    </xdr:to>
    <xdr:pic>
      <xdr:nvPicPr>
        <xdr:cNvPr id="8" name="Grafik 7" descr="Videokamera Silhouette">
          <a:hlinkClick xmlns:r="http://schemas.openxmlformats.org/officeDocument/2006/relationships" r:id="rId9"/>
          <a:extLst>
            <a:ext uri="{FF2B5EF4-FFF2-40B4-BE49-F238E27FC236}">
              <a16:creationId xmlns:a16="http://schemas.microsoft.com/office/drawing/2014/main" id="{F4039291-684B-4303-818B-D531CAD2F1B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876925" y="1905000"/>
          <a:ext cx="409575" cy="409575"/>
        </a:xfrm>
        <a:prstGeom prst="rect">
          <a:avLst/>
        </a:prstGeom>
      </xdr:spPr>
    </xdr:pic>
    <xdr:clientData/>
  </xdr:twoCellAnchor>
  <xdr:twoCellAnchor>
    <xdr:from>
      <xdr:col>8</xdr:col>
      <xdr:colOff>66675</xdr:colOff>
      <xdr:row>33</xdr:row>
      <xdr:rowOff>76200</xdr:rowOff>
    </xdr:from>
    <xdr:to>
      <xdr:col>8</xdr:col>
      <xdr:colOff>1047622</xdr:colOff>
      <xdr:row>34</xdr:row>
      <xdr:rowOff>131210</xdr:rowOff>
    </xdr:to>
    <xdr:grpSp>
      <xdr:nvGrpSpPr>
        <xdr:cNvPr id="9" name="Gruppieren 8">
          <a:hlinkClick xmlns:r="http://schemas.openxmlformats.org/officeDocument/2006/relationships" r:id="rId12"/>
          <a:extLst>
            <a:ext uri="{FF2B5EF4-FFF2-40B4-BE49-F238E27FC236}">
              <a16:creationId xmlns:a16="http://schemas.microsoft.com/office/drawing/2014/main" id="{F9F35593-CF96-4A9D-AC47-84BDB38A256F}"/>
            </a:ext>
          </a:extLst>
        </xdr:cNvPr>
        <xdr:cNvGrpSpPr/>
      </xdr:nvGrpSpPr>
      <xdr:grpSpPr>
        <a:xfrm>
          <a:off x="5804087" y="6172200"/>
          <a:ext cx="980947" cy="245510"/>
          <a:chOff x="4130444" y="3557713"/>
          <a:chExt cx="768976" cy="216568"/>
        </a:xfrm>
      </xdr:grpSpPr>
      <xdr:pic>
        <xdr:nvPicPr>
          <xdr:cNvPr id="10" name="Grafik 9">
            <a:extLst>
              <a:ext uri="{FF2B5EF4-FFF2-40B4-BE49-F238E27FC236}">
                <a16:creationId xmlns:a16="http://schemas.microsoft.com/office/drawing/2014/main" id="{62B9386A-4D3E-E946-5523-9561E135690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11" name="Textfeld 10">
            <a:extLst>
              <a:ext uri="{FF2B5EF4-FFF2-40B4-BE49-F238E27FC236}">
                <a16:creationId xmlns:a16="http://schemas.microsoft.com/office/drawing/2014/main" id="{0AD7E6E3-30A0-454E-EDB2-34E6FA46452C}"/>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3.3 </a:t>
            </a:r>
            <a:r>
              <a:rPr lang="de-CH" sz="900" b="1">
                <a:solidFill>
                  <a:schemeClr val="tx1">
                    <a:lumMod val="75000"/>
                    <a:lumOff val="25000"/>
                  </a:schemeClr>
                </a:solidFill>
              </a:rPr>
              <a:t>Auftrag</a:t>
            </a:r>
          </a:p>
        </xdr:txBody>
      </xdr:sp>
    </xdr:grpSp>
    <xdr:clientData/>
  </xdr:twoCellAnchor>
</xdr:wsDr>
</file>

<file path=xl/drawings/drawing14.xml><?xml version="1.0" encoding="utf-8"?>
<xdr:wsDr xmlns:xdr="http://schemas.openxmlformats.org/drawingml/2006/spreadsheetDrawing" xmlns:a="http://schemas.openxmlformats.org/drawingml/2006/main">
  <xdr:oneCellAnchor>
    <xdr:from>
      <xdr:col>3</xdr:col>
      <xdr:colOff>777008</xdr:colOff>
      <xdr:row>42</xdr:row>
      <xdr:rowOff>32844</xdr:rowOff>
    </xdr:from>
    <xdr:ext cx="336323" cy="325276"/>
    <xdr:pic>
      <xdr:nvPicPr>
        <xdr:cNvPr id="2" name="Grafik 1" descr="Klemmbrett abgehakt Silhouette">
          <a:extLst>
            <a:ext uri="{FF2B5EF4-FFF2-40B4-BE49-F238E27FC236}">
              <a16:creationId xmlns:a16="http://schemas.microsoft.com/office/drawing/2014/main" id="{4FDEDB59-79E7-4E22-B1D1-DA6990D892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12108" y="7589344"/>
          <a:ext cx="336323" cy="325276"/>
        </a:xfrm>
        <a:prstGeom prst="rect">
          <a:avLst/>
        </a:prstGeom>
      </xdr:spPr>
    </xdr:pic>
    <xdr:clientData/>
  </xdr:oneCellAnchor>
  <xdr:oneCellAnchor>
    <xdr:from>
      <xdr:col>5</xdr:col>
      <xdr:colOff>558363</xdr:colOff>
      <xdr:row>42</xdr:row>
      <xdr:rowOff>39414</xdr:rowOff>
    </xdr:from>
    <xdr:ext cx="380350" cy="364469"/>
    <xdr:pic>
      <xdr:nvPicPr>
        <xdr:cNvPr id="3" name="Grafik 2" descr="Kommentar (wichtig) Silhouette">
          <a:extLst>
            <a:ext uri="{FF2B5EF4-FFF2-40B4-BE49-F238E27FC236}">
              <a16:creationId xmlns:a16="http://schemas.microsoft.com/office/drawing/2014/main" id="{1FDC1C4E-6136-48E8-B0B2-1482AFE7BA1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101663" y="7595914"/>
          <a:ext cx="380350" cy="364469"/>
        </a:xfrm>
        <a:prstGeom prst="rect">
          <a:avLst/>
        </a:prstGeom>
      </xdr:spPr>
    </xdr:pic>
    <xdr:clientData/>
  </xdr:oneCellAnchor>
  <xdr:oneCellAnchor>
    <xdr:from>
      <xdr:col>8</xdr:col>
      <xdr:colOff>755430</xdr:colOff>
      <xdr:row>42</xdr:row>
      <xdr:rowOff>6570</xdr:rowOff>
    </xdr:from>
    <xdr:ext cx="358119" cy="361296"/>
    <xdr:pic>
      <xdr:nvPicPr>
        <xdr:cNvPr id="4" name="Grafik 3" descr="Fernglas Silhouette">
          <a:extLst>
            <a:ext uri="{FF2B5EF4-FFF2-40B4-BE49-F238E27FC236}">
              <a16:creationId xmlns:a16="http://schemas.microsoft.com/office/drawing/2014/main" id="{10B84FFA-7A08-40A5-8E6F-D587D8225D7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76780" y="7563070"/>
          <a:ext cx="358119" cy="361296"/>
        </a:xfrm>
        <a:prstGeom prst="rect">
          <a:avLst/>
        </a:prstGeom>
      </xdr:spPr>
    </xdr:pic>
    <xdr:clientData/>
  </xdr:oneCellAnchor>
  <xdr:twoCellAnchor>
    <xdr:from>
      <xdr:col>8</xdr:col>
      <xdr:colOff>75453</xdr:colOff>
      <xdr:row>18</xdr:row>
      <xdr:rowOff>102720</xdr:rowOff>
    </xdr:from>
    <xdr:to>
      <xdr:col>8</xdr:col>
      <xdr:colOff>1056400</xdr:colOff>
      <xdr:row>19</xdr:row>
      <xdr:rowOff>157730</xdr:rowOff>
    </xdr:to>
    <xdr:grpSp>
      <xdr:nvGrpSpPr>
        <xdr:cNvPr id="5" name="Gruppieren 4">
          <a:hlinkClick xmlns:r="http://schemas.openxmlformats.org/officeDocument/2006/relationships" r:id="rId7"/>
          <a:extLst>
            <a:ext uri="{FF2B5EF4-FFF2-40B4-BE49-F238E27FC236}">
              <a16:creationId xmlns:a16="http://schemas.microsoft.com/office/drawing/2014/main" id="{8DB47554-DE4A-49C1-8B21-9D134A53E73C}"/>
            </a:ext>
          </a:extLst>
        </xdr:cNvPr>
        <xdr:cNvGrpSpPr/>
      </xdr:nvGrpSpPr>
      <xdr:grpSpPr>
        <a:xfrm>
          <a:off x="5812865" y="3150720"/>
          <a:ext cx="980947" cy="245510"/>
          <a:chOff x="4130444" y="3557713"/>
          <a:chExt cx="768976" cy="216568"/>
        </a:xfrm>
      </xdr:grpSpPr>
      <xdr:pic>
        <xdr:nvPicPr>
          <xdr:cNvPr id="6" name="Grafik 5">
            <a:extLst>
              <a:ext uri="{FF2B5EF4-FFF2-40B4-BE49-F238E27FC236}">
                <a16:creationId xmlns:a16="http://schemas.microsoft.com/office/drawing/2014/main" id="{4050121D-2DA3-D734-60DE-C844D263D6A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7" name="Textfeld 6">
            <a:extLst>
              <a:ext uri="{FF2B5EF4-FFF2-40B4-BE49-F238E27FC236}">
                <a16:creationId xmlns:a16="http://schemas.microsoft.com/office/drawing/2014/main" id="{508A0025-9AE0-8DC9-6483-FAA5D02AB6EA}"/>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3.7 </a:t>
            </a:r>
            <a:r>
              <a:rPr lang="de-CH" sz="900" b="1">
                <a:solidFill>
                  <a:schemeClr val="tx1">
                    <a:lumMod val="75000"/>
                    <a:lumOff val="25000"/>
                  </a:schemeClr>
                </a:solidFill>
              </a:rPr>
              <a:t>Auftrag</a:t>
            </a:r>
          </a:p>
        </xdr:txBody>
      </xdr:sp>
    </xdr:grpSp>
    <xdr:clientData/>
  </xdr:twoCellAnchor>
  <xdr:twoCellAnchor editAs="oneCell">
    <xdr:from>
      <xdr:col>8</xdr:col>
      <xdr:colOff>142875</xdr:colOff>
      <xdr:row>10</xdr:row>
      <xdr:rowOff>0</xdr:rowOff>
    </xdr:from>
    <xdr:to>
      <xdr:col>8</xdr:col>
      <xdr:colOff>552450</xdr:colOff>
      <xdr:row>12</xdr:row>
      <xdr:rowOff>9525</xdr:rowOff>
    </xdr:to>
    <xdr:pic>
      <xdr:nvPicPr>
        <xdr:cNvPr id="8" name="Grafik 7" descr="Videokamera Silhouette">
          <a:hlinkClick xmlns:r="http://schemas.openxmlformats.org/officeDocument/2006/relationships" r:id="rId9"/>
          <a:extLst>
            <a:ext uri="{FF2B5EF4-FFF2-40B4-BE49-F238E27FC236}">
              <a16:creationId xmlns:a16="http://schemas.microsoft.com/office/drawing/2014/main" id="{7A724627-2E37-4756-AFD8-C97B7FCE5C5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864225" y="1663700"/>
          <a:ext cx="409575" cy="403225"/>
        </a:xfrm>
        <a:prstGeom prst="rect">
          <a:avLst/>
        </a:prstGeom>
      </xdr:spPr>
    </xdr:pic>
    <xdr:clientData/>
  </xdr:twoCellAnchor>
  <xdr:twoCellAnchor>
    <xdr:from>
      <xdr:col>8</xdr:col>
      <xdr:colOff>66675</xdr:colOff>
      <xdr:row>33</xdr:row>
      <xdr:rowOff>76200</xdr:rowOff>
    </xdr:from>
    <xdr:to>
      <xdr:col>8</xdr:col>
      <xdr:colOff>1047622</xdr:colOff>
      <xdr:row>34</xdr:row>
      <xdr:rowOff>131210</xdr:rowOff>
    </xdr:to>
    <xdr:grpSp>
      <xdr:nvGrpSpPr>
        <xdr:cNvPr id="9" name="Gruppieren 8">
          <a:hlinkClick xmlns:r="http://schemas.openxmlformats.org/officeDocument/2006/relationships" r:id="rId12"/>
          <a:extLst>
            <a:ext uri="{FF2B5EF4-FFF2-40B4-BE49-F238E27FC236}">
              <a16:creationId xmlns:a16="http://schemas.microsoft.com/office/drawing/2014/main" id="{2DB76E61-F5A1-4E54-822D-A4F3F48E9B83}"/>
            </a:ext>
          </a:extLst>
        </xdr:cNvPr>
        <xdr:cNvGrpSpPr/>
      </xdr:nvGrpSpPr>
      <xdr:grpSpPr>
        <a:xfrm>
          <a:off x="5804087" y="5914465"/>
          <a:ext cx="980947" cy="245510"/>
          <a:chOff x="4130444" y="3557713"/>
          <a:chExt cx="768976" cy="216568"/>
        </a:xfrm>
      </xdr:grpSpPr>
      <xdr:pic>
        <xdr:nvPicPr>
          <xdr:cNvPr id="10" name="Grafik 9">
            <a:extLst>
              <a:ext uri="{FF2B5EF4-FFF2-40B4-BE49-F238E27FC236}">
                <a16:creationId xmlns:a16="http://schemas.microsoft.com/office/drawing/2014/main" id="{32CB956D-472B-B45D-BE6D-98D9F334767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11" name="Textfeld 10">
            <a:extLst>
              <a:ext uri="{FF2B5EF4-FFF2-40B4-BE49-F238E27FC236}">
                <a16:creationId xmlns:a16="http://schemas.microsoft.com/office/drawing/2014/main" id="{D3BA05B6-A25D-33CA-70CA-582DD31331AD}"/>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3.3 </a:t>
            </a:r>
            <a:r>
              <a:rPr lang="de-CH" sz="900" b="1">
                <a:solidFill>
                  <a:schemeClr val="tx1">
                    <a:lumMod val="75000"/>
                    <a:lumOff val="25000"/>
                  </a:schemeClr>
                </a:solidFill>
              </a:rPr>
              <a:t>Auftrag</a:t>
            </a:r>
          </a:p>
        </xdr:txBody>
      </xdr:sp>
    </xdr:grpSp>
    <xdr:clientData/>
  </xdr:twoCellAnchor>
</xdr:wsDr>
</file>

<file path=xl/drawings/drawing15.xml><?xml version="1.0" encoding="utf-8"?>
<xdr:wsDr xmlns:xdr="http://schemas.openxmlformats.org/drawingml/2006/spreadsheetDrawing" xmlns:a="http://schemas.openxmlformats.org/drawingml/2006/main">
  <xdr:oneCellAnchor>
    <xdr:from>
      <xdr:col>3</xdr:col>
      <xdr:colOff>777008</xdr:colOff>
      <xdr:row>42</xdr:row>
      <xdr:rowOff>32844</xdr:rowOff>
    </xdr:from>
    <xdr:ext cx="336323" cy="325276"/>
    <xdr:pic>
      <xdr:nvPicPr>
        <xdr:cNvPr id="2" name="Grafik 1" descr="Klemmbrett abgehakt Silhouette">
          <a:extLst>
            <a:ext uri="{FF2B5EF4-FFF2-40B4-BE49-F238E27FC236}">
              <a16:creationId xmlns:a16="http://schemas.microsoft.com/office/drawing/2014/main" id="{13E471E0-0795-4FE4-8083-A11E50FF38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12108" y="7843344"/>
          <a:ext cx="336323" cy="325276"/>
        </a:xfrm>
        <a:prstGeom prst="rect">
          <a:avLst/>
        </a:prstGeom>
      </xdr:spPr>
    </xdr:pic>
    <xdr:clientData/>
  </xdr:oneCellAnchor>
  <xdr:oneCellAnchor>
    <xdr:from>
      <xdr:col>5</xdr:col>
      <xdr:colOff>558363</xdr:colOff>
      <xdr:row>42</xdr:row>
      <xdr:rowOff>39414</xdr:rowOff>
    </xdr:from>
    <xdr:ext cx="380350" cy="364469"/>
    <xdr:pic>
      <xdr:nvPicPr>
        <xdr:cNvPr id="3" name="Grafik 2" descr="Kommentar (wichtig) Silhouette">
          <a:extLst>
            <a:ext uri="{FF2B5EF4-FFF2-40B4-BE49-F238E27FC236}">
              <a16:creationId xmlns:a16="http://schemas.microsoft.com/office/drawing/2014/main" id="{C780FDB0-FE20-49B4-8BDA-6EC2856E785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101663" y="7849914"/>
          <a:ext cx="380350" cy="364469"/>
        </a:xfrm>
        <a:prstGeom prst="rect">
          <a:avLst/>
        </a:prstGeom>
      </xdr:spPr>
    </xdr:pic>
    <xdr:clientData/>
  </xdr:oneCellAnchor>
  <xdr:oneCellAnchor>
    <xdr:from>
      <xdr:col>8</xdr:col>
      <xdr:colOff>755430</xdr:colOff>
      <xdr:row>42</xdr:row>
      <xdr:rowOff>6570</xdr:rowOff>
    </xdr:from>
    <xdr:ext cx="358119" cy="361296"/>
    <xdr:pic>
      <xdr:nvPicPr>
        <xdr:cNvPr id="4" name="Grafik 3" descr="Fernglas Silhouette">
          <a:extLst>
            <a:ext uri="{FF2B5EF4-FFF2-40B4-BE49-F238E27FC236}">
              <a16:creationId xmlns:a16="http://schemas.microsoft.com/office/drawing/2014/main" id="{B5F7F273-5043-4855-9019-635A21D4FB7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76780" y="7817070"/>
          <a:ext cx="358119" cy="361296"/>
        </a:xfrm>
        <a:prstGeom prst="rect">
          <a:avLst/>
        </a:prstGeom>
      </xdr:spPr>
    </xdr:pic>
    <xdr:clientData/>
  </xdr:oneCellAnchor>
  <xdr:twoCellAnchor>
    <xdr:from>
      <xdr:col>8</xdr:col>
      <xdr:colOff>75453</xdr:colOff>
      <xdr:row>18</xdr:row>
      <xdr:rowOff>102720</xdr:rowOff>
    </xdr:from>
    <xdr:to>
      <xdr:col>8</xdr:col>
      <xdr:colOff>1056400</xdr:colOff>
      <xdr:row>19</xdr:row>
      <xdr:rowOff>157730</xdr:rowOff>
    </xdr:to>
    <xdr:grpSp>
      <xdr:nvGrpSpPr>
        <xdr:cNvPr id="5" name="Gruppieren 4">
          <a:hlinkClick xmlns:r="http://schemas.openxmlformats.org/officeDocument/2006/relationships" r:id="rId7"/>
          <a:extLst>
            <a:ext uri="{FF2B5EF4-FFF2-40B4-BE49-F238E27FC236}">
              <a16:creationId xmlns:a16="http://schemas.microsoft.com/office/drawing/2014/main" id="{296A3450-A6C0-4B4B-9FCA-F71C1BD85465}"/>
            </a:ext>
          </a:extLst>
        </xdr:cNvPr>
        <xdr:cNvGrpSpPr/>
      </xdr:nvGrpSpPr>
      <xdr:grpSpPr>
        <a:xfrm>
          <a:off x="5809503" y="3150720"/>
          <a:ext cx="980947" cy="245510"/>
          <a:chOff x="4130444" y="3557713"/>
          <a:chExt cx="768976" cy="216568"/>
        </a:xfrm>
      </xdr:grpSpPr>
      <xdr:pic>
        <xdr:nvPicPr>
          <xdr:cNvPr id="6" name="Grafik 5">
            <a:extLst>
              <a:ext uri="{FF2B5EF4-FFF2-40B4-BE49-F238E27FC236}">
                <a16:creationId xmlns:a16="http://schemas.microsoft.com/office/drawing/2014/main" id="{AC9E30F3-292A-1B49-3AC9-3FDFDF0EECF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7" name="Textfeld 6">
            <a:extLst>
              <a:ext uri="{FF2B5EF4-FFF2-40B4-BE49-F238E27FC236}">
                <a16:creationId xmlns:a16="http://schemas.microsoft.com/office/drawing/2014/main" id="{CA134A1B-8893-7401-47C3-017EB1FC5764}"/>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3.7 </a:t>
            </a:r>
            <a:r>
              <a:rPr lang="de-CH" sz="900" b="1">
                <a:solidFill>
                  <a:schemeClr val="tx1">
                    <a:lumMod val="75000"/>
                    <a:lumOff val="25000"/>
                  </a:schemeClr>
                </a:solidFill>
              </a:rPr>
              <a:t>Auftrag</a:t>
            </a:r>
          </a:p>
        </xdr:txBody>
      </xdr:sp>
    </xdr:grpSp>
    <xdr:clientData/>
  </xdr:twoCellAnchor>
  <xdr:twoCellAnchor editAs="oneCell">
    <xdr:from>
      <xdr:col>8</xdr:col>
      <xdr:colOff>142875</xdr:colOff>
      <xdr:row>10</xdr:row>
      <xdr:rowOff>0</xdr:rowOff>
    </xdr:from>
    <xdr:to>
      <xdr:col>8</xdr:col>
      <xdr:colOff>552450</xdr:colOff>
      <xdr:row>12</xdr:row>
      <xdr:rowOff>9525</xdr:rowOff>
    </xdr:to>
    <xdr:pic>
      <xdr:nvPicPr>
        <xdr:cNvPr id="8" name="Grafik 7" descr="Videokamera Silhouette">
          <a:hlinkClick xmlns:r="http://schemas.openxmlformats.org/officeDocument/2006/relationships" r:id="rId9"/>
          <a:extLst>
            <a:ext uri="{FF2B5EF4-FFF2-40B4-BE49-F238E27FC236}">
              <a16:creationId xmlns:a16="http://schemas.microsoft.com/office/drawing/2014/main" id="{68C1201C-D0BA-4860-ADD7-B872879B55C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864225" y="1879600"/>
          <a:ext cx="409575" cy="403225"/>
        </a:xfrm>
        <a:prstGeom prst="rect">
          <a:avLst/>
        </a:prstGeom>
      </xdr:spPr>
    </xdr:pic>
    <xdr:clientData/>
  </xdr:twoCellAnchor>
  <xdr:twoCellAnchor>
    <xdr:from>
      <xdr:col>8</xdr:col>
      <xdr:colOff>66675</xdr:colOff>
      <xdr:row>33</xdr:row>
      <xdr:rowOff>76200</xdr:rowOff>
    </xdr:from>
    <xdr:to>
      <xdr:col>8</xdr:col>
      <xdr:colOff>1047622</xdr:colOff>
      <xdr:row>34</xdr:row>
      <xdr:rowOff>131210</xdr:rowOff>
    </xdr:to>
    <xdr:grpSp>
      <xdr:nvGrpSpPr>
        <xdr:cNvPr id="9" name="Gruppieren 8">
          <a:hlinkClick xmlns:r="http://schemas.openxmlformats.org/officeDocument/2006/relationships" r:id="rId12"/>
          <a:extLst>
            <a:ext uri="{FF2B5EF4-FFF2-40B4-BE49-F238E27FC236}">
              <a16:creationId xmlns:a16="http://schemas.microsoft.com/office/drawing/2014/main" id="{4CFA04C5-391C-4276-89BB-D6DC0EAF00B5}"/>
            </a:ext>
          </a:extLst>
        </xdr:cNvPr>
        <xdr:cNvGrpSpPr/>
      </xdr:nvGrpSpPr>
      <xdr:grpSpPr>
        <a:xfrm>
          <a:off x="5800725" y="5915025"/>
          <a:ext cx="980947" cy="245510"/>
          <a:chOff x="4130444" y="3557713"/>
          <a:chExt cx="768976" cy="216568"/>
        </a:xfrm>
      </xdr:grpSpPr>
      <xdr:pic>
        <xdr:nvPicPr>
          <xdr:cNvPr id="10" name="Grafik 9">
            <a:extLst>
              <a:ext uri="{FF2B5EF4-FFF2-40B4-BE49-F238E27FC236}">
                <a16:creationId xmlns:a16="http://schemas.microsoft.com/office/drawing/2014/main" id="{377D2118-7B9B-D549-C814-8F3432CC4BD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11" name="Textfeld 10">
            <a:extLst>
              <a:ext uri="{FF2B5EF4-FFF2-40B4-BE49-F238E27FC236}">
                <a16:creationId xmlns:a16="http://schemas.microsoft.com/office/drawing/2014/main" id="{DE88F52A-D8AD-1648-22D3-137EFD711EF8}"/>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3.3 </a:t>
            </a:r>
            <a:r>
              <a:rPr lang="de-CH" sz="900" b="1">
                <a:solidFill>
                  <a:schemeClr val="tx1">
                    <a:lumMod val="75000"/>
                    <a:lumOff val="25000"/>
                  </a:schemeClr>
                </a:solidFill>
              </a:rPr>
              <a:t>Auftrag</a:t>
            </a:r>
          </a:p>
        </xdr:txBody>
      </xdr:sp>
    </xdr:grpSp>
    <xdr:clientData/>
  </xdr:twoCellAnchor>
  <xdr:twoCellAnchor>
    <xdr:from>
      <xdr:col>8</xdr:col>
      <xdr:colOff>112059</xdr:colOff>
      <xdr:row>23</xdr:row>
      <xdr:rowOff>74706</xdr:rowOff>
    </xdr:from>
    <xdr:to>
      <xdr:col>8</xdr:col>
      <xdr:colOff>1093006</xdr:colOff>
      <xdr:row>24</xdr:row>
      <xdr:rowOff>129716</xdr:rowOff>
    </xdr:to>
    <xdr:grpSp>
      <xdr:nvGrpSpPr>
        <xdr:cNvPr id="12" name="Gruppieren 11">
          <a:hlinkClick xmlns:r="http://schemas.openxmlformats.org/officeDocument/2006/relationships" r:id="rId13"/>
          <a:extLst>
            <a:ext uri="{FF2B5EF4-FFF2-40B4-BE49-F238E27FC236}">
              <a16:creationId xmlns:a16="http://schemas.microsoft.com/office/drawing/2014/main" id="{38D1E743-D004-4268-870D-72E32379AEA8}"/>
            </a:ext>
          </a:extLst>
        </xdr:cNvPr>
        <xdr:cNvGrpSpPr/>
      </xdr:nvGrpSpPr>
      <xdr:grpSpPr>
        <a:xfrm>
          <a:off x="5846109" y="4075206"/>
          <a:ext cx="980947" cy="245510"/>
          <a:chOff x="4130444" y="3557713"/>
          <a:chExt cx="768976" cy="216568"/>
        </a:xfrm>
      </xdr:grpSpPr>
      <xdr:pic>
        <xdr:nvPicPr>
          <xdr:cNvPr id="13" name="Grafik 12">
            <a:extLst>
              <a:ext uri="{FF2B5EF4-FFF2-40B4-BE49-F238E27FC236}">
                <a16:creationId xmlns:a16="http://schemas.microsoft.com/office/drawing/2014/main" id="{42F53ED1-3C05-5A8F-DEE4-5B6D9BEF018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14" name="Textfeld 13">
            <a:extLst>
              <a:ext uri="{FF2B5EF4-FFF2-40B4-BE49-F238E27FC236}">
                <a16:creationId xmlns:a16="http://schemas.microsoft.com/office/drawing/2014/main" id="{088C298F-DEC4-2C91-A7B5-FF93E2033751}"/>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3.10 </a:t>
            </a:r>
            <a:r>
              <a:rPr lang="de-CH" sz="900" b="1">
                <a:solidFill>
                  <a:schemeClr val="tx1">
                    <a:lumMod val="75000"/>
                    <a:lumOff val="25000"/>
                  </a:schemeClr>
                </a:solidFill>
              </a:rPr>
              <a:t>Auftrag</a:t>
            </a:r>
          </a:p>
        </xdr:txBody>
      </xdr:sp>
    </xdr:grpSp>
    <xdr:clientData/>
  </xdr:twoCellAnchor>
</xdr:wsDr>
</file>

<file path=xl/drawings/drawing16.xml><?xml version="1.0" encoding="utf-8"?>
<xdr:wsDr xmlns:xdr="http://schemas.openxmlformats.org/drawingml/2006/spreadsheetDrawing" xmlns:a="http://schemas.openxmlformats.org/drawingml/2006/main">
  <xdr:oneCellAnchor>
    <xdr:from>
      <xdr:col>3</xdr:col>
      <xdr:colOff>777008</xdr:colOff>
      <xdr:row>42</xdr:row>
      <xdr:rowOff>32844</xdr:rowOff>
    </xdr:from>
    <xdr:ext cx="336323" cy="325276"/>
    <xdr:pic>
      <xdr:nvPicPr>
        <xdr:cNvPr id="2" name="Grafik 1" descr="Klemmbrett abgehakt Silhouette">
          <a:extLst>
            <a:ext uri="{FF2B5EF4-FFF2-40B4-BE49-F238E27FC236}">
              <a16:creationId xmlns:a16="http://schemas.microsoft.com/office/drawing/2014/main" id="{C945D649-BE1A-407A-ACA0-53C7C1605C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02583" y="7687769"/>
          <a:ext cx="336323" cy="325276"/>
        </a:xfrm>
        <a:prstGeom prst="rect">
          <a:avLst/>
        </a:prstGeom>
      </xdr:spPr>
    </xdr:pic>
    <xdr:clientData/>
  </xdr:oneCellAnchor>
  <xdr:oneCellAnchor>
    <xdr:from>
      <xdr:col>5</xdr:col>
      <xdr:colOff>558363</xdr:colOff>
      <xdr:row>42</xdr:row>
      <xdr:rowOff>39414</xdr:rowOff>
    </xdr:from>
    <xdr:ext cx="380350" cy="364469"/>
    <xdr:pic>
      <xdr:nvPicPr>
        <xdr:cNvPr id="3" name="Grafik 2" descr="Kommentar (wichtig) Silhouette">
          <a:extLst>
            <a:ext uri="{FF2B5EF4-FFF2-40B4-BE49-F238E27FC236}">
              <a16:creationId xmlns:a16="http://schemas.microsoft.com/office/drawing/2014/main" id="{F396C65C-23F7-479F-96B8-B3AD66D4C90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095313" y="7697514"/>
          <a:ext cx="380350" cy="364469"/>
        </a:xfrm>
        <a:prstGeom prst="rect">
          <a:avLst/>
        </a:prstGeom>
      </xdr:spPr>
    </xdr:pic>
    <xdr:clientData/>
  </xdr:oneCellAnchor>
  <xdr:oneCellAnchor>
    <xdr:from>
      <xdr:col>8</xdr:col>
      <xdr:colOff>755430</xdr:colOff>
      <xdr:row>42</xdr:row>
      <xdr:rowOff>6570</xdr:rowOff>
    </xdr:from>
    <xdr:ext cx="358119" cy="361296"/>
    <xdr:pic>
      <xdr:nvPicPr>
        <xdr:cNvPr id="4" name="Grafik 3" descr="Fernglas Silhouette">
          <a:extLst>
            <a:ext uri="{FF2B5EF4-FFF2-40B4-BE49-F238E27FC236}">
              <a16:creationId xmlns:a16="http://schemas.microsoft.com/office/drawing/2014/main" id="{3E7AA687-2761-49F6-B06B-B1A4048FCB8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57730" y="7667845"/>
          <a:ext cx="358119" cy="361296"/>
        </a:xfrm>
        <a:prstGeom prst="rect">
          <a:avLst/>
        </a:prstGeom>
      </xdr:spPr>
    </xdr:pic>
    <xdr:clientData/>
  </xdr:oneCellAnchor>
  <xdr:twoCellAnchor editAs="oneCell">
    <xdr:from>
      <xdr:col>8</xdr:col>
      <xdr:colOff>142875</xdr:colOff>
      <xdr:row>10</xdr:row>
      <xdr:rowOff>0</xdr:rowOff>
    </xdr:from>
    <xdr:to>
      <xdr:col>8</xdr:col>
      <xdr:colOff>552450</xdr:colOff>
      <xdr:row>12</xdr:row>
      <xdr:rowOff>6350</xdr:rowOff>
    </xdr:to>
    <xdr:pic>
      <xdr:nvPicPr>
        <xdr:cNvPr id="8" name="Grafik 7" descr="Videokamera Silhouette">
          <a:extLst>
            <a:ext uri="{FF2B5EF4-FFF2-40B4-BE49-F238E27FC236}">
              <a16:creationId xmlns:a16="http://schemas.microsoft.com/office/drawing/2014/main" id="{FFC649EC-CC8F-4018-8541-F3C1B86D3CF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845175" y="1676400"/>
          <a:ext cx="412750" cy="406400"/>
        </a:xfrm>
        <a:prstGeom prst="rect">
          <a:avLst/>
        </a:prstGeom>
      </xdr:spPr>
    </xdr:pic>
    <xdr:clientData/>
  </xdr:twoCellAnchor>
  <xdr:twoCellAnchor>
    <xdr:from>
      <xdr:col>8</xdr:col>
      <xdr:colOff>63500</xdr:colOff>
      <xdr:row>33</xdr:row>
      <xdr:rowOff>76200</xdr:rowOff>
    </xdr:from>
    <xdr:to>
      <xdr:col>8</xdr:col>
      <xdr:colOff>1047622</xdr:colOff>
      <xdr:row>34</xdr:row>
      <xdr:rowOff>131210</xdr:rowOff>
    </xdr:to>
    <xdr:grpSp>
      <xdr:nvGrpSpPr>
        <xdr:cNvPr id="9" name="Gruppieren 8">
          <a:hlinkClick xmlns:r="http://schemas.openxmlformats.org/officeDocument/2006/relationships" r:id="rId9"/>
          <a:extLst>
            <a:ext uri="{FF2B5EF4-FFF2-40B4-BE49-F238E27FC236}">
              <a16:creationId xmlns:a16="http://schemas.microsoft.com/office/drawing/2014/main" id="{286BF641-015F-4D88-A0A0-316E2633DB87}"/>
            </a:ext>
          </a:extLst>
        </xdr:cNvPr>
        <xdr:cNvGrpSpPr/>
      </xdr:nvGrpSpPr>
      <xdr:grpSpPr>
        <a:xfrm>
          <a:off x="5807808" y="5908431"/>
          <a:ext cx="984122" cy="245510"/>
          <a:chOff x="4130444" y="3557713"/>
          <a:chExt cx="768976" cy="216568"/>
        </a:xfrm>
      </xdr:grpSpPr>
      <xdr:pic>
        <xdr:nvPicPr>
          <xdr:cNvPr id="10" name="Grafik 9">
            <a:extLst>
              <a:ext uri="{FF2B5EF4-FFF2-40B4-BE49-F238E27FC236}">
                <a16:creationId xmlns:a16="http://schemas.microsoft.com/office/drawing/2014/main" id="{28D0A28F-1A1C-BDE4-50B5-0D10376E330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11" name="Textfeld 10">
            <a:extLst>
              <a:ext uri="{FF2B5EF4-FFF2-40B4-BE49-F238E27FC236}">
                <a16:creationId xmlns:a16="http://schemas.microsoft.com/office/drawing/2014/main" id="{EE0AA148-626F-978A-82EE-9B63D3A7F1DA}"/>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3.3 </a:t>
            </a:r>
            <a:r>
              <a:rPr lang="de-CH" sz="900" b="1">
                <a:solidFill>
                  <a:schemeClr val="tx1">
                    <a:lumMod val="75000"/>
                    <a:lumOff val="25000"/>
                  </a:schemeClr>
                </a:solidFill>
              </a:rPr>
              <a:t>Auftrag</a:t>
            </a:r>
          </a:p>
        </xdr:txBody>
      </xdr:sp>
    </xdr:grpSp>
    <xdr:clientData/>
  </xdr:twoCellAnchor>
  <xdr:twoCellAnchor>
    <xdr:from>
      <xdr:col>8</xdr:col>
      <xdr:colOff>51320</xdr:colOff>
      <xdr:row>18</xdr:row>
      <xdr:rowOff>74707</xdr:rowOff>
    </xdr:from>
    <xdr:to>
      <xdr:col>8</xdr:col>
      <xdr:colOff>1035442</xdr:colOff>
      <xdr:row>19</xdr:row>
      <xdr:rowOff>126541</xdr:rowOff>
    </xdr:to>
    <xdr:grpSp>
      <xdr:nvGrpSpPr>
        <xdr:cNvPr id="12" name="Gruppieren 11">
          <a:hlinkClick xmlns:r="http://schemas.openxmlformats.org/officeDocument/2006/relationships" r:id="rId11"/>
          <a:extLst>
            <a:ext uri="{FF2B5EF4-FFF2-40B4-BE49-F238E27FC236}">
              <a16:creationId xmlns:a16="http://schemas.microsoft.com/office/drawing/2014/main" id="{8DC10B30-B1EA-49EE-AE87-3345C8564A5E}"/>
            </a:ext>
          </a:extLst>
        </xdr:cNvPr>
        <xdr:cNvGrpSpPr/>
      </xdr:nvGrpSpPr>
      <xdr:grpSpPr>
        <a:xfrm>
          <a:off x="5795628" y="3115380"/>
          <a:ext cx="984122" cy="242334"/>
          <a:chOff x="4130444" y="3557713"/>
          <a:chExt cx="768976" cy="216568"/>
        </a:xfrm>
      </xdr:grpSpPr>
      <xdr:pic>
        <xdr:nvPicPr>
          <xdr:cNvPr id="13" name="Grafik 12">
            <a:extLst>
              <a:ext uri="{FF2B5EF4-FFF2-40B4-BE49-F238E27FC236}">
                <a16:creationId xmlns:a16="http://schemas.microsoft.com/office/drawing/2014/main" id="{384E0C79-A371-41C7-0CCF-22C54256CC1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14" name="Textfeld 13">
            <a:extLst>
              <a:ext uri="{FF2B5EF4-FFF2-40B4-BE49-F238E27FC236}">
                <a16:creationId xmlns:a16="http://schemas.microsoft.com/office/drawing/2014/main" id="{B39B364D-CAFF-2A4A-E93D-37FF718D77F1}"/>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3.10 </a:t>
            </a:r>
            <a:r>
              <a:rPr lang="de-CH" sz="900" b="1">
                <a:solidFill>
                  <a:schemeClr val="tx1">
                    <a:lumMod val="75000"/>
                    <a:lumOff val="25000"/>
                  </a:schemeClr>
                </a:solidFill>
              </a:rPr>
              <a:t>Auftrag</a:t>
            </a:r>
          </a:p>
        </xdr:txBody>
      </xdr:sp>
    </xdr:grpSp>
    <xdr:clientData/>
  </xdr:twoCellAnchor>
  <xdr:twoCellAnchor editAs="oneCell">
    <xdr:from>
      <xdr:col>8</xdr:col>
      <xdr:colOff>209614</xdr:colOff>
      <xdr:row>38</xdr:row>
      <xdr:rowOff>27607</xdr:rowOff>
    </xdr:from>
    <xdr:to>
      <xdr:col>8</xdr:col>
      <xdr:colOff>754057</xdr:colOff>
      <xdr:row>40</xdr:row>
      <xdr:rowOff>174484</xdr:rowOff>
    </xdr:to>
    <xdr:pic>
      <xdr:nvPicPr>
        <xdr:cNvPr id="16" name="Grafik 15" descr="Volltreffer mit einfarbiger Füllung">
          <a:extLst>
            <a:ext uri="{FF2B5EF4-FFF2-40B4-BE49-F238E27FC236}">
              <a16:creationId xmlns:a16="http://schemas.microsoft.com/office/drawing/2014/main" id="{545EBA3C-EFC9-762A-C4E9-A1E800DA0E5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953922" y="6812338"/>
          <a:ext cx="544443" cy="527877"/>
        </a:xfrm>
        <a:prstGeom prst="rect">
          <a:avLst/>
        </a:prstGeom>
      </xdr:spPr>
    </xdr:pic>
    <xdr:clientData/>
  </xdr:twoCellAnchor>
  <xdr:twoCellAnchor>
    <xdr:from>
      <xdr:col>8</xdr:col>
      <xdr:colOff>22088</xdr:colOff>
      <xdr:row>22</xdr:row>
      <xdr:rowOff>82821</xdr:rowOff>
    </xdr:from>
    <xdr:to>
      <xdr:col>8</xdr:col>
      <xdr:colOff>1087783</xdr:colOff>
      <xdr:row>23</xdr:row>
      <xdr:rowOff>148598</xdr:rowOff>
    </xdr:to>
    <xdr:grpSp>
      <xdr:nvGrpSpPr>
        <xdr:cNvPr id="17" name="Gruppieren 16">
          <a:hlinkClick xmlns:r="http://schemas.openxmlformats.org/officeDocument/2006/relationships" r:id="rId14"/>
          <a:extLst>
            <a:ext uri="{FF2B5EF4-FFF2-40B4-BE49-F238E27FC236}">
              <a16:creationId xmlns:a16="http://schemas.microsoft.com/office/drawing/2014/main" id="{2E9368DE-85AA-459D-BF9A-0DDD12CED554}"/>
            </a:ext>
          </a:extLst>
        </xdr:cNvPr>
        <xdr:cNvGrpSpPr/>
      </xdr:nvGrpSpPr>
      <xdr:grpSpPr>
        <a:xfrm>
          <a:off x="5766396" y="3885494"/>
          <a:ext cx="1065695" cy="256277"/>
          <a:chOff x="5693001" y="4491404"/>
          <a:chExt cx="1104152" cy="273110"/>
        </a:xfrm>
      </xdr:grpSpPr>
      <xdr:pic>
        <xdr:nvPicPr>
          <xdr:cNvPr id="18" name="Grafik 17">
            <a:extLst>
              <a:ext uri="{FF2B5EF4-FFF2-40B4-BE49-F238E27FC236}">
                <a16:creationId xmlns:a16="http://schemas.microsoft.com/office/drawing/2014/main" id="{D0083425-F0D1-2E3A-1E62-D4A727CCBC79}"/>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5693001" y="4493989"/>
            <a:ext cx="424980" cy="239203"/>
          </a:xfrm>
          <a:prstGeom prst="rect">
            <a:avLst/>
          </a:prstGeom>
        </xdr:spPr>
      </xdr:pic>
      <xdr:sp macro="" textlink="">
        <xdr:nvSpPr>
          <xdr:cNvPr id="19" name="Textfeld 18">
            <a:extLst>
              <a:ext uri="{FF2B5EF4-FFF2-40B4-BE49-F238E27FC236}">
                <a16:creationId xmlns:a16="http://schemas.microsoft.com/office/drawing/2014/main" id="{A4E4C406-1F20-50CC-41A1-3EF20CB533C5}"/>
              </a:ext>
            </a:extLst>
          </xdr:cNvPr>
          <xdr:cNvSpPr txBox="1"/>
        </xdr:nvSpPr>
        <xdr:spPr>
          <a:xfrm>
            <a:off x="6008076" y="4491404"/>
            <a:ext cx="789077" cy="273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CH" sz="1100" b="1"/>
              <a:t>3.10_LNW</a:t>
            </a:r>
          </a:p>
        </xdr:txBody>
      </xdr:sp>
    </xdr:grpSp>
    <xdr:clientData/>
  </xdr:twoCellAnchor>
  <xdr:twoCellAnchor>
    <xdr:from>
      <xdr:col>7</xdr:col>
      <xdr:colOff>337038</xdr:colOff>
      <xdr:row>37</xdr:row>
      <xdr:rowOff>29308</xdr:rowOff>
    </xdr:from>
    <xdr:to>
      <xdr:col>8</xdr:col>
      <xdr:colOff>1012803</xdr:colOff>
      <xdr:row>38</xdr:row>
      <xdr:rowOff>103368</xdr:rowOff>
    </xdr:to>
    <xdr:grpSp>
      <xdr:nvGrpSpPr>
        <xdr:cNvPr id="5" name="Gruppieren 4">
          <a:extLst>
            <a:ext uri="{FF2B5EF4-FFF2-40B4-BE49-F238E27FC236}">
              <a16:creationId xmlns:a16="http://schemas.microsoft.com/office/drawing/2014/main" id="{BC57FEFD-81A5-48D3-828B-316A626E69BC}"/>
            </a:ext>
          </a:extLst>
        </xdr:cNvPr>
        <xdr:cNvGrpSpPr/>
      </xdr:nvGrpSpPr>
      <xdr:grpSpPr>
        <a:xfrm>
          <a:off x="5736980" y="6623539"/>
          <a:ext cx="1020131" cy="264560"/>
          <a:chOff x="5693001" y="4491404"/>
          <a:chExt cx="1056944" cy="281937"/>
        </a:xfrm>
      </xdr:grpSpPr>
      <xdr:pic>
        <xdr:nvPicPr>
          <xdr:cNvPr id="6" name="Grafik 5">
            <a:extLst>
              <a:ext uri="{FF2B5EF4-FFF2-40B4-BE49-F238E27FC236}">
                <a16:creationId xmlns:a16="http://schemas.microsoft.com/office/drawing/2014/main" id="{5A9DA155-BA5A-11B4-A319-BFC609ED118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5693001" y="4493989"/>
            <a:ext cx="424980" cy="239203"/>
          </a:xfrm>
          <a:prstGeom prst="rect">
            <a:avLst/>
          </a:prstGeom>
        </xdr:spPr>
      </xdr:pic>
      <xdr:sp macro="" textlink="">
        <xdr:nvSpPr>
          <xdr:cNvPr id="7" name="Textfeld 6">
            <a:extLst>
              <a:ext uri="{FF2B5EF4-FFF2-40B4-BE49-F238E27FC236}">
                <a16:creationId xmlns:a16="http://schemas.microsoft.com/office/drawing/2014/main" id="{372BDA04-DD70-F7F7-5ED6-FA7E156814CE}"/>
              </a:ext>
            </a:extLst>
          </xdr:cNvPr>
          <xdr:cNvSpPr txBox="1"/>
        </xdr:nvSpPr>
        <xdr:spPr>
          <a:xfrm>
            <a:off x="6008076" y="4491404"/>
            <a:ext cx="741869" cy="2819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CH" sz="1100" b="1"/>
              <a:t>3.3_LNW</a:t>
            </a:r>
          </a:p>
        </xdr:txBody>
      </xdr:sp>
    </xdr:grpSp>
    <xdr:clientData/>
  </xdr:twoCellAnchor>
</xdr:wsDr>
</file>

<file path=xl/drawings/drawing17.xml><?xml version="1.0" encoding="utf-8"?>
<xdr:wsDr xmlns:xdr="http://schemas.openxmlformats.org/drawingml/2006/spreadsheetDrawing" xmlns:a="http://schemas.openxmlformats.org/drawingml/2006/main">
  <xdr:oneCellAnchor>
    <xdr:from>
      <xdr:col>3</xdr:col>
      <xdr:colOff>777008</xdr:colOff>
      <xdr:row>42</xdr:row>
      <xdr:rowOff>32844</xdr:rowOff>
    </xdr:from>
    <xdr:ext cx="336323" cy="325276"/>
    <xdr:pic>
      <xdr:nvPicPr>
        <xdr:cNvPr id="2" name="Grafik 1" descr="Klemmbrett abgehakt Silhouette">
          <a:extLst>
            <a:ext uri="{FF2B5EF4-FFF2-40B4-BE49-F238E27FC236}">
              <a16:creationId xmlns:a16="http://schemas.microsoft.com/office/drawing/2014/main" id="{510D794A-9A81-4DDB-9DEB-FDD5B66C78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15283" y="7462344"/>
          <a:ext cx="336323" cy="325276"/>
        </a:xfrm>
        <a:prstGeom prst="rect">
          <a:avLst/>
        </a:prstGeom>
      </xdr:spPr>
    </xdr:pic>
    <xdr:clientData/>
  </xdr:oneCellAnchor>
  <xdr:oneCellAnchor>
    <xdr:from>
      <xdr:col>5</xdr:col>
      <xdr:colOff>558363</xdr:colOff>
      <xdr:row>42</xdr:row>
      <xdr:rowOff>39414</xdr:rowOff>
    </xdr:from>
    <xdr:ext cx="380350" cy="364469"/>
    <xdr:pic>
      <xdr:nvPicPr>
        <xdr:cNvPr id="3" name="Grafik 2" descr="Kommentar (wichtig) Silhouette">
          <a:extLst>
            <a:ext uri="{FF2B5EF4-FFF2-40B4-BE49-F238E27FC236}">
              <a16:creationId xmlns:a16="http://schemas.microsoft.com/office/drawing/2014/main" id="{8093AF6D-E5EA-43A4-8380-9573518282B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111188" y="7468914"/>
          <a:ext cx="380350" cy="364469"/>
        </a:xfrm>
        <a:prstGeom prst="rect">
          <a:avLst/>
        </a:prstGeom>
      </xdr:spPr>
    </xdr:pic>
    <xdr:clientData/>
  </xdr:oneCellAnchor>
  <xdr:oneCellAnchor>
    <xdr:from>
      <xdr:col>8</xdr:col>
      <xdr:colOff>755430</xdr:colOff>
      <xdr:row>42</xdr:row>
      <xdr:rowOff>6570</xdr:rowOff>
    </xdr:from>
    <xdr:ext cx="358119" cy="361296"/>
    <xdr:pic>
      <xdr:nvPicPr>
        <xdr:cNvPr id="4" name="Grafik 3" descr="Fernglas Silhouette">
          <a:extLst>
            <a:ext uri="{FF2B5EF4-FFF2-40B4-BE49-F238E27FC236}">
              <a16:creationId xmlns:a16="http://schemas.microsoft.com/office/drawing/2014/main" id="{4688305E-E43B-4162-B9CF-6AA976BB859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89480" y="7436070"/>
          <a:ext cx="358119" cy="361296"/>
        </a:xfrm>
        <a:prstGeom prst="rect">
          <a:avLst/>
        </a:prstGeom>
      </xdr:spPr>
    </xdr:pic>
    <xdr:clientData/>
  </xdr:oneCellAnchor>
  <xdr:twoCellAnchor editAs="oneCell">
    <xdr:from>
      <xdr:col>8</xdr:col>
      <xdr:colOff>142875</xdr:colOff>
      <xdr:row>10</xdr:row>
      <xdr:rowOff>0</xdr:rowOff>
    </xdr:from>
    <xdr:to>
      <xdr:col>8</xdr:col>
      <xdr:colOff>552450</xdr:colOff>
      <xdr:row>12</xdr:row>
      <xdr:rowOff>6350</xdr:rowOff>
    </xdr:to>
    <xdr:pic>
      <xdr:nvPicPr>
        <xdr:cNvPr id="5" name="Grafik 4" descr="Videokamera Silhouette">
          <a:extLst>
            <a:ext uri="{FF2B5EF4-FFF2-40B4-BE49-F238E27FC236}">
              <a16:creationId xmlns:a16="http://schemas.microsoft.com/office/drawing/2014/main" id="{12FDC73F-4DC4-4948-991E-429D9D72446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876925" y="1676400"/>
          <a:ext cx="409575" cy="406400"/>
        </a:xfrm>
        <a:prstGeom prst="rect">
          <a:avLst/>
        </a:prstGeom>
      </xdr:spPr>
    </xdr:pic>
    <xdr:clientData/>
  </xdr:twoCellAnchor>
  <xdr:twoCellAnchor>
    <xdr:from>
      <xdr:col>8</xdr:col>
      <xdr:colOff>63500</xdr:colOff>
      <xdr:row>33</xdr:row>
      <xdr:rowOff>76200</xdr:rowOff>
    </xdr:from>
    <xdr:to>
      <xdr:col>8</xdr:col>
      <xdr:colOff>1047622</xdr:colOff>
      <xdr:row>34</xdr:row>
      <xdr:rowOff>131210</xdr:rowOff>
    </xdr:to>
    <xdr:grpSp>
      <xdr:nvGrpSpPr>
        <xdr:cNvPr id="6" name="Gruppieren 5">
          <a:hlinkClick xmlns:r="http://schemas.openxmlformats.org/officeDocument/2006/relationships" r:id="rId9"/>
          <a:extLst>
            <a:ext uri="{FF2B5EF4-FFF2-40B4-BE49-F238E27FC236}">
              <a16:creationId xmlns:a16="http://schemas.microsoft.com/office/drawing/2014/main" id="{58EC5201-8254-4745-BE5E-0BBEE11640C8}"/>
            </a:ext>
          </a:extLst>
        </xdr:cNvPr>
        <xdr:cNvGrpSpPr/>
      </xdr:nvGrpSpPr>
      <xdr:grpSpPr>
        <a:xfrm>
          <a:off x="5807808" y="5908431"/>
          <a:ext cx="984122" cy="245510"/>
          <a:chOff x="4130444" y="3557713"/>
          <a:chExt cx="768976" cy="216568"/>
        </a:xfrm>
      </xdr:grpSpPr>
      <xdr:pic>
        <xdr:nvPicPr>
          <xdr:cNvPr id="7" name="Grafik 6">
            <a:extLst>
              <a:ext uri="{FF2B5EF4-FFF2-40B4-BE49-F238E27FC236}">
                <a16:creationId xmlns:a16="http://schemas.microsoft.com/office/drawing/2014/main" id="{884320E1-20F6-3441-4885-1EAFCE23C6B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8" name="Textfeld 7">
            <a:extLst>
              <a:ext uri="{FF2B5EF4-FFF2-40B4-BE49-F238E27FC236}">
                <a16:creationId xmlns:a16="http://schemas.microsoft.com/office/drawing/2014/main" id="{E27C7F03-71F0-EF96-47BC-43784FF0AA26}"/>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3.3 </a:t>
            </a:r>
            <a:r>
              <a:rPr lang="de-CH" sz="900" b="1">
                <a:solidFill>
                  <a:schemeClr val="tx1">
                    <a:lumMod val="75000"/>
                    <a:lumOff val="25000"/>
                  </a:schemeClr>
                </a:solidFill>
              </a:rPr>
              <a:t>Auftrag</a:t>
            </a:r>
          </a:p>
        </xdr:txBody>
      </xdr:sp>
    </xdr:grpSp>
    <xdr:clientData/>
  </xdr:twoCellAnchor>
  <xdr:twoCellAnchor>
    <xdr:from>
      <xdr:col>7</xdr:col>
      <xdr:colOff>337147</xdr:colOff>
      <xdr:row>26</xdr:row>
      <xdr:rowOff>82821</xdr:rowOff>
    </xdr:from>
    <xdr:to>
      <xdr:col>8</xdr:col>
      <xdr:colOff>1058476</xdr:colOff>
      <xdr:row>27</xdr:row>
      <xdr:rowOff>148598</xdr:rowOff>
    </xdr:to>
    <xdr:grpSp>
      <xdr:nvGrpSpPr>
        <xdr:cNvPr id="13" name="Gruppieren 12">
          <a:hlinkClick xmlns:r="http://schemas.openxmlformats.org/officeDocument/2006/relationships" r:id="rId11"/>
          <a:extLst>
            <a:ext uri="{FF2B5EF4-FFF2-40B4-BE49-F238E27FC236}">
              <a16:creationId xmlns:a16="http://schemas.microsoft.com/office/drawing/2014/main" id="{EEAF272F-958F-4587-94B1-998D3DAFB827}"/>
            </a:ext>
          </a:extLst>
        </xdr:cNvPr>
        <xdr:cNvGrpSpPr/>
      </xdr:nvGrpSpPr>
      <xdr:grpSpPr>
        <a:xfrm>
          <a:off x="5737089" y="4647494"/>
          <a:ext cx="1065695" cy="256277"/>
          <a:chOff x="5693001" y="4491404"/>
          <a:chExt cx="1104152" cy="273110"/>
        </a:xfrm>
      </xdr:grpSpPr>
      <xdr:pic>
        <xdr:nvPicPr>
          <xdr:cNvPr id="14" name="Grafik 13">
            <a:extLst>
              <a:ext uri="{FF2B5EF4-FFF2-40B4-BE49-F238E27FC236}">
                <a16:creationId xmlns:a16="http://schemas.microsoft.com/office/drawing/2014/main" id="{55BC11B3-B622-756B-8134-89897764AEC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693001" y="4493989"/>
            <a:ext cx="424980" cy="239203"/>
          </a:xfrm>
          <a:prstGeom prst="rect">
            <a:avLst/>
          </a:prstGeom>
        </xdr:spPr>
      </xdr:pic>
      <xdr:sp macro="" textlink="">
        <xdr:nvSpPr>
          <xdr:cNvPr id="15" name="Textfeld 14">
            <a:extLst>
              <a:ext uri="{FF2B5EF4-FFF2-40B4-BE49-F238E27FC236}">
                <a16:creationId xmlns:a16="http://schemas.microsoft.com/office/drawing/2014/main" id="{C0328C61-AA41-9AE7-BABE-327AC7A66480}"/>
              </a:ext>
            </a:extLst>
          </xdr:cNvPr>
          <xdr:cNvSpPr txBox="1"/>
        </xdr:nvSpPr>
        <xdr:spPr>
          <a:xfrm>
            <a:off x="6008076" y="4491404"/>
            <a:ext cx="789077" cy="273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CH" sz="1100" b="1"/>
              <a:t>3.10_LNW</a:t>
            </a:r>
          </a:p>
        </xdr:txBody>
      </xdr:sp>
    </xdr:grpSp>
    <xdr:clientData/>
  </xdr:twoCellAnchor>
  <xdr:twoCellAnchor>
    <xdr:from>
      <xdr:col>8</xdr:col>
      <xdr:colOff>63500</xdr:colOff>
      <xdr:row>33</xdr:row>
      <xdr:rowOff>76200</xdr:rowOff>
    </xdr:from>
    <xdr:to>
      <xdr:col>8</xdr:col>
      <xdr:colOff>1047622</xdr:colOff>
      <xdr:row>34</xdr:row>
      <xdr:rowOff>131210</xdr:rowOff>
    </xdr:to>
    <xdr:grpSp>
      <xdr:nvGrpSpPr>
        <xdr:cNvPr id="23" name="Gruppieren 22">
          <a:hlinkClick xmlns:r="http://schemas.openxmlformats.org/officeDocument/2006/relationships" r:id="rId9"/>
          <a:extLst>
            <a:ext uri="{FF2B5EF4-FFF2-40B4-BE49-F238E27FC236}">
              <a16:creationId xmlns:a16="http://schemas.microsoft.com/office/drawing/2014/main" id="{ABD9E3DD-BCD2-4EC7-B4E3-9DFB28624207}"/>
            </a:ext>
          </a:extLst>
        </xdr:cNvPr>
        <xdr:cNvGrpSpPr/>
      </xdr:nvGrpSpPr>
      <xdr:grpSpPr>
        <a:xfrm>
          <a:off x="5807808" y="5908431"/>
          <a:ext cx="984122" cy="245510"/>
          <a:chOff x="4130444" y="3557713"/>
          <a:chExt cx="768976" cy="216568"/>
        </a:xfrm>
      </xdr:grpSpPr>
      <xdr:pic>
        <xdr:nvPicPr>
          <xdr:cNvPr id="24" name="Grafik 23">
            <a:extLst>
              <a:ext uri="{FF2B5EF4-FFF2-40B4-BE49-F238E27FC236}">
                <a16:creationId xmlns:a16="http://schemas.microsoft.com/office/drawing/2014/main" id="{4E30A4ED-6E32-1CF9-7739-7161D36D7B0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25" name="Textfeld 24">
            <a:extLst>
              <a:ext uri="{FF2B5EF4-FFF2-40B4-BE49-F238E27FC236}">
                <a16:creationId xmlns:a16="http://schemas.microsoft.com/office/drawing/2014/main" id="{4D377DAF-0C57-6C5A-0517-36CA98AE1508}"/>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3.3 </a:t>
            </a:r>
            <a:r>
              <a:rPr lang="de-CH" sz="900" b="1">
                <a:solidFill>
                  <a:schemeClr val="tx1">
                    <a:lumMod val="75000"/>
                    <a:lumOff val="25000"/>
                  </a:schemeClr>
                </a:solidFill>
              </a:rPr>
              <a:t>Auftrag</a:t>
            </a:r>
          </a:p>
        </xdr:txBody>
      </xdr:sp>
    </xdr:grpSp>
    <xdr:clientData/>
  </xdr:twoCellAnchor>
  <xdr:twoCellAnchor editAs="oneCell">
    <xdr:from>
      <xdr:col>8</xdr:col>
      <xdr:colOff>209615</xdr:colOff>
      <xdr:row>38</xdr:row>
      <xdr:rowOff>130728</xdr:rowOff>
    </xdr:from>
    <xdr:to>
      <xdr:col>8</xdr:col>
      <xdr:colOff>647701</xdr:colOff>
      <xdr:row>40</xdr:row>
      <xdr:rowOff>174484</xdr:rowOff>
    </xdr:to>
    <xdr:pic>
      <xdr:nvPicPr>
        <xdr:cNvPr id="26" name="Grafik 25" descr="Volltreffer mit einfarbiger Füllung">
          <a:hlinkClick xmlns:r="http://schemas.openxmlformats.org/officeDocument/2006/relationships" r:id="rId13"/>
          <a:extLst>
            <a:ext uri="{FF2B5EF4-FFF2-40B4-BE49-F238E27FC236}">
              <a16:creationId xmlns:a16="http://schemas.microsoft.com/office/drawing/2014/main" id="{1B8D2FF8-E7C2-40EA-BCEB-F3BB58B8A88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943665" y="6922053"/>
          <a:ext cx="438086" cy="424756"/>
        </a:xfrm>
        <a:prstGeom prst="rect">
          <a:avLst/>
        </a:prstGeom>
      </xdr:spPr>
    </xdr:pic>
    <xdr:clientData/>
  </xdr:twoCellAnchor>
  <xdr:twoCellAnchor editAs="oneCell">
    <xdr:from>
      <xdr:col>3</xdr:col>
      <xdr:colOff>581025</xdr:colOff>
      <xdr:row>49</xdr:row>
      <xdr:rowOff>28575</xdr:rowOff>
    </xdr:from>
    <xdr:to>
      <xdr:col>3</xdr:col>
      <xdr:colOff>1019111</xdr:colOff>
      <xdr:row>51</xdr:row>
      <xdr:rowOff>72331</xdr:rowOff>
    </xdr:to>
    <xdr:pic>
      <xdr:nvPicPr>
        <xdr:cNvPr id="30" name="Grafik 29" descr="Volltreffer mit einfarbiger Füllung">
          <a:hlinkClick xmlns:r="http://schemas.openxmlformats.org/officeDocument/2006/relationships" r:id="rId13"/>
          <a:extLst>
            <a:ext uri="{FF2B5EF4-FFF2-40B4-BE49-F238E27FC236}">
              <a16:creationId xmlns:a16="http://schemas.microsoft.com/office/drawing/2014/main" id="{68533A3C-8E7E-43FC-B689-EEC5DA1AFEE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019300" y="8791575"/>
          <a:ext cx="438086" cy="42475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oneCellAnchor>
    <xdr:from>
      <xdr:col>3</xdr:col>
      <xdr:colOff>777008</xdr:colOff>
      <xdr:row>42</xdr:row>
      <xdr:rowOff>32844</xdr:rowOff>
    </xdr:from>
    <xdr:ext cx="336323" cy="325276"/>
    <xdr:pic>
      <xdr:nvPicPr>
        <xdr:cNvPr id="2" name="Grafik 1" descr="Klemmbrett abgehakt Silhouette">
          <a:extLst>
            <a:ext uri="{FF2B5EF4-FFF2-40B4-BE49-F238E27FC236}">
              <a16:creationId xmlns:a16="http://schemas.microsoft.com/office/drawing/2014/main" id="{88182208-CCE6-4B75-85A1-2517E74B5E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15283" y="7462344"/>
          <a:ext cx="336323" cy="325276"/>
        </a:xfrm>
        <a:prstGeom prst="rect">
          <a:avLst/>
        </a:prstGeom>
      </xdr:spPr>
    </xdr:pic>
    <xdr:clientData/>
  </xdr:oneCellAnchor>
  <xdr:oneCellAnchor>
    <xdr:from>
      <xdr:col>5</xdr:col>
      <xdr:colOff>558363</xdr:colOff>
      <xdr:row>42</xdr:row>
      <xdr:rowOff>39414</xdr:rowOff>
    </xdr:from>
    <xdr:ext cx="380350" cy="364469"/>
    <xdr:pic>
      <xdr:nvPicPr>
        <xdr:cNvPr id="3" name="Grafik 2" descr="Kommentar (wichtig) Silhouette">
          <a:extLst>
            <a:ext uri="{FF2B5EF4-FFF2-40B4-BE49-F238E27FC236}">
              <a16:creationId xmlns:a16="http://schemas.microsoft.com/office/drawing/2014/main" id="{1ACA80EE-F21C-48EA-AC99-6FF9C99ABB2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111188" y="7468914"/>
          <a:ext cx="380350" cy="364469"/>
        </a:xfrm>
        <a:prstGeom prst="rect">
          <a:avLst/>
        </a:prstGeom>
      </xdr:spPr>
    </xdr:pic>
    <xdr:clientData/>
  </xdr:oneCellAnchor>
  <xdr:oneCellAnchor>
    <xdr:from>
      <xdr:col>8</xdr:col>
      <xdr:colOff>755430</xdr:colOff>
      <xdr:row>42</xdr:row>
      <xdr:rowOff>6570</xdr:rowOff>
    </xdr:from>
    <xdr:ext cx="358119" cy="361296"/>
    <xdr:pic>
      <xdr:nvPicPr>
        <xdr:cNvPr id="4" name="Grafik 3" descr="Fernglas Silhouette">
          <a:extLst>
            <a:ext uri="{FF2B5EF4-FFF2-40B4-BE49-F238E27FC236}">
              <a16:creationId xmlns:a16="http://schemas.microsoft.com/office/drawing/2014/main" id="{AFEC504E-BA0E-4B72-9FA2-38AE8FD14FB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89480" y="7436070"/>
          <a:ext cx="358119" cy="361296"/>
        </a:xfrm>
        <a:prstGeom prst="rect">
          <a:avLst/>
        </a:prstGeom>
      </xdr:spPr>
    </xdr:pic>
    <xdr:clientData/>
  </xdr:oneCellAnchor>
  <xdr:twoCellAnchor editAs="oneCell">
    <xdr:from>
      <xdr:col>8</xdr:col>
      <xdr:colOff>142875</xdr:colOff>
      <xdr:row>10</xdr:row>
      <xdr:rowOff>0</xdr:rowOff>
    </xdr:from>
    <xdr:to>
      <xdr:col>8</xdr:col>
      <xdr:colOff>552450</xdr:colOff>
      <xdr:row>12</xdr:row>
      <xdr:rowOff>6350</xdr:rowOff>
    </xdr:to>
    <xdr:pic>
      <xdr:nvPicPr>
        <xdr:cNvPr id="5" name="Grafik 4" descr="Videokamera Silhouette">
          <a:extLst>
            <a:ext uri="{FF2B5EF4-FFF2-40B4-BE49-F238E27FC236}">
              <a16:creationId xmlns:a16="http://schemas.microsoft.com/office/drawing/2014/main" id="{91F55306-6568-483F-9B45-200BB3DCAEE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876925" y="1676400"/>
          <a:ext cx="409575" cy="406400"/>
        </a:xfrm>
        <a:prstGeom prst="rect">
          <a:avLst/>
        </a:prstGeom>
      </xdr:spPr>
    </xdr:pic>
    <xdr:clientData/>
  </xdr:twoCellAnchor>
  <xdr:twoCellAnchor>
    <xdr:from>
      <xdr:col>8</xdr:col>
      <xdr:colOff>63500</xdr:colOff>
      <xdr:row>33</xdr:row>
      <xdr:rowOff>76200</xdr:rowOff>
    </xdr:from>
    <xdr:to>
      <xdr:col>8</xdr:col>
      <xdr:colOff>1047622</xdr:colOff>
      <xdr:row>34</xdr:row>
      <xdr:rowOff>131210</xdr:rowOff>
    </xdr:to>
    <xdr:grpSp>
      <xdr:nvGrpSpPr>
        <xdr:cNvPr id="6" name="Gruppieren 5">
          <a:hlinkClick xmlns:r="http://schemas.openxmlformats.org/officeDocument/2006/relationships" r:id="rId9"/>
          <a:extLst>
            <a:ext uri="{FF2B5EF4-FFF2-40B4-BE49-F238E27FC236}">
              <a16:creationId xmlns:a16="http://schemas.microsoft.com/office/drawing/2014/main" id="{587A525C-CDE2-46A8-9C7F-17F2F80E39CA}"/>
            </a:ext>
          </a:extLst>
        </xdr:cNvPr>
        <xdr:cNvGrpSpPr/>
      </xdr:nvGrpSpPr>
      <xdr:grpSpPr>
        <a:xfrm>
          <a:off x="5797550" y="5915025"/>
          <a:ext cx="984122" cy="245510"/>
          <a:chOff x="4130444" y="3557713"/>
          <a:chExt cx="768976" cy="216568"/>
        </a:xfrm>
      </xdr:grpSpPr>
      <xdr:pic>
        <xdr:nvPicPr>
          <xdr:cNvPr id="7" name="Grafik 6">
            <a:extLst>
              <a:ext uri="{FF2B5EF4-FFF2-40B4-BE49-F238E27FC236}">
                <a16:creationId xmlns:a16="http://schemas.microsoft.com/office/drawing/2014/main" id="{A4DDCCB0-F5C7-119F-B4C8-8020448BF73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8" name="Textfeld 7">
            <a:extLst>
              <a:ext uri="{FF2B5EF4-FFF2-40B4-BE49-F238E27FC236}">
                <a16:creationId xmlns:a16="http://schemas.microsoft.com/office/drawing/2014/main" id="{0CC1F87F-C5E3-6904-CBA6-4852C6655CB8}"/>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3.3 </a:t>
            </a:r>
            <a:r>
              <a:rPr lang="de-CH" sz="900" b="1">
                <a:solidFill>
                  <a:schemeClr val="tx1">
                    <a:lumMod val="75000"/>
                    <a:lumOff val="25000"/>
                  </a:schemeClr>
                </a:solidFill>
              </a:rPr>
              <a:t>Auftrag</a:t>
            </a:r>
          </a:p>
        </xdr:txBody>
      </xdr:sp>
    </xdr:grpSp>
    <xdr:clientData/>
  </xdr:twoCellAnchor>
  <xdr:twoCellAnchor>
    <xdr:from>
      <xdr:col>7</xdr:col>
      <xdr:colOff>337147</xdr:colOff>
      <xdr:row>26</xdr:row>
      <xdr:rowOff>82821</xdr:rowOff>
    </xdr:from>
    <xdr:to>
      <xdr:col>8</xdr:col>
      <xdr:colOff>1058476</xdr:colOff>
      <xdr:row>27</xdr:row>
      <xdr:rowOff>148598</xdr:rowOff>
    </xdr:to>
    <xdr:grpSp>
      <xdr:nvGrpSpPr>
        <xdr:cNvPr id="9" name="Gruppieren 8">
          <a:hlinkClick xmlns:r="http://schemas.openxmlformats.org/officeDocument/2006/relationships" r:id="rId11"/>
          <a:extLst>
            <a:ext uri="{FF2B5EF4-FFF2-40B4-BE49-F238E27FC236}">
              <a16:creationId xmlns:a16="http://schemas.microsoft.com/office/drawing/2014/main" id="{6C075151-594C-47E0-9625-30423643A591}"/>
            </a:ext>
          </a:extLst>
        </xdr:cNvPr>
        <xdr:cNvGrpSpPr/>
      </xdr:nvGrpSpPr>
      <xdr:grpSpPr>
        <a:xfrm>
          <a:off x="5728297" y="4654821"/>
          <a:ext cx="1064229" cy="256277"/>
          <a:chOff x="5693001" y="4491404"/>
          <a:chExt cx="1104152" cy="273110"/>
        </a:xfrm>
      </xdr:grpSpPr>
      <xdr:pic>
        <xdr:nvPicPr>
          <xdr:cNvPr id="10" name="Grafik 9">
            <a:extLst>
              <a:ext uri="{FF2B5EF4-FFF2-40B4-BE49-F238E27FC236}">
                <a16:creationId xmlns:a16="http://schemas.microsoft.com/office/drawing/2014/main" id="{414CE347-7CBF-B9A6-437F-027F3FA1BBF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693001" y="4493989"/>
            <a:ext cx="424980" cy="239203"/>
          </a:xfrm>
          <a:prstGeom prst="rect">
            <a:avLst/>
          </a:prstGeom>
        </xdr:spPr>
      </xdr:pic>
      <xdr:sp macro="" textlink="">
        <xdr:nvSpPr>
          <xdr:cNvPr id="11" name="Textfeld 10">
            <a:extLst>
              <a:ext uri="{FF2B5EF4-FFF2-40B4-BE49-F238E27FC236}">
                <a16:creationId xmlns:a16="http://schemas.microsoft.com/office/drawing/2014/main" id="{BA73734B-6939-97E6-CD8D-4E73DF54DF4B}"/>
              </a:ext>
            </a:extLst>
          </xdr:cNvPr>
          <xdr:cNvSpPr txBox="1"/>
        </xdr:nvSpPr>
        <xdr:spPr>
          <a:xfrm>
            <a:off x="6008076" y="4491404"/>
            <a:ext cx="789077" cy="273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CH" sz="1100" b="1"/>
              <a:t>3.10_LNW</a:t>
            </a:r>
          </a:p>
        </xdr:txBody>
      </xdr:sp>
    </xdr:grpSp>
    <xdr:clientData/>
  </xdr:twoCellAnchor>
  <xdr:twoCellAnchor>
    <xdr:from>
      <xdr:col>8</xdr:col>
      <xdr:colOff>63500</xdr:colOff>
      <xdr:row>33</xdr:row>
      <xdr:rowOff>76200</xdr:rowOff>
    </xdr:from>
    <xdr:to>
      <xdr:col>8</xdr:col>
      <xdr:colOff>1047622</xdr:colOff>
      <xdr:row>34</xdr:row>
      <xdr:rowOff>131210</xdr:rowOff>
    </xdr:to>
    <xdr:grpSp>
      <xdr:nvGrpSpPr>
        <xdr:cNvPr id="12" name="Gruppieren 11">
          <a:hlinkClick xmlns:r="http://schemas.openxmlformats.org/officeDocument/2006/relationships" r:id="rId9"/>
          <a:extLst>
            <a:ext uri="{FF2B5EF4-FFF2-40B4-BE49-F238E27FC236}">
              <a16:creationId xmlns:a16="http://schemas.microsoft.com/office/drawing/2014/main" id="{8BDE9E13-1D99-4515-A62B-79C3EB0F0F0B}"/>
            </a:ext>
          </a:extLst>
        </xdr:cNvPr>
        <xdr:cNvGrpSpPr/>
      </xdr:nvGrpSpPr>
      <xdr:grpSpPr>
        <a:xfrm>
          <a:off x="5797550" y="5915025"/>
          <a:ext cx="984122" cy="245510"/>
          <a:chOff x="4130444" y="3557713"/>
          <a:chExt cx="768976" cy="216568"/>
        </a:xfrm>
      </xdr:grpSpPr>
      <xdr:pic>
        <xdr:nvPicPr>
          <xdr:cNvPr id="13" name="Grafik 12">
            <a:extLst>
              <a:ext uri="{FF2B5EF4-FFF2-40B4-BE49-F238E27FC236}">
                <a16:creationId xmlns:a16="http://schemas.microsoft.com/office/drawing/2014/main" id="{C7779FB3-8F13-67CC-C6C6-CAED5A813BC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14" name="Textfeld 13">
            <a:extLst>
              <a:ext uri="{FF2B5EF4-FFF2-40B4-BE49-F238E27FC236}">
                <a16:creationId xmlns:a16="http://schemas.microsoft.com/office/drawing/2014/main" id="{145DAA7A-FE5A-3095-74EB-094F16A5F8F2}"/>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3.3 </a:t>
            </a:r>
            <a:r>
              <a:rPr lang="de-CH" sz="900" b="1">
                <a:solidFill>
                  <a:schemeClr val="tx1">
                    <a:lumMod val="75000"/>
                    <a:lumOff val="25000"/>
                  </a:schemeClr>
                </a:solidFill>
              </a:rPr>
              <a:t>Auftrag</a:t>
            </a:r>
          </a:p>
        </xdr:txBody>
      </xdr:sp>
    </xdr:grpSp>
    <xdr:clientData/>
  </xdr:twoCellAnchor>
  <xdr:twoCellAnchor>
    <xdr:from>
      <xdr:col>8</xdr:col>
      <xdr:colOff>21979</xdr:colOff>
      <xdr:row>35</xdr:row>
      <xdr:rowOff>36635</xdr:rowOff>
    </xdr:from>
    <xdr:to>
      <xdr:col>8</xdr:col>
      <xdr:colOff>1042110</xdr:colOff>
      <xdr:row>36</xdr:row>
      <xdr:rowOff>110695</xdr:rowOff>
    </xdr:to>
    <xdr:grpSp>
      <xdr:nvGrpSpPr>
        <xdr:cNvPr id="16" name="Gruppieren 15">
          <a:hlinkClick xmlns:r="http://schemas.openxmlformats.org/officeDocument/2006/relationships" r:id="rId13"/>
          <a:extLst>
            <a:ext uri="{FF2B5EF4-FFF2-40B4-BE49-F238E27FC236}">
              <a16:creationId xmlns:a16="http://schemas.microsoft.com/office/drawing/2014/main" id="{88B1F912-368E-480F-BC96-DD8CB75E03BE}"/>
            </a:ext>
          </a:extLst>
        </xdr:cNvPr>
        <xdr:cNvGrpSpPr/>
      </xdr:nvGrpSpPr>
      <xdr:grpSpPr>
        <a:xfrm>
          <a:off x="5756029" y="6256460"/>
          <a:ext cx="1020131" cy="264560"/>
          <a:chOff x="5693001" y="4491404"/>
          <a:chExt cx="1056944" cy="281937"/>
        </a:xfrm>
      </xdr:grpSpPr>
      <xdr:pic>
        <xdr:nvPicPr>
          <xdr:cNvPr id="17" name="Grafik 16">
            <a:extLst>
              <a:ext uri="{FF2B5EF4-FFF2-40B4-BE49-F238E27FC236}">
                <a16:creationId xmlns:a16="http://schemas.microsoft.com/office/drawing/2014/main" id="{ED410ED5-D09B-C6FF-2A66-81CF9813F3F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693001" y="4493989"/>
            <a:ext cx="424980" cy="239203"/>
          </a:xfrm>
          <a:prstGeom prst="rect">
            <a:avLst/>
          </a:prstGeom>
        </xdr:spPr>
      </xdr:pic>
      <xdr:sp macro="" textlink="">
        <xdr:nvSpPr>
          <xdr:cNvPr id="18" name="Textfeld 17">
            <a:extLst>
              <a:ext uri="{FF2B5EF4-FFF2-40B4-BE49-F238E27FC236}">
                <a16:creationId xmlns:a16="http://schemas.microsoft.com/office/drawing/2014/main" id="{9BB97847-8A7A-4CAB-0D07-B559B99445D4}"/>
              </a:ext>
            </a:extLst>
          </xdr:cNvPr>
          <xdr:cNvSpPr txBox="1"/>
        </xdr:nvSpPr>
        <xdr:spPr>
          <a:xfrm>
            <a:off x="6008076" y="4491404"/>
            <a:ext cx="741869" cy="2819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CH" sz="1100" b="1"/>
              <a:t>3.3_LNW</a:t>
            </a:r>
          </a:p>
        </xdr:txBody>
      </xdr:sp>
    </xdr:grpSp>
    <xdr:clientData/>
  </xdr:twoCellAnchor>
  <xdr:twoCellAnchor editAs="oneCell">
    <xdr:from>
      <xdr:col>4</xdr:col>
      <xdr:colOff>17839</xdr:colOff>
      <xdr:row>47</xdr:row>
      <xdr:rowOff>9875</xdr:rowOff>
    </xdr:from>
    <xdr:to>
      <xdr:col>4</xdr:col>
      <xdr:colOff>631835</xdr:colOff>
      <xdr:row>50</xdr:row>
      <xdr:rowOff>52371</xdr:rowOff>
    </xdr:to>
    <xdr:pic>
      <xdr:nvPicPr>
        <xdr:cNvPr id="21" name="Grafik 20" descr="Schneeflocke Silhouette">
          <a:extLst>
            <a:ext uri="{FF2B5EF4-FFF2-40B4-BE49-F238E27FC236}">
              <a16:creationId xmlns:a16="http://schemas.microsoft.com/office/drawing/2014/main" id="{721C8AA2-59F1-64BF-4E74-14E95137C8B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618578" y="8391875"/>
          <a:ext cx="613996" cy="613996"/>
        </a:xfrm>
        <a:prstGeom prst="rect">
          <a:avLst/>
        </a:prstGeom>
      </xdr:spPr>
    </xdr:pic>
    <xdr:clientData/>
  </xdr:twoCellAnchor>
  <xdr:twoCellAnchor editAs="oneCell">
    <xdr:from>
      <xdr:col>5</xdr:col>
      <xdr:colOff>85333</xdr:colOff>
      <xdr:row>47</xdr:row>
      <xdr:rowOff>76730</xdr:rowOff>
    </xdr:from>
    <xdr:to>
      <xdr:col>6</xdr:col>
      <xdr:colOff>63798</xdr:colOff>
      <xdr:row>52</xdr:row>
      <xdr:rowOff>31303</xdr:rowOff>
    </xdr:to>
    <xdr:pic>
      <xdr:nvPicPr>
        <xdr:cNvPr id="23" name="Grafik 22" descr="Schneemann Silhouette">
          <a:extLst>
            <a:ext uri="{FF2B5EF4-FFF2-40B4-BE49-F238E27FC236}">
              <a16:creationId xmlns:a16="http://schemas.microsoft.com/office/drawing/2014/main" id="{774EEF92-C6AF-6E14-92BD-F8D1C1D1CEF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638572" y="8458730"/>
          <a:ext cx="914400" cy="91535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oneCellAnchor>
    <xdr:from>
      <xdr:col>3</xdr:col>
      <xdr:colOff>777008</xdr:colOff>
      <xdr:row>42</xdr:row>
      <xdr:rowOff>32844</xdr:rowOff>
    </xdr:from>
    <xdr:ext cx="336323" cy="325276"/>
    <xdr:pic>
      <xdr:nvPicPr>
        <xdr:cNvPr id="2" name="Grafik 1" descr="Klemmbrett abgehakt Silhouette">
          <a:extLst>
            <a:ext uri="{FF2B5EF4-FFF2-40B4-BE49-F238E27FC236}">
              <a16:creationId xmlns:a16="http://schemas.microsoft.com/office/drawing/2014/main" id="{99084758-81E4-400D-B957-546F018459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15283" y="7462344"/>
          <a:ext cx="336323" cy="325276"/>
        </a:xfrm>
        <a:prstGeom prst="rect">
          <a:avLst/>
        </a:prstGeom>
      </xdr:spPr>
    </xdr:pic>
    <xdr:clientData/>
  </xdr:oneCellAnchor>
  <xdr:oneCellAnchor>
    <xdr:from>
      <xdr:col>5</xdr:col>
      <xdr:colOff>558363</xdr:colOff>
      <xdr:row>42</xdr:row>
      <xdr:rowOff>39414</xdr:rowOff>
    </xdr:from>
    <xdr:ext cx="380350" cy="364469"/>
    <xdr:pic>
      <xdr:nvPicPr>
        <xdr:cNvPr id="3" name="Grafik 2" descr="Kommentar (wichtig) Silhouette">
          <a:extLst>
            <a:ext uri="{FF2B5EF4-FFF2-40B4-BE49-F238E27FC236}">
              <a16:creationId xmlns:a16="http://schemas.microsoft.com/office/drawing/2014/main" id="{1E083125-AB67-4CBD-84D8-8C8A94541C2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111188" y="7468914"/>
          <a:ext cx="380350" cy="364469"/>
        </a:xfrm>
        <a:prstGeom prst="rect">
          <a:avLst/>
        </a:prstGeom>
      </xdr:spPr>
    </xdr:pic>
    <xdr:clientData/>
  </xdr:oneCellAnchor>
  <xdr:oneCellAnchor>
    <xdr:from>
      <xdr:col>8</xdr:col>
      <xdr:colOff>755430</xdr:colOff>
      <xdr:row>42</xdr:row>
      <xdr:rowOff>6570</xdr:rowOff>
    </xdr:from>
    <xdr:ext cx="358119" cy="361296"/>
    <xdr:pic>
      <xdr:nvPicPr>
        <xdr:cNvPr id="4" name="Grafik 3" descr="Fernglas Silhouette">
          <a:extLst>
            <a:ext uri="{FF2B5EF4-FFF2-40B4-BE49-F238E27FC236}">
              <a16:creationId xmlns:a16="http://schemas.microsoft.com/office/drawing/2014/main" id="{64D0865F-90B0-416D-9E60-C8E074843D5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89480" y="7436070"/>
          <a:ext cx="358119" cy="361296"/>
        </a:xfrm>
        <a:prstGeom prst="rect">
          <a:avLst/>
        </a:prstGeom>
      </xdr:spPr>
    </xdr:pic>
    <xdr:clientData/>
  </xdr:oneCellAnchor>
  <xdr:twoCellAnchor editAs="oneCell">
    <xdr:from>
      <xdr:col>8</xdr:col>
      <xdr:colOff>142875</xdr:colOff>
      <xdr:row>10</xdr:row>
      <xdr:rowOff>0</xdr:rowOff>
    </xdr:from>
    <xdr:to>
      <xdr:col>8</xdr:col>
      <xdr:colOff>552450</xdr:colOff>
      <xdr:row>12</xdr:row>
      <xdr:rowOff>6350</xdr:rowOff>
    </xdr:to>
    <xdr:pic>
      <xdr:nvPicPr>
        <xdr:cNvPr id="5" name="Grafik 4" descr="Videokamera Silhouette">
          <a:extLst>
            <a:ext uri="{FF2B5EF4-FFF2-40B4-BE49-F238E27FC236}">
              <a16:creationId xmlns:a16="http://schemas.microsoft.com/office/drawing/2014/main" id="{E0394F3C-FDFA-4A50-9D17-893C1B657E9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876925" y="1676400"/>
          <a:ext cx="409575" cy="406400"/>
        </a:xfrm>
        <a:prstGeom prst="rect">
          <a:avLst/>
        </a:prstGeom>
      </xdr:spPr>
    </xdr:pic>
    <xdr:clientData/>
  </xdr:twoCellAnchor>
  <xdr:twoCellAnchor>
    <xdr:from>
      <xdr:col>8</xdr:col>
      <xdr:colOff>63500</xdr:colOff>
      <xdr:row>33</xdr:row>
      <xdr:rowOff>76200</xdr:rowOff>
    </xdr:from>
    <xdr:to>
      <xdr:col>8</xdr:col>
      <xdr:colOff>1047622</xdr:colOff>
      <xdr:row>34</xdr:row>
      <xdr:rowOff>131210</xdr:rowOff>
    </xdr:to>
    <xdr:grpSp>
      <xdr:nvGrpSpPr>
        <xdr:cNvPr id="6" name="Gruppieren 5">
          <a:hlinkClick xmlns:r="http://schemas.openxmlformats.org/officeDocument/2006/relationships" r:id=""/>
          <a:extLst>
            <a:ext uri="{FF2B5EF4-FFF2-40B4-BE49-F238E27FC236}">
              <a16:creationId xmlns:a16="http://schemas.microsoft.com/office/drawing/2014/main" id="{2A880843-CF7D-4C98-AC30-711FE63FE622}"/>
            </a:ext>
          </a:extLst>
        </xdr:cNvPr>
        <xdr:cNvGrpSpPr/>
      </xdr:nvGrpSpPr>
      <xdr:grpSpPr>
        <a:xfrm>
          <a:off x="5797550" y="5915025"/>
          <a:ext cx="984122" cy="245510"/>
          <a:chOff x="4130444" y="3557713"/>
          <a:chExt cx="768976" cy="216568"/>
        </a:xfrm>
      </xdr:grpSpPr>
      <xdr:pic>
        <xdr:nvPicPr>
          <xdr:cNvPr id="7" name="Grafik 6">
            <a:hlinkClick xmlns:r="http://schemas.openxmlformats.org/officeDocument/2006/relationships" r:id="rId9"/>
            <a:extLst>
              <a:ext uri="{FF2B5EF4-FFF2-40B4-BE49-F238E27FC236}">
                <a16:creationId xmlns:a16="http://schemas.microsoft.com/office/drawing/2014/main" id="{C864AF6D-9EAE-9543-BDC2-414356DD624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8" name="Textfeld 7">
            <a:hlinkClick xmlns:r="http://schemas.openxmlformats.org/officeDocument/2006/relationships" r:id="rId9"/>
            <a:extLst>
              <a:ext uri="{FF2B5EF4-FFF2-40B4-BE49-F238E27FC236}">
                <a16:creationId xmlns:a16="http://schemas.microsoft.com/office/drawing/2014/main" id="{303CA0AC-6C22-3E69-A86B-BFA86F962844}"/>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3.3 </a:t>
            </a:r>
            <a:r>
              <a:rPr lang="de-CH" sz="900" b="1">
                <a:solidFill>
                  <a:schemeClr val="tx1">
                    <a:lumMod val="75000"/>
                    <a:lumOff val="25000"/>
                  </a:schemeClr>
                </a:solidFill>
              </a:rPr>
              <a:t>Auftrag</a:t>
            </a:r>
          </a:p>
        </xdr:txBody>
      </xdr:sp>
    </xdr:grpSp>
    <xdr:clientData/>
  </xdr:twoCellAnchor>
  <xdr:twoCellAnchor>
    <xdr:from>
      <xdr:col>8</xdr:col>
      <xdr:colOff>63500</xdr:colOff>
      <xdr:row>33</xdr:row>
      <xdr:rowOff>76200</xdr:rowOff>
    </xdr:from>
    <xdr:to>
      <xdr:col>8</xdr:col>
      <xdr:colOff>1047622</xdr:colOff>
      <xdr:row>34</xdr:row>
      <xdr:rowOff>131210</xdr:rowOff>
    </xdr:to>
    <xdr:grpSp>
      <xdr:nvGrpSpPr>
        <xdr:cNvPr id="12" name="Gruppieren 11">
          <a:hlinkClick xmlns:r="http://schemas.openxmlformats.org/officeDocument/2006/relationships" r:id=""/>
          <a:extLst>
            <a:ext uri="{FF2B5EF4-FFF2-40B4-BE49-F238E27FC236}">
              <a16:creationId xmlns:a16="http://schemas.microsoft.com/office/drawing/2014/main" id="{5F534F44-D4E4-4B2F-BEBC-E4FA766F257A}"/>
            </a:ext>
          </a:extLst>
        </xdr:cNvPr>
        <xdr:cNvGrpSpPr/>
      </xdr:nvGrpSpPr>
      <xdr:grpSpPr>
        <a:xfrm>
          <a:off x="5797550" y="5915025"/>
          <a:ext cx="984122" cy="245510"/>
          <a:chOff x="4130444" y="3557713"/>
          <a:chExt cx="768976" cy="216568"/>
        </a:xfrm>
      </xdr:grpSpPr>
      <xdr:pic>
        <xdr:nvPicPr>
          <xdr:cNvPr id="13" name="Grafik 12">
            <a:hlinkClick xmlns:r="http://schemas.openxmlformats.org/officeDocument/2006/relationships" r:id="rId9"/>
            <a:extLst>
              <a:ext uri="{FF2B5EF4-FFF2-40B4-BE49-F238E27FC236}">
                <a16:creationId xmlns:a16="http://schemas.microsoft.com/office/drawing/2014/main" id="{829C75B6-145D-4256-7EBA-ABE4B4BD261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14" name="Textfeld 13">
            <a:hlinkClick xmlns:r="http://schemas.openxmlformats.org/officeDocument/2006/relationships" r:id="rId9"/>
            <a:extLst>
              <a:ext uri="{FF2B5EF4-FFF2-40B4-BE49-F238E27FC236}">
                <a16:creationId xmlns:a16="http://schemas.microsoft.com/office/drawing/2014/main" id="{1BE315B5-4501-CE97-1FEA-0D75CAD08A89}"/>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3.3 </a:t>
            </a:r>
            <a:r>
              <a:rPr lang="de-CH" sz="900" b="1">
                <a:solidFill>
                  <a:schemeClr val="tx1">
                    <a:lumMod val="75000"/>
                    <a:lumOff val="25000"/>
                  </a:schemeClr>
                </a:solidFill>
              </a:rPr>
              <a:t>Auftrag</a:t>
            </a:r>
          </a:p>
        </xdr:txBody>
      </xdr:sp>
    </xdr:grpSp>
    <xdr:clientData/>
  </xdr:twoCellAnchor>
  <xdr:twoCellAnchor>
    <xdr:from>
      <xdr:col>8</xdr:col>
      <xdr:colOff>21979</xdr:colOff>
      <xdr:row>35</xdr:row>
      <xdr:rowOff>36635</xdr:rowOff>
    </xdr:from>
    <xdr:to>
      <xdr:col>8</xdr:col>
      <xdr:colOff>1042110</xdr:colOff>
      <xdr:row>36</xdr:row>
      <xdr:rowOff>110695</xdr:rowOff>
    </xdr:to>
    <xdr:grpSp>
      <xdr:nvGrpSpPr>
        <xdr:cNvPr id="15" name="Gruppieren 14">
          <a:hlinkClick xmlns:r="http://schemas.openxmlformats.org/officeDocument/2006/relationships" r:id=""/>
          <a:extLst>
            <a:ext uri="{FF2B5EF4-FFF2-40B4-BE49-F238E27FC236}">
              <a16:creationId xmlns:a16="http://schemas.microsoft.com/office/drawing/2014/main" id="{A04201F1-607B-4675-AD8E-B362527BA47E}"/>
            </a:ext>
          </a:extLst>
        </xdr:cNvPr>
        <xdr:cNvGrpSpPr/>
      </xdr:nvGrpSpPr>
      <xdr:grpSpPr>
        <a:xfrm>
          <a:off x="5756029" y="6256460"/>
          <a:ext cx="1020131" cy="264560"/>
          <a:chOff x="5693001" y="4491404"/>
          <a:chExt cx="1056944" cy="281937"/>
        </a:xfrm>
      </xdr:grpSpPr>
      <xdr:pic>
        <xdr:nvPicPr>
          <xdr:cNvPr id="16" name="Grafik 15">
            <a:hlinkClick xmlns:r="http://schemas.openxmlformats.org/officeDocument/2006/relationships" r:id="rId11"/>
            <a:extLst>
              <a:ext uri="{FF2B5EF4-FFF2-40B4-BE49-F238E27FC236}">
                <a16:creationId xmlns:a16="http://schemas.microsoft.com/office/drawing/2014/main" id="{C3F4E6EC-6F6A-2652-187B-A4923A76A47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693001" y="4493989"/>
            <a:ext cx="424980" cy="239203"/>
          </a:xfrm>
          <a:prstGeom prst="rect">
            <a:avLst/>
          </a:prstGeom>
        </xdr:spPr>
      </xdr:pic>
      <xdr:sp macro="" textlink="">
        <xdr:nvSpPr>
          <xdr:cNvPr id="17" name="Textfeld 16">
            <a:hlinkClick xmlns:r="http://schemas.openxmlformats.org/officeDocument/2006/relationships" r:id="rId11"/>
            <a:extLst>
              <a:ext uri="{FF2B5EF4-FFF2-40B4-BE49-F238E27FC236}">
                <a16:creationId xmlns:a16="http://schemas.microsoft.com/office/drawing/2014/main" id="{1180F459-AE47-20AF-FD11-10FA072CAE8F}"/>
              </a:ext>
            </a:extLst>
          </xdr:cNvPr>
          <xdr:cNvSpPr txBox="1"/>
        </xdr:nvSpPr>
        <xdr:spPr>
          <a:xfrm>
            <a:off x="6008076" y="4491404"/>
            <a:ext cx="741869" cy="2819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CH" sz="1100" b="1"/>
              <a:t>3.3_LNW</a:t>
            </a:r>
          </a:p>
        </xdr:txBody>
      </xdr:sp>
    </xdr:grpSp>
    <xdr:clientData/>
  </xdr:twoCellAnchor>
  <xdr:twoCellAnchor>
    <xdr:from>
      <xdr:col>1</xdr:col>
      <xdr:colOff>895350</xdr:colOff>
      <xdr:row>49</xdr:row>
      <xdr:rowOff>28575</xdr:rowOff>
    </xdr:from>
    <xdr:to>
      <xdr:col>3</xdr:col>
      <xdr:colOff>591506</xdr:colOff>
      <xdr:row>50</xdr:row>
      <xdr:rowOff>102635</xdr:rowOff>
    </xdr:to>
    <xdr:grpSp>
      <xdr:nvGrpSpPr>
        <xdr:cNvPr id="20" name="Gruppieren 19">
          <a:hlinkClick xmlns:r="http://schemas.openxmlformats.org/officeDocument/2006/relationships" r:id=""/>
          <a:extLst>
            <a:ext uri="{FF2B5EF4-FFF2-40B4-BE49-F238E27FC236}">
              <a16:creationId xmlns:a16="http://schemas.microsoft.com/office/drawing/2014/main" id="{BE42BC4C-D36A-43BF-8AE2-B103422DD302}"/>
            </a:ext>
          </a:extLst>
        </xdr:cNvPr>
        <xdr:cNvGrpSpPr/>
      </xdr:nvGrpSpPr>
      <xdr:grpSpPr>
        <a:xfrm>
          <a:off x="1009650" y="8791575"/>
          <a:ext cx="1020131" cy="264560"/>
          <a:chOff x="5693001" y="4491404"/>
          <a:chExt cx="1056944" cy="281937"/>
        </a:xfrm>
      </xdr:grpSpPr>
      <xdr:pic>
        <xdr:nvPicPr>
          <xdr:cNvPr id="21" name="Grafik 20">
            <a:hlinkClick xmlns:r="http://schemas.openxmlformats.org/officeDocument/2006/relationships" r:id="rId11"/>
            <a:extLst>
              <a:ext uri="{FF2B5EF4-FFF2-40B4-BE49-F238E27FC236}">
                <a16:creationId xmlns:a16="http://schemas.microsoft.com/office/drawing/2014/main" id="{B771930E-D5A5-5AA4-2BDA-B86E7BE8D78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693001" y="4493989"/>
            <a:ext cx="424980" cy="239203"/>
          </a:xfrm>
          <a:prstGeom prst="rect">
            <a:avLst/>
          </a:prstGeom>
        </xdr:spPr>
      </xdr:pic>
      <xdr:sp macro="" textlink="">
        <xdr:nvSpPr>
          <xdr:cNvPr id="22" name="Textfeld 21">
            <a:hlinkClick xmlns:r="http://schemas.openxmlformats.org/officeDocument/2006/relationships" r:id="rId11"/>
            <a:extLst>
              <a:ext uri="{FF2B5EF4-FFF2-40B4-BE49-F238E27FC236}">
                <a16:creationId xmlns:a16="http://schemas.microsoft.com/office/drawing/2014/main" id="{AA62BDDB-B7E4-186C-2B8E-1E5FBC84BCF0}"/>
              </a:ext>
            </a:extLst>
          </xdr:cNvPr>
          <xdr:cNvSpPr txBox="1"/>
        </xdr:nvSpPr>
        <xdr:spPr>
          <a:xfrm>
            <a:off x="6008076" y="4491404"/>
            <a:ext cx="741869" cy="2819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CH" sz="1100" b="1"/>
              <a:t>3.3_LNW</a:t>
            </a:r>
          </a:p>
        </xdr:txBody>
      </xdr:sp>
    </xdr:grpSp>
    <xdr:clientData/>
  </xdr:twoCellAnchor>
  <xdr:twoCellAnchor>
    <xdr:from>
      <xdr:col>8</xdr:col>
      <xdr:colOff>104775</xdr:colOff>
      <xdr:row>27</xdr:row>
      <xdr:rowOff>0</xdr:rowOff>
    </xdr:from>
    <xdr:to>
      <xdr:col>8</xdr:col>
      <xdr:colOff>1088897</xdr:colOff>
      <xdr:row>28</xdr:row>
      <xdr:rowOff>51834</xdr:rowOff>
    </xdr:to>
    <xdr:grpSp>
      <xdr:nvGrpSpPr>
        <xdr:cNvPr id="23" name="Gruppieren 22">
          <a:hlinkClick xmlns:r="http://schemas.openxmlformats.org/officeDocument/2006/relationships" r:id=""/>
          <a:extLst>
            <a:ext uri="{FF2B5EF4-FFF2-40B4-BE49-F238E27FC236}">
              <a16:creationId xmlns:a16="http://schemas.microsoft.com/office/drawing/2014/main" id="{8BB0088A-6073-442F-AE30-97D0C2CD2A9A}"/>
            </a:ext>
          </a:extLst>
        </xdr:cNvPr>
        <xdr:cNvGrpSpPr/>
      </xdr:nvGrpSpPr>
      <xdr:grpSpPr>
        <a:xfrm>
          <a:off x="5838825" y="4762500"/>
          <a:ext cx="984122" cy="242334"/>
          <a:chOff x="4130444" y="3557713"/>
          <a:chExt cx="768976" cy="216568"/>
        </a:xfrm>
      </xdr:grpSpPr>
      <xdr:pic>
        <xdr:nvPicPr>
          <xdr:cNvPr id="24" name="Grafik 23">
            <a:hlinkClick xmlns:r="http://schemas.openxmlformats.org/officeDocument/2006/relationships" r:id="rId13"/>
            <a:extLst>
              <a:ext uri="{FF2B5EF4-FFF2-40B4-BE49-F238E27FC236}">
                <a16:creationId xmlns:a16="http://schemas.microsoft.com/office/drawing/2014/main" id="{D6F96BEE-9E6A-4670-B0E1-417E0347149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130444" y="3557713"/>
            <a:ext cx="159350" cy="198710"/>
          </a:xfrm>
          <a:prstGeom prst="rect">
            <a:avLst/>
          </a:prstGeom>
          <a:ln>
            <a:noFill/>
          </a:ln>
        </xdr:spPr>
      </xdr:pic>
      <xdr:sp macro="" textlink="">
        <xdr:nvSpPr>
          <xdr:cNvPr id="25" name="Textfeld 24">
            <a:hlinkClick xmlns:r="http://schemas.openxmlformats.org/officeDocument/2006/relationships" r:id="rId13"/>
            <a:extLst>
              <a:ext uri="{FF2B5EF4-FFF2-40B4-BE49-F238E27FC236}">
                <a16:creationId xmlns:a16="http://schemas.microsoft.com/office/drawing/2014/main" id="{7F0981DD-0637-6B58-2DBC-F6E180F8F92B}"/>
              </a:ext>
            </a:extLst>
          </xdr:cNvPr>
          <xdr:cNvSpPr txBox="1"/>
        </xdr:nvSpPr>
        <xdr:spPr>
          <a:xfrm>
            <a:off x="4226717" y="3571875"/>
            <a:ext cx="67270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de-CH" sz="900" b="1" baseline="0">
                <a:solidFill>
                  <a:schemeClr val="tx1">
                    <a:lumMod val="75000"/>
                    <a:lumOff val="25000"/>
                  </a:schemeClr>
                </a:solidFill>
              </a:rPr>
              <a:t>3.10 </a:t>
            </a:r>
            <a:r>
              <a:rPr lang="de-CH" sz="900" b="1">
                <a:solidFill>
                  <a:schemeClr val="tx1">
                    <a:lumMod val="75000"/>
                    <a:lumOff val="25000"/>
                  </a:schemeClr>
                </a:solidFill>
              </a:rPr>
              <a:t>Auftrag</a:t>
            </a:r>
          </a:p>
        </xdr:txBody>
      </xdr:sp>
    </xdr:grpSp>
    <xdr:clientData/>
  </xdr:twoCellAnchor>
</xdr:wsDr>
</file>

<file path=xl/drawings/drawing20.xml><?xml version="1.0" encoding="utf-8"?>
<xdr:wsDr xmlns:xdr="http://schemas.openxmlformats.org/drawingml/2006/spreadsheetDrawing" xmlns:a="http://schemas.openxmlformats.org/drawingml/2006/main">
  <xdr:oneCellAnchor>
    <xdr:from>
      <xdr:col>3</xdr:col>
      <xdr:colOff>777008</xdr:colOff>
      <xdr:row>42</xdr:row>
      <xdr:rowOff>32844</xdr:rowOff>
    </xdr:from>
    <xdr:ext cx="336323" cy="325276"/>
    <xdr:pic>
      <xdr:nvPicPr>
        <xdr:cNvPr id="2" name="Grafik 1" descr="Klemmbrett abgehakt Silhouette">
          <a:extLst>
            <a:ext uri="{FF2B5EF4-FFF2-40B4-BE49-F238E27FC236}">
              <a16:creationId xmlns:a16="http://schemas.microsoft.com/office/drawing/2014/main" id="{CDF8D237-5E39-4FBA-99A3-1F90DEFDDC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15283" y="7462344"/>
          <a:ext cx="336323" cy="325276"/>
        </a:xfrm>
        <a:prstGeom prst="rect">
          <a:avLst/>
        </a:prstGeom>
      </xdr:spPr>
    </xdr:pic>
    <xdr:clientData/>
  </xdr:oneCellAnchor>
  <xdr:oneCellAnchor>
    <xdr:from>
      <xdr:col>5</xdr:col>
      <xdr:colOff>558363</xdr:colOff>
      <xdr:row>42</xdr:row>
      <xdr:rowOff>39414</xdr:rowOff>
    </xdr:from>
    <xdr:ext cx="380350" cy="364469"/>
    <xdr:pic>
      <xdr:nvPicPr>
        <xdr:cNvPr id="3" name="Grafik 2" descr="Kommentar (wichtig) Silhouette">
          <a:extLst>
            <a:ext uri="{FF2B5EF4-FFF2-40B4-BE49-F238E27FC236}">
              <a16:creationId xmlns:a16="http://schemas.microsoft.com/office/drawing/2014/main" id="{26F28F92-0839-44E8-AAC5-180C015AC4D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111188" y="7468914"/>
          <a:ext cx="380350" cy="364469"/>
        </a:xfrm>
        <a:prstGeom prst="rect">
          <a:avLst/>
        </a:prstGeom>
      </xdr:spPr>
    </xdr:pic>
    <xdr:clientData/>
  </xdr:oneCellAnchor>
  <xdr:oneCellAnchor>
    <xdr:from>
      <xdr:col>8</xdr:col>
      <xdr:colOff>755430</xdr:colOff>
      <xdr:row>42</xdr:row>
      <xdr:rowOff>6570</xdr:rowOff>
    </xdr:from>
    <xdr:ext cx="358119" cy="361296"/>
    <xdr:pic>
      <xdr:nvPicPr>
        <xdr:cNvPr id="4" name="Grafik 3" descr="Fernglas Silhouette">
          <a:extLst>
            <a:ext uri="{FF2B5EF4-FFF2-40B4-BE49-F238E27FC236}">
              <a16:creationId xmlns:a16="http://schemas.microsoft.com/office/drawing/2014/main" id="{B34B4893-C11F-4B65-83B1-FC3116027DF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489480" y="7436070"/>
          <a:ext cx="358119" cy="361296"/>
        </a:xfrm>
        <a:prstGeom prst="rect">
          <a:avLst/>
        </a:prstGeom>
      </xdr:spPr>
    </xdr:pic>
    <xdr:clientData/>
  </xdr:oneCellAnchor>
  <xdr:twoCellAnchor editAs="oneCell">
    <xdr:from>
      <xdr:col>8</xdr:col>
      <xdr:colOff>142875</xdr:colOff>
      <xdr:row>10</xdr:row>
      <xdr:rowOff>0</xdr:rowOff>
    </xdr:from>
    <xdr:to>
      <xdr:col>8</xdr:col>
      <xdr:colOff>552450</xdr:colOff>
      <xdr:row>12</xdr:row>
      <xdr:rowOff>6350</xdr:rowOff>
    </xdr:to>
    <xdr:pic>
      <xdr:nvPicPr>
        <xdr:cNvPr id="5" name="Grafik 4" descr="Videokamera Silhouette">
          <a:extLst>
            <a:ext uri="{FF2B5EF4-FFF2-40B4-BE49-F238E27FC236}">
              <a16:creationId xmlns:a16="http://schemas.microsoft.com/office/drawing/2014/main" id="{7B6FC53B-348E-49EF-9FC7-E3805780936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876925" y="1676400"/>
          <a:ext cx="409575" cy="406400"/>
        </a:xfrm>
        <a:prstGeom prst="rect">
          <a:avLst/>
        </a:prstGeom>
      </xdr:spPr>
    </xdr:pic>
    <xdr:clientData/>
  </xdr:twoCellAnchor>
  <xdr:twoCellAnchor>
    <xdr:from>
      <xdr:col>8</xdr:col>
      <xdr:colOff>21979</xdr:colOff>
      <xdr:row>35</xdr:row>
      <xdr:rowOff>36635</xdr:rowOff>
    </xdr:from>
    <xdr:to>
      <xdr:col>8</xdr:col>
      <xdr:colOff>1042110</xdr:colOff>
      <xdr:row>36</xdr:row>
      <xdr:rowOff>110695</xdr:rowOff>
    </xdr:to>
    <xdr:grpSp>
      <xdr:nvGrpSpPr>
        <xdr:cNvPr id="12" name="Gruppieren 11">
          <a:hlinkClick xmlns:r="http://schemas.openxmlformats.org/officeDocument/2006/relationships" r:id="rId9"/>
          <a:extLst>
            <a:ext uri="{FF2B5EF4-FFF2-40B4-BE49-F238E27FC236}">
              <a16:creationId xmlns:a16="http://schemas.microsoft.com/office/drawing/2014/main" id="{17A49604-995D-4D9C-A09B-08B48D0F1978}"/>
            </a:ext>
          </a:extLst>
        </xdr:cNvPr>
        <xdr:cNvGrpSpPr/>
      </xdr:nvGrpSpPr>
      <xdr:grpSpPr>
        <a:xfrm>
          <a:off x="5766287" y="6249866"/>
          <a:ext cx="1020131" cy="264560"/>
          <a:chOff x="5693001" y="4491404"/>
          <a:chExt cx="1056944" cy="281937"/>
        </a:xfrm>
      </xdr:grpSpPr>
      <xdr:pic>
        <xdr:nvPicPr>
          <xdr:cNvPr id="13" name="Grafik 12">
            <a:extLst>
              <a:ext uri="{FF2B5EF4-FFF2-40B4-BE49-F238E27FC236}">
                <a16:creationId xmlns:a16="http://schemas.microsoft.com/office/drawing/2014/main" id="{F7E3B610-1BFB-FDD9-DC35-CCA9335932C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693001" y="4493989"/>
            <a:ext cx="424980" cy="239203"/>
          </a:xfrm>
          <a:prstGeom prst="rect">
            <a:avLst/>
          </a:prstGeom>
        </xdr:spPr>
      </xdr:pic>
      <xdr:sp macro="" textlink="">
        <xdr:nvSpPr>
          <xdr:cNvPr id="14" name="Textfeld 13">
            <a:extLst>
              <a:ext uri="{FF2B5EF4-FFF2-40B4-BE49-F238E27FC236}">
                <a16:creationId xmlns:a16="http://schemas.microsoft.com/office/drawing/2014/main" id="{427EF7A1-8485-C5A1-8EAB-26C246222A06}"/>
              </a:ext>
            </a:extLst>
          </xdr:cNvPr>
          <xdr:cNvSpPr txBox="1"/>
        </xdr:nvSpPr>
        <xdr:spPr>
          <a:xfrm>
            <a:off x="6008076" y="4491404"/>
            <a:ext cx="741869" cy="2819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CH" sz="1100" b="1"/>
              <a:t>3.3_LNW</a:t>
            </a:r>
          </a:p>
        </xdr:txBody>
      </xdr:sp>
    </xdr:grpSp>
    <xdr:clientData/>
  </xdr:twoCellAnchor>
  <xdr:twoCellAnchor editAs="oneCell">
    <xdr:from>
      <xdr:col>8</xdr:col>
      <xdr:colOff>28575</xdr:colOff>
      <xdr:row>48</xdr:row>
      <xdr:rowOff>57150</xdr:rowOff>
    </xdr:from>
    <xdr:to>
      <xdr:col>8</xdr:col>
      <xdr:colOff>666750</xdr:colOff>
      <xdr:row>51</xdr:row>
      <xdr:rowOff>123825</xdr:rowOff>
    </xdr:to>
    <xdr:pic>
      <xdr:nvPicPr>
        <xdr:cNvPr id="22" name="Grafik 21" descr="Skigondel Silhouette">
          <a:extLst>
            <a:ext uri="{FF2B5EF4-FFF2-40B4-BE49-F238E27FC236}">
              <a16:creationId xmlns:a16="http://schemas.microsoft.com/office/drawing/2014/main" id="{7634EA63-94C9-41ED-65A2-6666A0415F6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762625" y="8629650"/>
          <a:ext cx="638175" cy="638175"/>
        </a:xfrm>
        <a:prstGeom prst="rect">
          <a:avLst/>
        </a:prstGeom>
      </xdr:spPr>
    </xdr:pic>
    <xdr:clientData/>
  </xdr:twoCellAnchor>
  <xdr:twoCellAnchor>
    <xdr:from>
      <xdr:col>6</xdr:col>
      <xdr:colOff>589819</xdr:colOff>
      <xdr:row>22</xdr:row>
      <xdr:rowOff>91586</xdr:rowOff>
    </xdr:from>
    <xdr:to>
      <xdr:col>6</xdr:col>
      <xdr:colOff>864578</xdr:colOff>
      <xdr:row>39</xdr:row>
      <xdr:rowOff>183172</xdr:rowOff>
    </xdr:to>
    <xdr:sp macro="" textlink="">
      <xdr:nvSpPr>
        <xdr:cNvPr id="26" name="Textfeld 25">
          <a:extLst>
            <a:ext uri="{FF2B5EF4-FFF2-40B4-BE49-F238E27FC236}">
              <a16:creationId xmlns:a16="http://schemas.microsoft.com/office/drawing/2014/main" id="{28BA6EBF-CB08-0DDF-A666-A8195B23280A}"/>
            </a:ext>
          </a:extLst>
        </xdr:cNvPr>
        <xdr:cNvSpPr txBox="1"/>
      </xdr:nvSpPr>
      <xdr:spPr>
        <a:xfrm rot="16200000">
          <a:off x="3586531" y="5388951"/>
          <a:ext cx="3264144" cy="274759"/>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CH" sz="1100" kern="1200">
              <a:solidFill>
                <a:schemeClr val="accent3">
                  <a:lumMod val="75000"/>
                </a:schemeClr>
              </a:solidFill>
            </a:rPr>
            <a:t>Zeugnis &amp; Semestergespräche</a:t>
          </a:r>
        </a:p>
      </xdr:txBody>
    </xdr:sp>
    <xdr:clientData/>
  </xdr:twoCellAnchor>
</xdr:wsDr>
</file>

<file path=xl/persons/person.xml><?xml version="1.0" encoding="utf-8"?>
<personList xmlns="http://schemas.microsoft.com/office/spreadsheetml/2018/threadedcomments" xmlns:x="http://schemas.openxmlformats.org/spreadsheetml/2006/main">
  <person displayName="Arnold Tobias GBS-LPGB" id="{0EA71CCA-D9F2-4689-AAA6-ABEF463ADA03}" userId="S::Tobias.Arnold@gbssg.ch::25767fa3-1d05-461a-94f8-b46f297e32d3"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3" dT="2024-07-11T16:57:59.98" personId="{0EA71CCA-D9F2-4689-AAA6-ABEF463ADA03}" id="{6FF08790-99F4-4D8E-8EBF-B089BF1665DA}">
    <text>Lernaufträge von suissetec, habe leider noch nicht alle gefunden. (teile daraus sollen ebenfalls im "Neuen" Auftrag integriert werden.</text>
  </threadedComment>
  <threadedComment ref="B3" dT="2024-07-11T16:55:23.20" personId="{0EA71CCA-D9F2-4689-AAA6-ABEF463ADA03}" id="{C7DA593E-24F9-4A32-BE74-E7BE6438F100}">
    <text>Lernaufträge EFZ die von ITM vorhanden sind. (Teile daraus werden in einem Neuen Auftrag siehe die Nummer rechts in grün, zusammengefasst)</text>
  </threadedComment>
</ThreadedComments>
</file>

<file path=xl/threadedComments/threadedComment2.xml><?xml version="1.0" encoding="utf-8"?>
<ThreadedComments xmlns="http://schemas.microsoft.com/office/spreadsheetml/2018/threadedcomments" xmlns:x="http://schemas.openxmlformats.org/spreadsheetml/2006/main">
  <threadedComment ref="B4" dT="2024-07-11T17:09:57.92" personId="{0EA71CCA-D9F2-4689-AAA6-ABEF463ADA03}" id="{3FE71765-4B36-4044-B092-C28011B26DE4}">
    <text>Diese Aufgaben stimmen noch nicht und ich werde diese laufend ergänzen</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818AF27-6B88-4DFB-BCAE-A297D173FE20}">
  <we:reference id="a3b40b4f-8edf-490e-9df1-7e66f93912bf" version="1.2.0.0" store="EXCatalog" storeType="EXCatalog"/>
  <we:alternateReferences>
    <we:reference id="WA104380526" version="1.2.0.0" store="de-CH"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hyperlink" Target="https://bldsg.sharepoint.com/:b:/r/teams/SSP1b/Freigegebene%20Dokumente/BKU/Berufskundeunterlagen/3.Semester/05_Diverses/1.1_Uebungen_3.pdf?csf=1&amp;web=1&amp;e=Jqh28e" TargetMode="External"/><Relationship Id="rId7" Type="http://schemas.openxmlformats.org/officeDocument/2006/relationships/printerSettings" Target="../printerSettings/printerSettings3.bin"/><Relationship Id="rId2" Type="http://schemas.openxmlformats.org/officeDocument/2006/relationships/hyperlink" Target="https://bldsg.sharepoint.com/:b:/r/teams/SSP1b/Freigegebene%20Dokumente/BKU/Berufskundeunterlagen/3.Semester/05_Diverses/1.1_Uebungen_2.pdf?csf=1&amp;web=1&amp;e=ya3bLT" TargetMode="External"/><Relationship Id="rId1" Type="http://schemas.openxmlformats.org/officeDocument/2006/relationships/hyperlink" Target="https://bldsg.sharepoint.com/:b:/r/teams/SSP1b/Freigegebene%20Dokumente/BKU/Berufskundeunterlagen/3.Semester/05_Diverses/1.1_Uebungen_1.pdf?csf=1&amp;web=1&amp;e=GjTJCD" TargetMode="External"/><Relationship Id="rId6" Type="http://schemas.openxmlformats.org/officeDocument/2006/relationships/hyperlink" Target="https://bldsg.sharepoint.com/:b:/r/teams/SSP1b/Freigegebene%20Dokumente/BKU/Berufskundeunterlagen/3.Semester/05_Diverses/1.2_Auftrag.pdf?csf=1&amp;web=1&amp;e=pBZZyJ" TargetMode="External"/><Relationship Id="rId5" Type="http://schemas.openxmlformats.org/officeDocument/2006/relationships/hyperlink" Target="https://bldsg.sharepoint.com/:b:/r/teams/SSP1b/Freigegebene%20Dokumente/BKU/Berufskundeunterlagen/3.Semester/05_Diverses/2.2_Uebungen_1.pdf?csf=1&amp;web=1&amp;e=5pBxNX" TargetMode="External"/><Relationship Id="rId4" Type="http://schemas.openxmlformats.org/officeDocument/2006/relationships/hyperlink" Target="https://bldsg.sharepoint.com/:b:/r/teams/SSP1b/Freigegebene%20Dokumente/BKU/Berufskundeunterlagen/3.Semester/05_Diverses/2.1_Uebungen_3.pdf?csf=1&amp;web=1&amp;e=A8Qhzv" TargetMode="Externa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bldsg.sharepoint.com/:b:/r/teams/SSP1b/Freigegebene%20Dokumente/BKU/Berufskundeunterlagen/3.Semester/05_Diverses/2.1_Uebungen_3.pdf?csf=1&amp;web=1&amp;e=A8Qhzv" TargetMode="External"/><Relationship Id="rId7" Type="http://schemas.openxmlformats.org/officeDocument/2006/relationships/hyperlink" Target="https://bldsg.sharepoint.com/:b:/r/teams/SSP1b/Freigegebene%20Dokumente/BKU/Berufskundeunterlagen/3.Semester/01_Lernauftr%C3%A4ge%20%26%20%C3%9Cbungen/1.5_Uebungen_1.pdf?csf=1&amp;web=1&amp;e=Kiojx6" TargetMode="External"/><Relationship Id="rId2" Type="http://schemas.openxmlformats.org/officeDocument/2006/relationships/hyperlink" Target="https://bldsg.sharepoint.com/:b:/r/teams/SSP1b/Freigegebene%20Dokumente/BKU/Berufskundeunterlagen/3.Semester/05_Diverses/1.1_Uebungen_3.pdf?csf=1&amp;web=1&amp;e=Jqh28e" TargetMode="External"/><Relationship Id="rId1" Type="http://schemas.openxmlformats.org/officeDocument/2006/relationships/hyperlink" Target="https://bldsg.sharepoint.com/:b:/r/teams/SSP1b/Freigegebene%20Dokumente/BKU/Berufskundeunterlagen/3.Semester/05_Diverses/1.1_Uebungen_2.pdf?csf=1&amp;web=1&amp;e=ya3bLT" TargetMode="External"/><Relationship Id="rId6" Type="http://schemas.openxmlformats.org/officeDocument/2006/relationships/hyperlink" Target="https://bldsg.sharepoint.com/:b:/r/teams/SSP1b/Freigegebene%20Dokumente/BKU/Berufskundeunterlagen/3.Semester/05_Diverses/1.1_Uebungen_1.pdf?csf=1&amp;web=1&amp;e=GjTJCD" TargetMode="External"/><Relationship Id="rId5" Type="http://schemas.openxmlformats.org/officeDocument/2006/relationships/hyperlink" Target="https://bldsg.sharepoint.com/:b:/r/teams/SSP1b/Freigegebene%20Dokumente/BKU/Berufskundeunterlagen/3.Semester/05_Diverses/1.2_Auftrag.pdf?csf=1&amp;web=1&amp;e=pBZZyJ" TargetMode="External"/><Relationship Id="rId4" Type="http://schemas.openxmlformats.org/officeDocument/2006/relationships/hyperlink" Target="https://bldsg.sharepoint.com/:b:/r/teams/SSP1b/Freigegebene%20Dokumente/BKU/Berufskundeunterlagen/3.Semester/05_Diverses/2.2_Uebungen_1.pdf?csf=1&amp;web=1&amp;e=5pBxNX" TargetMode="External"/><Relationship Id="rId9"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bldsg.sharepoint.com/:b:/r/teams/SSP1b/Freigegebene%20Dokumente/BKU/Berufskundeunterlagen/3.Semester/05_Diverses/2.2_Uebungen_1.pdf?csf=1&amp;web=1&amp;e=5pBxNX" TargetMode="External"/><Relationship Id="rId1" Type="http://schemas.openxmlformats.org/officeDocument/2006/relationships/hyperlink" Target="https://bldsg.sharepoint.com/:b:/r/teams/SSP1b/Freigegebene%20Dokumente/BKU/Berufskundeunterlagen/3.Semester/05_Diverses/2.1_Uebungen_3.pdf?csf=1&amp;web=1&amp;e=A8Qhzv" TargetMode="External"/><Relationship Id="rId4"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bldsg.sharepoint.com/teams/SSP1b/_layouts/OneNote.aspx?id=%2Fteams%2FSSP1b%2FSiteAssets%2FSSP1b_23-25-Notizbuch&amp;wd=target%28_Unterricht%2FBKU%2F3.%20Semester.one%7C298694BE-4B2B-4155-929D-180CCF956461%2FLA_2.3_Installationssysteme%20%2B%20Trinkwasserleitung%7C8A8838E3-8653-4947-9315-6C22EB97F16F%2F%29"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hyperlink" Target="https://teams.microsoft.com/l/entity/66aeee93-507d-479a-a3ef-8f494af43945/classroom?context=%7B%22subEntityId%22%3A%22%7B%5C%22version%5C%22%3A%5C%221.0%5C%22%2C%5C%22config%5C%22%3A%7B%5C%22classes%5C%22%3A%5B%7B%5C%22id%5C%22%3A%5C%22cf6144cc-79cd-4a05-b3b5-9ddce4bf9811%5C%22%2C%5C%22assignmentIds%5C%22%3A%5B%5C%2280635629-7146-43c4-88f3-bf113f6694e9%5C%22%5D%7D%5D%7D%2C%5C%22action%5C%22%3A%5C%22navigate%5C%22%2C%5C%22view%5C%22%3A%5C%22assignment-viewer%5C%22%2C%5C%22appId%5C%22%3A%5C%221fec8e78-bce4-4aaf-ab1b-5451cc387264%5C%22%2C%5C%22deeplinkType%5C%22%3A4%7D%22%2C%22channelId%22%3Anull%7D" TargetMode="External"/><Relationship Id="rId2" Type="http://schemas.openxmlformats.org/officeDocument/2006/relationships/hyperlink" Target="https://teams.microsoft.com/l/entity/66aeee93-507d-479a-a3ef-8f494af43945/classroom?context=%7B%22subEntityId%22%3A%22%7B%5C%22version%5C%22%3A%5C%221.0%5C%22%2C%5C%22config%5C%22%3A%7B%5C%22classes%5C%22%3A%5B%7B%5C%22id%5C%22%3A%5C%22cf6144cc-79cd-4a05-b3b5-9ddce4bf9811%5C%22%2C%5C%22assignmentIds%5C%22%3A%5B%5C%2280635629-7146-43c4-88f3-bf113f6694e9%5C%22%5D%7D%5D%7D%2C%5C%22action%5C%22%3A%5C%22navigate%5C%22%2C%5C%22view%5C%22%3A%5C%22assignment-viewer%5C%22%2C%5C%22appId%5C%22%3A%5C%221fec8e78-bce4-4aaf-ab1b-5451cc387264%5C%22%2C%5C%22deeplinkType%5C%22%3A4%7D%22%2C%22channelId%22%3Anull%7D" TargetMode="External"/><Relationship Id="rId1" Type="http://schemas.openxmlformats.org/officeDocument/2006/relationships/hyperlink" Target="https://sanitaerlernen.ch/0_Datenbank/4_LM_Zusatz/2.2_Aufgabe_4.4_Urinal.pdf" TargetMode="External"/><Relationship Id="rId6" Type="http://schemas.openxmlformats.org/officeDocument/2006/relationships/drawing" Target="../drawings/drawing9.xml"/><Relationship Id="rId5" Type="http://schemas.openxmlformats.org/officeDocument/2006/relationships/printerSettings" Target="../printerSettings/printerSettings9.bin"/><Relationship Id="rId4" Type="http://schemas.openxmlformats.org/officeDocument/2006/relationships/hyperlink" Target="https://bldsg.sharepoint.com/:b:/r/teams/SSP1b/Freigegebene%20Dokumente/BKU/Berufskundeunterlagen/3.Semester/06_Diverses/3.01_%C3%9Cbersicht_Definition%20Leitungsteile_Entw%C3%A4sserungsleitungen.pdf?csf=1&amp;web=1&amp;e=ZafT6y"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teams.microsoft.com/l/entity/66aeee93-507d-479a-a3ef-8f494af43945/classroom?context=%7B%22subEntityId%22%3A%22%7B%5C%22version%5C%22%3A%5C%221.0%5C%22%2C%5C%22config%5C%22%3A%7B%5C%22classes%5C%22%3A%5B%7B%5C%22id%5C%22%3A%5C%22cf6144cc-79cd-4a05-b3b5-9ddce4bf9811%5C%22%2C%5C%22assignmentIds%5C%22%3A%5B%5C%2280635629-7146-43c4-88f3-bf113f6694e9%5C%22%5D%7D%5D%7D%2C%5C%22action%5C%22%3A%5C%22navigate%5C%22%2C%5C%22view%5C%22%3A%5C%22assignment-viewer%5C%22%2C%5C%22appId%5C%22%3A%5C%221fec8e78-bce4-4aaf-ab1b-5451cc387264%5C%22%2C%5C%22deeplinkType%5C%22%3A4%7D%22%2C%22channelId%22%3Anull%7D" TargetMode="External"/><Relationship Id="rId1" Type="http://schemas.openxmlformats.org/officeDocument/2006/relationships/hyperlink" Target="https://edu.suissetec.ch/" TargetMode="External"/><Relationship Id="rId4"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edu.suissetec.ch/" TargetMode="External"/><Relationship Id="rId1" Type="http://schemas.openxmlformats.org/officeDocument/2006/relationships/hyperlink" Target="1.6_%20&#220;bung_1" TargetMode="External"/><Relationship Id="rId4"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s://edu.suissetec.ch/"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teams.microsoft.com/l/entity/66aeee93-507d-479a-a3ef-8f494af43945/classroom?context=%7B%22subEntityId%22%3A%22%7B%5C%22version%5C%22%3A%5C%221.0%5C%22%2C%5C%22config%5C%22%3A%7B%5C%22classes%5C%22%3A%5B%7B%5C%22id%5C%22%3A%5C%22cf6144cc-79cd-4a05-b3b5-9ddce4bf9811%5C%22%2C%5C%22assignmentIds%5C%22%3A%5B%5C%224c55495e-62cd-41e7-b1d0-7a70860747dd%5C%22%5D%7D%5D%7D%2C%5C%22action%5C%22%3A%5C%22navigate%5C%22%2C%5C%22view%5C%22%3A%5C%22assignment-viewer%5C%22%2C%5C%22appId%5C%22%3A%5C%221fec8e78-bce4-4aaf-ab1b-5451cc387264%5C%22%2C%5C%22deeplinkType%5C%22%3A4%7D%22%2C%22channelId%22%3Anull%7D" TargetMode="External"/><Relationship Id="rId1" Type="http://schemas.openxmlformats.org/officeDocument/2006/relationships/hyperlink" Target="https://edu.suissetec.ch/" TargetMode="External"/><Relationship Id="rId4"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edu.suissetec.ch/"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s://edu.suissetec.ch/" TargetMode="Externa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3" Type="http://schemas.openxmlformats.org/officeDocument/2006/relationships/hyperlink" Target="https://bldsg.sharepoint.com/:b:/r/teams/SSP1b/Freigegebene%20Dokumente/BKU/Berufskundeunterlagen/3.Semester/01_Lernauftr%C3%A4ge%20%26%20%C3%9Cbungen/3.01_Auftrag.pdf?csf=1&amp;web=1&amp;e=LOFDPY" TargetMode="External"/><Relationship Id="rId7" Type="http://schemas.openxmlformats.org/officeDocument/2006/relationships/drawing" Target="../drawings/drawing20.xml"/><Relationship Id="rId2" Type="http://schemas.openxmlformats.org/officeDocument/2006/relationships/hyperlink" Target="https://bldsg.sharepoint.com/:b:/r/teams/SSP1b/Freigegebene%20Dokumente/BKU/Berufskundeunterlagen/3.Semester/01_Lernauftr%C3%A4ge%20%26%20%C3%9Cbungen/2.6_Auftrag.pdf?csf=1&amp;web=1&amp;e=5jLxE2" TargetMode="External"/><Relationship Id="rId1" Type="http://schemas.openxmlformats.org/officeDocument/2006/relationships/hyperlink" Target="https://bldsg.sharepoint.com/:b:/r/teams/SSP1b/Freigegebene%20Dokumente/BKU/Berufskundeunterlagen/3.Semester/01_Lernauftr%C3%A4ge%20%26%20%C3%9Cbungen/2.4_Auftrag.pdf?csf=1&amp;web=1&amp;e=1r0UBm" TargetMode="External"/><Relationship Id="rId6" Type="http://schemas.openxmlformats.org/officeDocument/2006/relationships/printerSettings" Target="../printerSettings/printerSettings20.bin"/><Relationship Id="rId5" Type="http://schemas.openxmlformats.org/officeDocument/2006/relationships/hyperlink" Target="https://bldsg.sharepoint.com/:b:/r/teams/SSP1b/Freigegebene%20Dokumente/BKU/Berufskundeunterlagen/3.Semester/01_Lernauftr%C3%A4ge%20%26%20%C3%9Cbungen/3.3_Auftrag.pdf?csf=1&amp;web=1&amp;e=gtBMa5" TargetMode="External"/><Relationship Id="rId4" Type="http://schemas.openxmlformats.org/officeDocument/2006/relationships/hyperlink" Target="https://bldsg.sharepoint.com/:b:/r/teams/SSP1b/Freigegebene%20Dokumente/BKU/Berufskundeunterlagen/3.Semester/01_Lernauftr%C3%A4ge%20%26%20%C3%9Cbungen/3.10_Auftrag.pdf?csf=1&amp;web=1&amp;e=GHGF8s" TargetMode="External"/></Relationships>
</file>

<file path=xl/worksheets/_rels/sheet2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1.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4ABA6-581B-4E81-8469-A18C70FC9290}">
  <sheetPr>
    <tabColor theme="9" tint="0.79998168889431442"/>
  </sheetPr>
  <dimension ref="A1:AB57"/>
  <sheetViews>
    <sheetView view="pageLayout" topLeftCell="F27" zoomScale="115" zoomScaleNormal="55" zoomScalePageLayoutView="115" workbookViewId="0">
      <selection activeCell="F47" sqref="F47"/>
    </sheetView>
  </sheetViews>
  <sheetFormatPr baseColWidth="10" defaultColWidth="11.42578125" defaultRowHeight="15" customHeight="1" x14ac:dyDescent="0.3"/>
  <cols>
    <col min="1" max="1" width="0.85546875" style="1" customWidth="1"/>
    <col min="2" max="2" width="8.28515625" style="1" customWidth="1"/>
    <col min="3" max="3" width="9.85546875" style="1" customWidth="1"/>
    <col min="4" max="4" width="10.7109375" style="1" customWidth="1"/>
    <col min="5" max="11" width="13.28515625" style="1" customWidth="1"/>
    <col min="12" max="12" width="1" style="1" customWidth="1"/>
    <col min="13" max="13" width="13.28515625" style="1" customWidth="1"/>
    <col min="14" max="15" width="4.85546875" style="1" customWidth="1"/>
    <col min="16" max="16" width="1" style="1" customWidth="1"/>
    <col min="17" max="17" width="3.85546875" style="1" customWidth="1"/>
    <col min="18" max="18" width="5.7109375" style="1" customWidth="1"/>
    <col min="19" max="19" width="5.7109375" style="12" customWidth="1"/>
    <col min="20" max="22" width="8.28515625" style="42" customWidth="1"/>
    <col min="23" max="23" width="15" style="42" customWidth="1"/>
    <col min="24" max="16384" width="11.42578125" style="1"/>
  </cols>
  <sheetData>
    <row r="1" spans="1:28" ht="26.1" customHeight="1" thickBot="1" x14ac:dyDescent="0.35">
      <c r="B1" s="32" t="s">
        <v>49</v>
      </c>
      <c r="C1" s="33"/>
      <c r="D1" s="33"/>
      <c r="E1" s="33"/>
      <c r="F1" s="33"/>
      <c r="G1" s="33"/>
      <c r="H1" s="33"/>
      <c r="I1" s="34" t="s">
        <v>0</v>
      </c>
      <c r="J1" s="35">
        <v>45518</v>
      </c>
      <c r="K1" s="34" t="s">
        <v>1</v>
      </c>
      <c r="L1" s="36" t="s">
        <v>50</v>
      </c>
      <c r="M1" s="36"/>
      <c r="N1" s="36"/>
      <c r="O1" s="37"/>
      <c r="P1" s="36"/>
      <c r="Q1" s="33"/>
      <c r="R1" s="33"/>
      <c r="S1" s="91"/>
      <c r="T1" s="92"/>
      <c r="U1" s="92"/>
      <c r="V1" s="429" t="s">
        <v>61</v>
      </c>
      <c r="W1" s="430"/>
    </row>
    <row r="2" spans="1:28" ht="5.0999999999999996" customHeight="1" thickBot="1" x14ac:dyDescent="0.35">
      <c r="C2" s="5"/>
      <c r="D2"/>
      <c r="E2"/>
      <c r="F2"/>
      <c r="G2"/>
      <c r="H2" s="11"/>
      <c r="I2" s="11"/>
      <c r="J2" s="11"/>
      <c r="K2" s="11"/>
    </row>
    <row r="3" spans="1:28" ht="18" customHeight="1" thickBot="1" x14ac:dyDescent="0.35">
      <c r="B3" s="431" t="s">
        <v>2</v>
      </c>
      <c r="C3" s="432"/>
      <c r="D3" s="432"/>
      <c r="E3" s="432"/>
      <c r="F3" s="432"/>
      <c r="G3" s="432"/>
      <c r="H3" s="433"/>
      <c r="I3" s="433"/>
      <c r="J3" s="433"/>
      <c r="K3" s="434"/>
      <c r="L3" s="7"/>
      <c r="M3" s="328" t="s">
        <v>3</v>
      </c>
      <c r="N3" s="329"/>
      <c r="O3" s="330"/>
      <c r="P3" s="7"/>
      <c r="Q3" s="435" t="s">
        <v>60</v>
      </c>
      <c r="R3" s="436"/>
      <c r="S3" s="436"/>
      <c r="T3" s="436"/>
      <c r="U3" s="436"/>
      <c r="V3" s="436"/>
      <c r="W3" s="437"/>
    </row>
    <row r="4" spans="1:28" ht="5.0999999999999996" customHeight="1" thickBot="1" x14ac:dyDescent="0.35">
      <c r="C4" s="2"/>
      <c r="D4" s="2"/>
      <c r="E4" s="2"/>
      <c r="F4" s="2"/>
      <c r="G4" s="2"/>
      <c r="H4" s="2"/>
      <c r="I4" s="2"/>
      <c r="J4" s="2"/>
      <c r="K4" s="2"/>
      <c r="S4" s="14"/>
      <c r="T4" s="43"/>
      <c r="U4" s="43"/>
      <c r="V4" s="44"/>
    </row>
    <row r="5" spans="1:28" ht="18.95" customHeight="1" x14ac:dyDescent="0.3">
      <c r="B5" s="438" t="s">
        <v>477</v>
      </c>
      <c r="C5" s="439"/>
      <c r="D5" s="442" t="s">
        <v>4</v>
      </c>
      <c r="E5" s="443"/>
      <c r="F5" s="442" t="s">
        <v>5</v>
      </c>
      <c r="G5" s="443"/>
      <c r="H5" s="442" t="s">
        <v>6</v>
      </c>
      <c r="I5" s="443"/>
      <c r="J5" s="442" t="s">
        <v>12</v>
      </c>
      <c r="K5" s="452"/>
      <c r="L5" s="233"/>
      <c r="M5" s="444" t="s">
        <v>18</v>
      </c>
      <c r="N5" s="445"/>
      <c r="O5" s="446"/>
      <c r="Q5" s="447">
        <f>Schultage!C4</f>
        <v>1</v>
      </c>
      <c r="R5" s="519">
        <f>Schultage!D4</f>
        <v>45518</v>
      </c>
      <c r="S5" s="520"/>
      <c r="T5" s="449" t="s">
        <v>398</v>
      </c>
      <c r="U5" s="450"/>
      <c r="V5" s="450"/>
      <c r="W5" s="451"/>
    </row>
    <row r="6" spans="1:28" ht="18.95" customHeight="1" thickBot="1" x14ac:dyDescent="0.35">
      <c r="B6" s="440"/>
      <c r="C6" s="441"/>
      <c r="D6" s="453" t="s">
        <v>368</v>
      </c>
      <c r="E6" s="454"/>
      <c r="F6" s="453" t="s">
        <v>377</v>
      </c>
      <c r="G6" s="454"/>
      <c r="H6" s="453" t="s">
        <v>487</v>
      </c>
      <c r="I6" s="454"/>
      <c r="J6" s="453" t="s">
        <v>486</v>
      </c>
      <c r="K6" s="454"/>
      <c r="L6" s="233"/>
      <c r="M6" s="494" t="s">
        <v>481</v>
      </c>
      <c r="N6" s="495"/>
      <c r="O6" s="496"/>
      <c r="Q6" s="448"/>
      <c r="R6" s="342">
        <v>3.4</v>
      </c>
      <c r="S6" s="346">
        <v>3.1</v>
      </c>
      <c r="T6" s="467" t="s">
        <v>399</v>
      </c>
      <c r="U6" s="459"/>
      <c r="V6" s="459"/>
      <c r="W6" s="460"/>
    </row>
    <row r="7" spans="1:28" ht="18.95" customHeight="1" x14ac:dyDescent="0.3">
      <c r="B7" s="468" t="s">
        <v>8</v>
      </c>
      <c r="C7" s="469"/>
      <c r="D7" s="474" t="s">
        <v>374</v>
      </c>
      <c r="E7" s="477" t="s">
        <v>210</v>
      </c>
      <c r="F7" s="474" t="s">
        <v>370</v>
      </c>
      <c r="G7" s="477" t="s">
        <v>371</v>
      </c>
      <c r="H7" s="474" t="s">
        <v>376</v>
      </c>
      <c r="I7" s="527" t="s">
        <v>262</v>
      </c>
      <c r="J7" s="476" t="s">
        <v>272</v>
      </c>
      <c r="K7" s="479" t="s">
        <v>277</v>
      </c>
      <c r="L7" s="9"/>
      <c r="M7" s="497"/>
      <c r="N7" s="498"/>
      <c r="O7" s="499"/>
      <c r="P7" s="9"/>
      <c r="Q7" s="465">
        <f>Schultage!C5</f>
        <v>2</v>
      </c>
      <c r="R7" s="484">
        <f>Schultage!D5</f>
        <v>45525</v>
      </c>
      <c r="S7" s="485"/>
      <c r="T7" s="480" t="s">
        <v>398</v>
      </c>
      <c r="U7" s="481"/>
      <c r="V7" s="481"/>
      <c r="W7" s="482"/>
    </row>
    <row r="8" spans="1:28" ht="18.95" customHeight="1" thickBot="1" x14ac:dyDescent="0.35">
      <c r="B8" s="470"/>
      <c r="C8" s="471"/>
      <c r="D8" s="475"/>
      <c r="E8" s="478"/>
      <c r="F8" s="475"/>
      <c r="G8" s="479"/>
      <c r="H8" s="475"/>
      <c r="I8" s="528"/>
      <c r="J8" s="488"/>
      <c r="K8" s="491"/>
      <c r="L8" s="9"/>
      <c r="M8" s="497"/>
      <c r="N8" s="498"/>
      <c r="O8" s="499"/>
      <c r="P8" s="9"/>
      <c r="Q8" s="466"/>
      <c r="R8" s="343">
        <v>3.4</v>
      </c>
      <c r="S8" s="344">
        <v>3.1</v>
      </c>
      <c r="T8" s="459" t="s">
        <v>399</v>
      </c>
      <c r="U8" s="459"/>
      <c r="V8" s="459"/>
      <c r="W8" s="460"/>
    </row>
    <row r="9" spans="1:28" ht="18.95" customHeight="1" x14ac:dyDescent="0.3">
      <c r="B9" s="470"/>
      <c r="C9" s="471"/>
      <c r="D9" s="475"/>
      <c r="E9" s="478"/>
      <c r="F9" s="475"/>
      <c r="G9" s="478" t="s">
        <v>373</v>
      </c>
      <c r="H9" s="475"/>
      <c r="I9" s="529"/>
      <c r="J9" s="488"/>
      <c r="K9" s="491"/>
      <c r="L9" s="9"/>
      <c r="M9" s="500"/>
      <c r="N9" s="501"/>
      <c r="O9" s="502"/>
      <c r="P9" s="9"/>
      <c r="Q9" s="465">
        <f>Schultage!C6</f>
        <v>3</v>
      </c>
      <c r="R9" s="486">
        <f>Schultage!D6</f>
        <v>45532</v>
      </c>
      <c r="S9" s="487"/>
      <c r="T9" s="449" t="s">
        <v>398</v>
      </c>
      <c r="U9" s="450"/>
      <c r="V9" s="450"/>
      <c r="W9" s="451"/>
    </row>
    <row r="10" spans="1:28" ht="18.95" customHeight="1" thickBot="1" x14ac:dyDescent="0.35">
      <c r="A10" s="6"/>
      <c r="B10" s="470"/>
      <c r="C10" s="471"/>
      <c r="D10" s="476"/>
      <c r="E10" s="479"/>
      <c r="F10" s="476"/>
      <c r="G10" s="478"/>
      <c r="H10" s="476"/>
      <c r="I10" s="532" t="s">
        <v>228</v>
      </c>
      <c r="J10" s="488"/>
      <c r="K10" s="491" t="s">
        <v>278</v>
      </c>
      <c r="L10" s="9"/>
      <c r="M10" s="500"/>
      <c r="N10" s="501"/>
      <c r="O10" s="502"/>
      <c r="P10" s="9"/>
      <c r="Q10" s="466"/>
      <c r="R10" s="324">
        <v>3.4</v>
      </c>
      <c r="S10" s="344">
        <v>3.1</v>
      </c>
      <c r="T10" s="459" t="s">
        <v>399</v>
      </c>
      <c r="U10" s="459"/>
      <c r="V10" s="459"/>
      <c r="W10" s="460"/>
    </row>
    <row r="11" spans="1:28" ht="18.95" customHeight="1" x14ac:dyDescent="0.3">
      <c r="A11" s="6"/>
      <c r="B11" s="470"/>
      <c r="C11" s="471"/>
      <c r="D11" s="461" t="s">
        <v>375</v>
      </c>
      <c r="E11" s="462"/>
      <c r="F11" s="474" t="s">
        <v>372</v>
      </c>
      <c r="G11" s="478"/>
      <c r="H11" s="530" t="s">
        <v>231</v>
      </c>
      <c r="I11" s="533"/>
      <c r="J11" s="488"/>
      <c r="K11" s="491"/>
      <c r="L11" s="9"/>
      <c r="M11" s="500"/>
      <c r="N11" s="501"/>
      <c r="O11" s="502"/>
      <c r="P11" s="9"/>
      <c r="Q11" s="465">
        <f>Schultage!C7</f>
        <v>4</v>
      </c>
      <c r="R11" s="486">
        <f>Schultage!D7</f>
        <v>45539</v>
      </c>
      <c r="S11" s="487"/>
      <c r="T11" s="450" t="s">
        <v>400</v>
      </c>
      <c r="U11" s="450"/>
      <c r="V11" s="450"/>
      <c r="W11" s="451"/>
    </row>
    <row r="12" spans="1:28" ht="18.95" customHeight="1" thickBot="1" x14ac:dyDescent="0.35">
      <c r="B12" s="472"/>
      <c r="C12" s="473"/>
      <c r="D12" s="463"/>
      <c r="E12" s="464"/>
      <c r="F12" s="483"/>
      <c r="G12" s="526"/>
      <c r="H12" s="531"/>
      <c r="I12" s="534"/>
      <c r="J12" s="489" t="s">
        <v>280</v>
      </c>
      <c r="K12" s="492" t="s">
        <v>381</v>
      </c>
      <c r="L12" s="9"/>
      <c r="M12" s="503"/>
      <c r="N12" s="504"/>
      <c r="O12" s="505"/>
      <c r="P12" s="9"/>
      <c r="Q12" s="466"/>
      <c r="R12" s="342">
        <v>3.4</v>
      </c>
      <c r="S12" s="345">
        <v>3.1</v>
      </c>
      <c r="T12" s="459" t="s">
        <v>399</v>
      </c>
      <c r="U12" s="459"/>
      <c r="V12" s="459"/>
      <c r="W12" s="460"/>
      <c r="AB12" s="325"/>
    </row>
    <row r="13" spans="1:28" ht="18.95" customHeight="1" thickBot="1" x14ac:dyDescent="0.35">
      <c r="C13" s="3"/>
      <c r="D13" s="4"/>
      <c r="E13" s="251"/>
      <c r="F13" s="252"/>
      <c r="G13" s="253"/>
      <c r="H13" s="11"/>
      <c r="I13" s="11"/>
      <c r="J13" s="489"/>
      <c r="K13" s="492"/>
      <c r="Q13" s="465">
        <f>Schultage!C8</f>
        <v>5</v>
      </c>
      <c r="R13" s="486">
        <f>Schultage!D8</f>
        <v>45546</v>
      </c>
      <c r="S13" s="487"/>
      <c r="T13" s="450" t="s">
        <v>400</v>
      </c>
      <c r="U13" s="450"/>
      <c r="V13" s="450"/>
      <c r="W13" s="451"/>
      <c r="AB13" s="326"/>
    </row>
    <row r="14" spans="1:28" ht="18.95" customHeight="1" thickBot="1" x14ac:dyDescent="0.35">
      <c r="B14" s="455" t="s">
        <v>478</v>
      </c>
      <c r="C14" s="456"/>
      <c r="D14" s="521" t="s">
        <v>10</v>
      </c>
      <c r="E14" s="522"/>
      <c r="F14" s="523"/>
      <c r="G14" s="521" t="s">
        <v>11</v>
      </c>
      <c r="H14" s="523"/>
      <c r="J14" s="489"/>
      <c r="K14" s="492"/>
      <c r="M14" s="506" t="s">
        <v>482</v>
      </c>
      <c r="N14" s="507"/>
      <c r="O14" s="508"/>
      <c r="P14" s="7"/>
      <c r="Q14" s="466"/>
      <c r="R14" s="323">
        <v>3.4</v>
      </c>
      <c r="S14" s="344">
        <v>3.2</v>
      </c>
      <c r="T14" s="459" t="s">
        <v>399</v>
      </c>
      <c r="U14" s="459"/>
      <c r="V14" s="459"/>
      <c r="W14" s="460"/>
    </row>
    <row r="15" spans="1:28" ht="18.95" customHeight="1" thickBot="1" x14ac:dyDescent="0.35">
      <c r="B15" s="457"/>
      <c r="C15" s="458"/>
      <c r="D15" s="516" t="s">
        <v>380</v>
      </c>
      <c r="E15" s="517"/>
      <c r="F15" s="518"/>
      <c r="G15" s="516" t="s">
        <v>386</v>
      </c>
      <c r="H15" s="518"/>
      <c r="J15" s="490"/>
      <c r="K15" s="493"/>
      <c r="M15" s="509" t="s">
        <v>483</v>
      </c>
      <c r="N15" s="510"/>
      <c r="O15" s="511"/>
      <c r="Q15" s="465">
        <f>Schultage!C9</f>
        <v>6</v>
      </c>
      <c r="R15" s="486">
        <f>Schultage!D9</f>
        <v>45553</v>
      </c>
      <c r="S15" s="487"/>
      <c r="T15" s="450" t="s">
        <v>400</v>
      </c>
      <c r="U15" s="450"/>
      <c r="V15" s="450"/>
      <c r="W15" s="451"/>
    </row>
    <row r="16" spans="1:28" ht="18.95" customHeight="1" thickBot="1" x14ac:dyDescent="0.35">
      <c r="B16" s="554" t="s">
        <v>369</v>
      </c>
      <c r="C16" s="555"/>
      <c r="D16" s="560" t="s">
        <v>233</v>
      </c>
      <c r="E16" s="561"/>
      <c r="F16" s="567" t="s">
        <v>378</v>
      </c>
      <c r="G16" s="619" t="s">
        <v>276</v>
      </c>
      <c r="H16" s="620"/>
      <c r="M16" s="512"/>
      <c r="N16" s="510"/>
      <c r="O16" s="511"/>
      <c r="Q16" s="466"/>
      <c r="R16" s="323">
        <v>3.5</v>
      </c>
      <c r="S16" s="344">
        <v>3.2</v>
      </c>
      <c r="T16" s="459" t="s">
        <v>402</v>
      </c>
      <c r="U16" s="459"/>
      <c r="V16" s="459"/>
      <c r="W16" s="460"/>
    </row>
    <row r="17" spans="2:23" ht="18.95" customHeight="1" thickBot="1" x14ac:dyDescent="0.35">
      <c r="B17" s="556"/>
      <c r="C17" s="557"/>
      <c r="D17" s="562"/>
      <c r="E17" s="563"/>
      <c r="F17" s="568"/>
      <c r="G17" s="621"/>
      <c r="H17" s="622"/>
      <c r="M17" s="513"/>
      <c r="N17" s="514"/>
      <c r="O17" s="515"/>
      <c r="Q17" s="465">
        <f>Schultage!C10</f>
        <v>7</v>
      </c>
      <c r="R17" s="486">
        <f>Schultage!D10</f>
        <v>45560</v>
      </c>
      <c r="S17" s="487"/>
      <c r="T17" s="450" t="s">
        <v>400</v>
      </c>
      <c r="U17" s="450"/>
      <c r="V17" s="450"/>
      <c r="W17" s="451"/>
    </row>
    <row r="18" spans="2:23" ht="18.95" customHeight="1" thickBot="1" x14ac:dyDescent="0.35">
      <c r="B18" s="556"/>
      <c r="C18" s="557"/>
      <c r="D18" s="560" t="s">
        <v>266</v>
      </c>
      <c r="E18" s="561"/>
      <c r="F18" s="569"/>
      <c r="G18" s="621"/>
      <c r="H18" s="622"/>
      <c r="P18"/>
      <c r="Q18" s="466"/>
      <c r="R18" s="323">
        <v>3.5</v>
      </c>
      <c r="S18" s="344">
        <v>3.2</v>
      </c>
      <c r="T18" s="459" t="s">
        <v>403</v>
      </c>
      <c r="U18" s="459"/>
      <c r="V18" s="459"/>
      <c r="W18" s="460"/>
    </row>
    <row r="19" spans="2:23" ht="18.95" customHeight="1" x14ac:dyDescent="0.3">
      <c r="B19" s="556"/>
      <c r="C19" s="557"/>
      <c r="D19" s="562"/>
      <c r="E19" s="563"/>
      <c r="F19" s="567" t="s">
        <v>275</v>
      </c>
      <c r="G19" s="621"/>
      <c r="H19" s="622"/>
      <c r="M19" s="613" t="s">
        <v>492</v>
      </c>
      <c r="N19" s="614"/>
      <c r="O19" s="615"/>
      <c r="Q19" s="465">
        <f>Schultage!C14</f>
        <v>8</v>
      </c>
      <c r="R19" s="486">
        <f>Schultage!D14</f>
        <v>45588</v>
      </c>
      <c r="S19" s="487"/>
      <c r="T19" s="450" t="s">
        <v>400</v>
      </c>
      <c r="U19" s="450"/>
      <c r="V19" s="450"/>
      <c r="W19" s="451"/>
    </row>
    <row r="20" spans="2:23" ht="18.95" customHeight="1" thickBot="1" x14ac:dyDescent="0.35">
      <c r="B20" s="556"/>
      <c r="C20" s="557"/>
      <c r="D20" s="596" t="s">
        <v>379</v>
      </c>
      <c r="E20" s="597"/>
      <c r="F20" s="568"/>
      <c r="G20" s="621"/>
      <c r="H20" s="622"/>
      <c r="M20" s="331" t="s">
        <v>32</v>
      </c>
      <c r="N20" s="524">
        <v>2</v>
      </c>
      <c r="O20" s="525"/>
      <c r="Q20" s="466"/>
      <c r="R20" s="343">
        <v>3.7</v>
      </c>
      <c r="S20" s="344">
        <v>3.2</v>
      </c>
      <c r="T20" s="459" t="s">
        <v>401</v>
      </c>
      <c r="U20" s="459"/>
      <c r="V20" s="459"/>
      <c r="W20" s="460"/>
    </row>
    <row r="21" spans="2:23" ht="18.95" customHeight="1" thickBot="1" x14ac:dyDescent="0.35">
      <c r="B21" s="558"/>
      <c r="C21" s="559"/>
      <c r="D21" s="598"/>
      <c r="E21" s="599"/>
      <c r="F21" s="570"/>
      <c r="G21" s="623"/>
      <c r="H21" s="624"/>
      <c r="M21" s="332" t="s">
        <v>5</v>
      </c>
      <c r="N21" s="625">
        <v>3</v>
      </c>
      <c r="O21" s="626"/>
      <c r="Q21" s="465">
        <f>Schultage!C15</f>
        <v>9</v>
      </c>
      <c r="R21" s="486">
        <f>Schultage!D15</f>
        <v>45595</v>
      </c>
      <c r="S21" s="487"/>
      <c r="T21" s="450" t="s">
        <v>404</v>
      </c>
      <c r="U21" s="450"/>
      <c r="V21" s="450"/>
      <c r="W21" s="451"/>
    </row>
    <row r="22" spans="2:23" ht="18.95" customHeight="1" thickBot="1" x14ac:dyDescent="0.35">
      <c r="D22" s="327"/>
      <c r="E22" s="327"/>
      <c r="M22" s="332" t="s">
        <v>6</v>
      </c>
      <c r="N22" s="625">
        <v>1</v>
      </c>
      <c r="O22" s="626"/>
      <c r="Q22" s="466"/>
      <c r="R22" s="342">
        <v>3.7</v>
      </c>
      <c r="S22" s="345">
        <v>3.2</v>
      </c>
      <c r="T22" s="459" t="s">
        <v>401</v>
      </c>
      <c r="U22" s="459"/>
      <c r="V22" s="459"/>
      <c r="W22" s="460"/>
    </row>
    <row r="23" spans="2:23" ht="18.95" customHeight="1" x14ac:dyDescent="0.3">
      <c r="B23" s="548" t="s">
        <v>479</v>
      </c>
      <c r="C23" s="549"/>
      <c r="D23" s="550"/>
      <c r="E23" s="603" t="s">
        <v>15</v>
      </c>
      <c r="F23" s="604"/>
      <c r="G23" s="605"/>
      <c r="H23" s="321" t="s">
        <v>385</v>
      </c>
      <c r="M23" s="333" t="s">
        <v>12</v>
      </c>
      <c r="N23" s="627">
        <v>2</v>
      </c>
      <c r="O23" s="628"/>
      <c r="P23" s="7"/>
      <c r="Q23" s="465">
        <f>Schultage!C16</f>
        <v>10</v>
      </c>
      <c r="R23" s="486">
        <f>Schultage!D16</f>
        <v>45602</v>
      </c>
      <c r="S23" s="487"/>
      <c r="T23" s="450" t="s">
        <v>404</v>
      </c>
      <c r="U23" s="450"/>
      <c r="V23" s="450"/>
      <c r="W23" s="451"/>
    </row>
    <row r="24" spans="2:23" ht="18.95" customHeight="1" thickBot="1" x14ac:dyDescent="0.35">
      <c r="B24" s="551"/>
      <c r="C24" s="552"/>
      <c r="D24" s="553"/>
      <c r="E24" s="516" t="s">
        <v>383</v>
      </c>
      <c r="F24" s="517"/>
      <c r="G24" s="518"/>
      <c r="H24" s="322" t="s">
        <v>387</v>
      </c>
      <c r="M24" s="334" t="s">
        <v>484</v>
      </c>
      <c r="N24" s="629">
        <f>SUM(N20:O23)</f>
        <v>8</v>
      </c>
      <c r="O24" s="630"/>
      <c r="Q24" s="466"/>
      <c r="R24" s="323">
        <v>3.7</v>
      </c>
      <c r="S24" s="344">
        <v>3.3</v>
      </c>
      <c r="T24" s="459" t="s">
        <v>405</v>
      </c>
      <c r="U24" s="459"/>
      <c r="V24" s="459"/>
      <c r="W24" s="460"/>
    </row>
    <row r="25" spans="2:23" s="7" customFormat="1" ht="18.95" customHeight="1" thickBot="1" x14ac:dyDescent="0.3">
      <c r="B25" s="542" t="s">
        <v>184</v>
      </c>
      <c r="C25" s="543"/>
      <c r="D25" s="544"/>
      <c r="E25" s="571" t="s">
        <v>242</v>
      </c>
      <c r="F25" s="564" t="s">
        <v>284</v>
      </c>
      <c r="G25" s="567" t="s">
        <v>286</v>
      </c>
      <c r="H25" s="545" t="s">
        <v>384</v>
      </c>
      <c r="M25" s="69"/>
      <c r="N25" s="69"/>
      <c r="O25" s="69"/>
      <c r="P25" s="10"/>
      <c r="Q25" s="465">
        <f>Schultage!C17</f>
        <v>11</v>
      </c>
      <c r="R25" s="486">
        <f>Schultage!D17</f>
        <v>45609</v>
      </c>
      <c r="S25" s="487"/>
      <c r="T25" s="450" t="s">
        <v>406</v>
      </c>
      <c r="U25" s="450"/>
      <c r="V25" s="450"/>
      <c r="W25" s="451"/>
    </row>
    <row r="26" spans="2:23" s="7" customFormat="1" ht="18.95" customHeight="1" thickBot="1" x14ac:dyDescent="0.3">
      <c r="B26" s="538"/>
      <c r="C26" s="536"/>
      <c r="D26" s="537"/>
      <c r="E26" s="572"/>
      <c r="F26" s="565"/>
      <c r="G26" s="568"/>
      <c r="H26" s="546"/>
      <c r="M26" s="335" t="s">
        <v>485</v>
      </c>
      <c r="N26" s="336"/>
      <c r="O26" s="337"/>
      <c r="P26" s="10"/>
      <c r="Q26" s="466"/>
      <c r="R26" s="323">
        <v>3.7</v>
      </c>
      <c r="S26" s="344">
        <v>3.3</v>
      </c>
      <c r="T26" s="459" t="s">
        <v>405</v>
      </c>
      <c r="U26" s="459"/>
      <c r="V26" s="459"/>
      <c r="W26" s="460"/>
    </row>
    <row r="27" spans="2:23" s="7" customFormat="1" ht="18.95" customHeight="1" x14ac:dyDescent="0.3">
      <c r="B27" s="538"/>
      <c r="C27" s="536"/>
      <c r="D27" s="537"/>
      <c r="E27" s="602"/>
      <c r="F27" s="566"/>
      <c r="G27" s="569"/>
      <c r="H27" s="546"/>
      <c r="M27" s="338" t="s">
        <v>10</v>
      </c>
      <c r="N27" s="631">
        <v>1.5</v>
      </c>
      <c r="O27" s="632"/>
      <c r="P27" s="10"/>
      <c r="Q27" s="465">
        <f>Schultage!C18</f>
        <v>12</v>
      </c>
      <c r="R27" s="486">
        <f>Schultage!D18</f>
        <v>45616</v>
      </c>
      <c r="S27" s="487"/>
      <c r="T27" s="450" t="s">
        <v>407</v>
      </c>
      <c r="U27" s="450"/>
      <c r="V27" s="450"/>
      <c r="W27" s="451"/>
    </row>
    <row r="28" spans="2:23" s="7" customFormat="1" ht="18.95" customHeight="1" thickBot="1" x14ac:dyDescent="0.35">
      <c r="B28" s="535" t="s">
        <v>13</v>
      </c>
      <c r="C28" s="536"/>
      <c r="D28" s="537"/>
      <c r="E28" s="571" t="s">
        <v>382</v>
      </c>
      <c r="F28" s="564" t="s">
        <v>253</v>
      </c>
      <c r="G28" s="567" t="s">
        <v>288</v>
      </c>
      <c r="H28" s="546"/>
      <c r="M28" s="339" t="s">
        <v>11</v>
      </c>
      <c r="N28" s="600">
        <v>1.5</v>
      </c>
      <c r="O28" s="601"/>
      <c r="P28" s="10"/>
      <c r="Q28" s="466"/>
      <c r="R28" s="342">
        <v>3.7</v>
      </c>
      <c r="S28" s="345">
        <v>3.3</v>
      </c>
      <c r="T28" s="459" t="s">
        <v>405</v>
      </c>
      <c r="U28" s="459"/>
      <c r="V28" s="459"/>
      <c r="W28" s="460"/>
    </row>
    <row r="29" spans="2:23" s="7" customFormat="1" ht="18.95" customHeight="1" x14ac:dyDescent="0.3">
      <c r="B29" s="538"/>
      <c r="C29" s="536"/>
      <c r="D29" s="537"/>
      <c r="E29" s="572"/>
      <c r="F29" s="565"/>
      <c r="G29" s="568"/>
      <c r="H29" s="546"/>
      <c r="M29" s="339" t="s">
        <v>15</v>
      </c>
      <c r="N29" s="600">
        <v>1.5</v>
      </c>
      <c r="O29" s="601"/>
      <c r="P29" s="10"/>
      <c r="Q29" s="465">
        <f>Schultage!C19</f>
        <v>13</v>
      </c>
      <c r="R29" s="486">
        <f>Schultage!D19</f>
        <v>45623</v>
      </c>
      <c r="S29" s="487"/>
      <c r="T29" s="481" t="s">
        <v>408</v>
      </c>
      <c r="U29" s="481"/>
      <c r="V29" s="481"/>
      <c r="W29" s="482"/>
    </row>
    <row r="30" spans="2:23" s="7" customFormat="1" ht="18.95" customHeight="1" thickBot="1" x14ac:dyDescent="0.35">
      <c r="B30" s="539"/>
      <c r="C30" s="540"/>
      <c r="D30" s="541"/>
      <c r="E30" s="573"/>
      <c r="F30" s="574"/>
      <c r="G30" s="570"/>
      <c r="H30" s="547"/>
      <c r="M30" s="339" t="s">
        <v>16</v>
      </c>
      <c r="N30" s="600">
        <v>2</v>
      </c>
      <c r="O30" s="601"/>
      <c r="P30" s="10"/>
      <c r="Q30" s="466"/>
      <c r="R30" s="342">
        <v>3.8</v>
      </c>
      <c r="S30" s="345">
        <v>3.6</v>
      </c>
      <c r="T30" s="459" t="s">
        <v>405</v>
      </c>
      <c r="U30" s="459"/>
      <c r="V30" s="459"/>
      <c r="W30" s="460"/>
    </row>
    <row r="31" spans="2:23" s="7" customFormat="1" ht="18.95" customHeight="1" thickBot="1" x14ac:dyDescent="0.35">
      <c r="M31" s="340" t="s">
        <v>29</v>
      </c>
      <c r="N31" s="606">
        <v>2</v>
      </c>
      <c r="O31" s="607"/>
      <c r="Q31" s="465">
        <f>Schultage!C20</f>
        <v>14</v>
      </c>
      <c r="R31" s="486">
        <f>Schultage!D20</f>
        <v>45630</v>
      </c>
      <c r="S31" s="487"/>
      <c r="T31" s="481" t="s">
        <v>409</v>
      </c>
      <c r="U31" s="481"/>
      <c r="V31" s="481"/>
      <c r="W31" s="482"/>
    </row>
    <row r="32" spans="2:23" s="7" customFormat="1" ht="18.95" customHeight="1" thickBot="1" x14ac:dyDescent="0.3">
      <c r="B32" s="548" t="s">
        <v>480</v>
      </c>
      <c r="C32" s="549"/>
      <c r="D32" s="550"/>
      <c r="E32" s="521" t="s">
        <v>16</v>
      </c>
      <c r="F32" s="522"/>
      <c r="G32" s="523"/>
      <c r="H32" s="521" t="s">
        <v>29</v>
      </c>
      <c r="I32" s="522"/>
      <c r="J32" s="523"/>
      <c r="K32" s="48"/>
      <c r="L32"/>
      <c r="M32" s="341" t="s">
        <v>484</v>
      </c>
      <c r="N32" s="608">
        <f>SUM(N27:O31)</f>
        <v>8.5</v>
      </c>
      <c r="O32" s="609"/>
      <c r="P32"/>
      <c r="Q32" s="466"/>
      <c r="R32" s="343">
        <v>3.8</v>
      </c>
      <c r="S32" s="344">
        <v>3.6</v>
      </c>
      <c r="T32" s="459" t="s">
        <v>405</v>
      </c>
      <c r="U32" s="459"/>
      <c r="V32" s="459"/>
      <c r="W32" s="460"/>
    </row>
    <row r="33" spans="2:23" ht="18.95" customHeight="1" thickBot="1" x14ac:dyDescent="0.35">
      <c r="B33" s="551"/>
      <c r="C33" s="552"/>
      <c r="D33" s="553"/>
      <c r="E33" s="616" t="s">
        <v>388</v>
      </c>
      <c r="F33" s="617"/>
      <c r="G33" s="618"/>
      <c r="H33" s="616" t="s">
        <v>389</v>
      </c>
      <c r="I33" s="617"/>
      <c r="J33" s="618"/>
      <c r="K33" s="13"/>
      <c r="L33" s="16"/>
      <c r="P33" s="16"/>
      <c r="Q33" s="465">
        <f>Schultage!C21</f>
        <v>15</v>
      </c>
      <c r="R33" s="486">
        <f>Schultage!D21</f>
        <v>45637</v>
      </c>
      <c r="S33" s="487"/>
      <c r="T33" s="481" t="s">
        <v>410</v>
      </c>
      <c r="U33" s="481"/>
      <c r="V33" s="481"/>
      <c r="W33" s="482"/>
    </row>
    <row r="34" spans="2:23" ht="18.95" customHeight="1" thickBot="1" x14ac:dyDescent="0.35">
      <c r="B34" s="577" t="s">
        <v>21</v>
      </c>
      <c r="C34" s="578"/>
      <c r="D34" s="579"/>
      <c r="E34" s="593" t="s">
        <v>292</v>
      </c>
      <c r="F34" s="587" t="s">
        <v>294</v>
      </c>
      <c r="G34" s="560" t="s">
        <v>296</v>
      </c>
      <c r="H34" s="593" t="s">
        <v>298</v>
      </c>
      <c r="I34" s="564" t="s">
        <v>300</v>
      </c>
      <c r="J34" s="567" t="s">
        <v>302</v>
      </c>
      <c r="K34" s="13"/>
      <c r="L34" s="17"/>
      <c r="M34" s="610" t="s">
        <v>488</v>
      </c>
      <c r="N34" s="611"/>
      <c r="O34" s="612"/>
      <c r="P34" s="17"/>
      <c r="Q34" s="466"/>
      <c r="R34" s="324">
        <v>3.8</v>
      </c>
      <c r="S34" s="344">
        <v>3.6</v>
      </c>
      <c r="T34" s="459" t="s">
        <v>405</v>
      </c>
      <c r="U34" s="459"/>
      <c r="V34" s="459"/>
      <c r="W34" s="460"/>
    </row>
    <row r="35" spans="2:23" ht="18.95" customHeight="1" x14ac:dyDescent="0.3">
      <c r="B35" s="586"/>
      <c r="C35" s="578"/>
      <c r="D35" s="579"/>
      <c r="E35" s="594"/>
      <c r="F35" s="588"/>
      <c r="G35" s="591"/>
      <c r="H35" s="594"/>
      <c r="I35" s="565"/>
      <c r="J35" s="568"/>
      <c r="K35" s="13"/>
      <c r="L35" s="17"/>
      <c r="M35" s="633" t="s">
        <v>489</v>
      </c>
      <c r="N35" s="634"/>
      <c r="O35" s="635"/>
      <c r="P35" s="17"/>
      <c r="Q35" s="465">
        <f>Schultage!C22</f>
        <v>16</v>
      </c>
      <c r="R35" s="486">
        <f>Schultage!D22</f>
        <v>45644</v>
      </c>
      <c r="S35" s="487"/>
      <c r="T35" s="481" t="s">
        <v>410</v>
      </c>
      <c r="U35" s="481"/>
      <c r="V35" s="481"/>
      <c r="W35" s="482"/>
    </row>
    <row r="36" spans="2:23" ht="18.95" customHeight="1" thickBot="1" x14ac:dyDescent="0.35">
      <c r="B36" s="577" t="s">
        <v>24</v>
      </c>
      <c r="C36" s="578"/>
      <c r="D36" s="579"/>
      <c r="E36" s="594"/>
      <c r="F36" s="588"/>
      <c r="G36" s="591"/>
      <c r="H36" s="594"/>
      <c r="I36" s="565"/>
      <c r="J36" s="568"/>
      <c r="K36" s="13"/>
      <c r="L36" s="17"/>
      <c r="M36" s="636"/>
      <c r="N36" s="637"/>
      <c r="O36" s="638"/>
      <c r="P36" s="17"/>
      <c r="Q36" s="466"/>
      <c r="R36" s="323">
        <v>3.9</v>
      </c>
      <c r="S36" s="344">
        <v>3.6</v>
      </c>
      <c r="T36" s="459" t="s">
        <v>405</v>
      </c>
      <c r="U36" s="459"/>
      <c r="V36" s="459"/>
      <c r="W36" s="460"/>
    </row>
    <row r="37" spans="2:23" ht="18.95" customHeight="1" x14ac:dyDescent="0.3">
      <c r="B37" s="586"/>
      <c r="C37" s="578"/>
      <c r="D37" s="579"/>
      <c r="E37" s="594"/>
      <c r="F37" s="589"/>
      <c r="G37" s="591"/>
      <c r="H37" s="594"/>
      <c r="I37" s="565"/>
      <c r="J37" s="568"/>
      <c r="K37" s="13"/>
      <c r="L37" s="17"/>
      <c r="M37" s="633" t="s">
        <v>490</v>
      </c>
      <c r="N37" s="634"/>
      <c r="O37" s="635"/>
      <c r="P37" s="17"/>
      <c r="Q37" s="465">
        <f>Schultage!C25</f>
        <v>17</v>
      </c>
      <c r="R37" s="486">
        <f>Schultage!D25</f>
        <v>45665</v>
      </c>
      <c r="S37" s="487"/>
      <c r="T37" s="481" t="s">
        <v>410</v>
      </c>
      <c r="U37" s="481"/>
      <c r="V37" s="481"/>
      <c r="W37" s="482"/>
    </row>
    <row r="38" spans="2:23" ht="18.95" customHeight="1" thickBot="1" x14ac:dyDescent="0.35">
      <c r="B38" s="577"/>
      <c r="C38" s="578"/>
      <c r="D38" s="579"/>
      <c r="E38" s="594"/>
      <c r="F38" s="589"/>
      <c r="G38" s="591"/>
      <c r="H38" s="594"/>
      <c r="I38" s="565"/>
      <c r="J38" s="568"/>
      <c r="K38" s="13"/>
      <c r="L38" s="17"/>
      <c r="M38" s="636"/>
      <c r="N38" s="637"/>
      <c r="O38" s="638"/>
      <c r="P38" s="17"/>
      <c r="Q38" s="466"/>
      <c r="R38" s="324">
        <v>3.9</v>
      </c>
      <c r="S38" s="344">
        <v>3.6</v>
      </c>
      <c r="T38" s="481" t="s">
        <v>411</v>
      </c>
      <c r="U38" s="481"/>
      <c r="V38" s="481"/>
      <c r="W38" s="482"/>
    </row>
    <row r="39" spans="2:23" ht="18.95" customHeight="1" thickBot="1" x14ac:dyDescent="0.35">
      <c r="B39" s="580"/>
      <c r="C39" s="581"/>
      <c r="D39" s="582"/>
      <c r="E39" s="595"/>
      <c r="F39" s="590"/>
      <c r="G39" s="592"/>
      <c r="H39" s="595"/>
      <c r="I39" s="574"/>
      <c r="J39" s="570"/>
      <c r="K39" s="13"/>
      <c r="L39"/>
      <c r="M39" s="633" t="s">
        <v>491</v>
      </c>
      <c r="N39" s="639"/>
      <c r="O39" s="640"/>
      <c r="P39"/>
      <c r="Q39" s="465">
        <f>Schultage!C26</f>
        <v>18</v>
      </c>
      <c r="R39" s="575">
        <f>Schultage!D26</f>
        <v>45672</v>
      </c>
      <c r="S39" s="576"/>
      <c r="T39" s="241" t="s">
        <v>413</v>
      </c>
      <c r="U39" s="241"/>
      <c r="V39" s="241"/>
      <c r="W39" s="242"/>
    </row>
    <row r="40" spans="2:23" ht="18.95" customHeight="1" thickBot="1" x14ac:dyDescent="0.35">
      <c r="B40" s="67"/>
      <c r="C40" s="67"/>
      <c r="D40" s="67"/>
      <c r="E40" s="84"/>
      <c r="F40" s="85"/>
      <c r="G40" s="84"/>
      <c r="H40" s="85"/>
      <c r="I40" s="85"/>
      <c r="J40" s="85"/>
      <c r="K40" s="13"/>
      <c r="L40"/>
      <c r="M40" s="641"/>
      <c r="N40" s="642"/>
      <c r="O40" s="643"/>
      <c r="P40"/>
      <c r="Q40" s="466"/>
      <c r="R40" s="323">
        <v>3.9</v>
      </c>
      <c r="S40" s="344">
        <v>3.6</v>
      </c>
      <c r="T40" s="583" t="s">
        <v>412</v>
      </c>
      <c r="U40" s="584"/>
      <c r="V40" s="584"/>
      <c r="W40" s="585"/>
    </row>
    <row r="41" spans="2:23" ht="18.95" customHeight="1" x14ac:dyDescent="0.3">
      <c r="B41" s="67"/>
      <c r="C41" s="67"/>
      <c r="D41" s="67"/>
      <c r="E41" s="84"/>
      <c r="F41" s="85"/>
      <c r="G41" s="84"/>
      <c r="H41" s="85"/>
      <c r="I41" s="85"/>
      <c r="J41" s="85"/>
      <c r="K41" s="13"/>
      <c r="L41"/>
      <c r="M41" s="424"/>
      <c r="N41" s="424"/>
      <c r="O41" s="424"/>
      <c r="P41"/>
      <c r="Q41" s="425">
        <v>19</v>
      </c>
      <c r="R41" s="427">
        <v>45679</v>
      </c>
      <c r="S41" s="428"/>
      <c r="T41" s="417" t="s">
        <v>695</v>
      </c>
      <c r="U41" s="418"/>
      <c r="V41" s="418"/>
      <c r="W41" s="419"/>
    </row>
    <row r="42" spans="2:23" s="15" customFormat="1" ht="18" customHeight="1" thickBot="1" x14ac:dyDescent="0.3">
      <c r="Q42" s="426"/>
      <c r="R42" s="420"/>
      <c r="S42" s="421"/>
      <c r="T42" s="422"/>
      <c r="U42" s="422"/>
      <c r="V42" s="422"/>
      <c r="W42" s="423"/>
    </row>
    <row r="43" spans="2:23" s="7" customFormat="1" ht="13.5" customHeight="1" thickBot="1" x14ac:dyDescent="0.3">
      <c r="B43" s="38" t="s">
        <v>28</v>
      </c>
      <c r="C43" s="39"/>
      <c r="D43" s="39"/>
      <c r="E43" s="39"/>
      <c r="F43" s="39"/>
      <c r="G43" s="40"/>
      <c r="H43" s="39"/>
      <c r="I43" s="39"/>
      <c r="J43" s="41"/>
      <c r="K43" s="39" t="s">
        <v>541</v>
      </c>
      <c r="L43" s="40"/>
      <c r="M43" s="39"/>
      <c r="N43" s="39"/>
      <c r="O43" s="39"/>
      <c r="P43" s="40"/>
      <c r="Q43" s="39"/>
      <c r="R43" s="39"/>
      <c r="S43" s="41"/>
      <c r="T43" s="40"/>
      <c r="U43" s="40"/>
      <c r="V43" s="40"/>
      <c r="W43" s="45"/>
    </row>
    <row r="44" spans="2:23" ht="15" customHeight="1" x14ac:dyDescent="0.3">
      <c r="W44" s="1"/>
    </row>
    <row r="45" spans="2:23" ht="15" customHeight="1" x14ac:dyDescent="0.3">
      <c r="K45" s="12"/>
      <c r="L45" s="42"/>
      <c r="M45" s="42"/>
      <c r="N45" s="42"/>
      <c r="O45" s="42"/>
      <c r="P45" s="42"/>
      <c r="S45" s="1"/>
      <c r="T45" s="1"/>
      <c r="U45" s="1"/>
      <c r="V45" s="1"/>
      <c r="W45" s="1"/>
    </row>
    <row r="46" spans="2:23" ht="15" customHeight="1" x14ac:dyDescent="0.3">
      <c r="K46" s="12"/>
      <c r="L46" s="42"/>
      <c r="M46" s="42"/>
      <c r="N46" s="42"/>
      <c r="O46" s="42"/>
      <c r="P46" s="42"/>
      <c r="S46" s="1"/>
      <c r="T46" s="1"/>
      <c r="U46" s="1"/>
      <c r="V46" s="1"/>
      <c r="W46" s="1"/>
    </row>
    <row r="47" spans="2:23" ht="15" customHeight="1" x14ac:dyDescent="0.3">
      <c r="K47" s="12"/>
      <c r="L47" s="42"/>
      <c r="M47" s="42"/>
      <c r="N47" s="42"/>
      <c r="O47" s="42"/>
      <c r="P47" s="42"/>
      <c r="S47" s="1"/>
      <c r="T47" s="1"/>
      <c r="U47" s="1"/>
      <c r="V47" s="1"/>
      <c r="W47" s="1"/>
    </row>
    <row r="48" spans="2:23" ht="15" customHeight="1" x14ac:dyDescent="0.3">
      <c r="K48" s="12"/>
      <c r="L48" s="42"/>
      <c r="M48" s="42"/>
      <c r="N48" s="42"/>
      <c r="O48" s="42"/>
      <c r="P48" s="42"/>
      <c r="S48" s="1"/>
      <c r="T48" s="1"/>
      <c r="U48" s="1"/>
      <c r="V48" s="1"/>
      <c r="W48" s="1"/>
    </row>
    <row r="49" spans="11:23" ht="15" customHeight="1" x14ac:dyDescent="0.3">
      <c r="K49" s="12"/>
      <c r="L49" s="42"/>
      <c r="M49" s="42"/>
      <c r="N49" s="42"/>
      <c r="O49" s="42"/>
      <c r="P49" s="42"/>
      <c r="S49" s="1"/>
      <c r="T49" s="1"/>
      <c r="U49" s="1"/>
      <c r="V49" s="1"/>
      <c r="W49" s="1"/>
    </row>
    <row r="50" spans="11:23" ht="15" customHeight="1" x14ac:dyDescent="0.3">
      <c r="K50" s="12"/>
      <c r="L50" s="42"/>
      <c r="M50" s="42"/>
      <c r="N50" s="42"/>
      <c r="O50" s="42"/>
      <c r="P50" s="42"/>
      <c r="S50" s="1"/>
      <c r="T50" s="1"/>
      <c r="U50" s="1"/>
      <c r="V50" s="1"/>
      <c r="W50" s="1"/>
    </row>
    <row r="51" spans="11:23" ht="15" customHeight="1" x14ac:dyDescent="0.3">
      <c r="K51" s="12"/>
      <c r="L51" s="42"/>
      <c r="M51" s="42"/>
      <c r="N51" s="42"/>
      <c r="O51" s="42"/>
      <c r="P51" s="42"/>
      <c r="S51" s="1"/>
      <c r="T51" s="1"/>
      <c r="U51" s="1"/>
      <c r="V51" s="1"/>
      <c r="W51" s="1"/>
    </row>
    <row r="52" spans="11:23" ht="15" customHeight="1" x14ac:dyDescent="0.3">
      <c r="K52" s="12"/>
      <c r="L52" s="42"/>
      <c r="M52" s="42"/>
      <c r="N52" s="42"/>
      <c r="O52" s="42"/>
      <c r="P52" s="42"/>
      <c r="S52" s="1"/>
      <c r="T52" s="1"/>
      <c r="U52" s="1"/>
      <c r="V52" s="1"/>
      <c r="W52" s="1"/>
    </row>
    <row r="53" spans="11:23" ht="15" customHeight="1" x14ac:dyDescent="0.3">
      <c r="K53" s="12"/>
      <c r="L53" s="42"/>
      <c r="M53" s="42"/>
      <c r="N53" s="42"/>
      <c r="O53" s="42"/>
      <c r="P53" s="42"/>
      <c r="S53" s="1"/>
      <c r="T53" s="1"/>
      <c r="U53" s="1"/>
      <c r="V53" s="1"/>
      <c r="W53" s="1"/>
    </row>
    <row r="54" spans="11:23" ht="15" customHeight="1" x14ac:dyDescent="0.3">
      <c r="K54" s="12"/>
      <c r="L54" s="42"/>
      <c r="M54" s="42"/>
      <c r="N54" s="42"/>
      <c r="O54" s="42"/>
      <c r="P54" s="42"/>
      <c r="S54" s="1"/>
      <c r="T54" s="1"/>
      <c r="U54" s="1"/>
      <c r="V54" s="1"/>
      <c r="W54" s="1"/>
    </row>
    <row r="55" spans="11:23" ht="15" customHeight="1" x14ac:dyDescent="0.3">
      <c r="K55" s="12"/>
      <c r="L55" s="42"/>
      <c r="M55" s="42"/>
      <c r="N55" s="42"/>
      <c r="O55" s="42"/>
      <c r="P55" s="42"/>
      <c r="S55" s="1"/>
      <c r="T55" s="7"/>
      <c r="U55" s="7"/>
      <c r="V55" s="1"/>
      <c r="W55" s="1"/>
    </row>
    <row r="56" spans="11:23" ht="15" customHeight="1" x14ac:dyDescent="0.3">
      <c r="K56" s="12"/>
      <c r="L56" s="42"/>
      <c r="M56" s="42"/>
      <c r="N56" s="42"/>
      <c r="O56" s="42"/>
      <c r="P56" s="42"/>
      <c r="S56" s="1"/>
      <c r="T56" s="7"/>
      <c r="U56" s="7"/>
      <c r="V56" s="1"/>
      <c r="W56" s="1"/>
    </row>
    <row r="57" spans="11:23" ht="15" customHeight="1" x14ac:dyDescent="0.3">
      <c r="K57" s="12"/>
      <c r="L57" s="42"/>
      <c r="M57" s="42"/>
      <c r="N57" s="42"/>
      <c r="O57" s="42"/>
      <c r="P57" s="42"/>
      <c r="S57" s="1"/>
      <c r="T57" s="7"/>
      <c r="U57" s="7"/>
      <c r="V57" s="1"/>
      <c r="W57" s="1"/>
    </row>
  </sheetData>
  <mergeCells count="162">
    <mergeCell ref="M19:O19"/>
    <mergeCell ref="R17:S17"/>
    <mergeCell ref="R15:S15"/>
    <mergeCell ref="R19:S19"/>
    <mergeCell ref="R21:S21"/>
    <mergeCell ref="R23:S23"/>
    <mergeCell ref="R25:S25"/>
    <mergeCell ref="R27:S27"/>
    <mergeCell ref="E33:G33"/>
    <mergeCell ref="H33:J33"/>
    <mergeCell ref="Q33:Q34"/>
    <mergeCell ref="G15:H15"/>
    <mergeCell ref="G16:H21"/>
    <mergeCell ref="N21:O21"/>
    <mergeCell ref="N22:O22"/>
    <mergeCell ref="N23:O23"/>
    <mergeCell ref="N24:O24"/>
    <mergeCell ref="N27:O27"/>
    <mergeCell ref="H34:H39"/>
    <mergeCell ref="I34:I39"/>
    <mergeCell ref="M35:O36"/>
    <mergeCell ref="M37:O38"/>
    <mergeCell ref="M39:O40"/>
    <mergeCell ref="N28:O28"/>
    <mergeCell ref="D20:E21"/>
    <mergeCell ref="D18:E19"/>
    <mergeCell ref="N29:O29"/>
    <mergeCell ref="E25:E27"/>
    <mergeCell ref="E23:G23"/>
    <mergeCell ref="E24:G24"/>
    <mergeCell ref="T33:W33"/>
    <mergeCell ref="B34:D35"/>
    <mergeCell ref="R33:S33"/>
    <mergeCell ref="R35:S35"/>
    <mergeCell ref="N30:O30"/>
    <mergeCell ref="N31:O31"/>
    <mergeCell ref="N32:O32"/>
    <mergeCell ref="M34:O34"/>
    <mergeCell ref="T29:W29"/>
    <mergeCell ref="T30:W30"/>
    <mergeCell ref="Q31:Q32"/>
    <mergeCell ref="T31:W31"/>
    <mergeCell ref="R29:S29"/>
    <mergeCell ref="R31:S31"/>
    <mergeCell ref="J34:J39"/>
    <mergeCell ref="B32:D33"/>
    <mergeCell ref="E32:G32"/>
    <mergeCell ref="H32:J32"/>
    <mergeCell ref="E28:E30"/>
    <mergeCell ref="F28:F30"/>
    <mergeCell ref="G28:G30"/>
    <mergeCell ref="R37:S37"/>
    <mergeCell ref="R39:S39"/>
    <mergeCell ref="B38:D39"/>
    <mergeCell ref="T38:W38"/>
    <mergeCell ref="Q39:Q40"/>
    <mergeCell ref="T40:W40"/>
    <mergeCell ref="T34:W34"/>
    <mergeCell ref="Q35:Q36"/>
    <mergeCell ref="T35:W35"/>
    <mergeCell ref="B36:D37"/>
    <mergeCell ref="T36:W36"/>
    <mergeCell ref="Q37:Q38"/>
    <mergeCell ref="T37:W37"/>
    <mergeCell ref="F34:F39"/>
    <mergeCell ref="G34:G39"/>
    <mergeCell ref="E34:E39"/>
    <mergeCell ref="T32:W32"/>
    <mergeCell ref="T25:W25"/>
    <mergeCell ref="T26:W26"/>
    <mergeCell ref="Q27:Q28"/>
    <mergeCell ref="T27:W27"/>
    <mergeCell ref="B28:D30"/>
    <mergeCell ref="T24:W24"/>
    <mergeCell ref="B25:D27"/>
    <mergeCell ref="H25:H30"/>
    <mergeCell ref="T21:W21"/>
    <mergeCell ref="T22:W22"/>
    <mergeCell ref="B23:D24"/>
    <mergeCell ref="Q23:Q24"/>
    <mergeCell ref="T23:W23"/>
    <mergeCell ref="B16:C21"/>
    <mergeCell ref="D16:E17"/>
    <mergeCell ref="F25:F27"/>
    <mergeCell ref="G25:G27"/>
    <mergeCell ref="Q25:Q26"/>
    <mergeCell ref="Q19:Q20"/>
    <mergeCell ref="F19:F21"/>
    <mergeCell ref="F16:F18"/>
    <mergeCell ref="T19:W19"/>
    <mergeCell ref="T28:W28"/>
    <mergeCell ref="Q29:Q30"/>
    <mergeCell ref="R5:S5"/>
    <mergeCell ref="H6:I6"/>
    <mergeCell ref="H5:I5"/>
    <mergeCell ref="D14:F14"/>
    <mergeCell ref="G14:H14"/>
    <mergeCell ref="N20:O20"/>
    <mergeCell ref="T20:W20"/>
    <mergeCell ref="Q21:Q22"/>
    <mergeCell ref="T16:W16"/>
    <mergeCell ref="Q17:Q18"/>
    <mergeCell ref="T17:W17"/>
    <mergeCell ref="G9:G12"/>
    <mergeCell ref="T18:W18"/>
    <mergeCell ref="F7:F10"/>
    <mergeCell ref="G7:G8"/>
    <mergeCell ref="T14:W14"/>
    <mergeCell ref="Q15:Q16"/>
    <mergeCell ref="T15:W15"/>
    <mergeCell ref="Q13:Q14"/>
    <mergeCell ref="T13:W13"/>
    <mergeCell ref="I7:I9"/>
    <mergeCell ref="H7:H10"/>
    <mergeCell ref="H11:H12"/>
    <mergeCell ref="I10:I12"/>
    <mergeCell ref="B7:C12"/>
    <mergeCell ref="D7:D10"/>
    <mergeCell ref="E7:E10"/>
    <mergeCell ref="Q7:Q8"/>
    <mergeCell ref="T7:W7"/>
    <mergeCell ref="T8:W8"/>
    <mergeCell ref="Q9:Q10"/>
    <mergeCell ref="F6:G6"/>
    <mergeCell ref="F11:F12"/>
    <mergeCell ref="R7:S7"/>
    <mergeCell ref="R9:S9"/>
    <mergeCell ref="J7:J11"/>
    <mergeCell ref="J12:J15"/>
    <mergeCell ref="K10:K11"/>
    <mergeCell ref="K12:K15"/>
    <mergeCell ref="K7:K9"/>
    <mergeCell ref="M6:O12"/>
    <mergeCell ref="M14:O14"/>
    <mergeCell ref="M15:O17"/>
    <mergeCell ref="R13:S13"/>
    <mergeCell ref="R11:S11"/>
    <mergeCell ref="D15:F15"/>
    <mergeCell ref="Q41:Q42"/>
    <mergeCell ref="R41:S41"/>
    <mergeCell ref="V1:W1"/>
    <mergeCell ref="B3:G3"/>
    <mergeCell ref="H3:I3"/>
    <mergeCell ref="J3:K3"/>
    <mergeCell ref="Q3:W3"/>
    <mergeCell ref="B5:C6"/>
    <mergeCell ref="D5:E5"/>
    <mergeCell ref="M5:O5"/>
    <mergeCell ref="Q5:Q6"/>
    <mergeCell ref="T5:W5"/>
    <mergeCell ref="J5:K5"/>
    <mergeCell ref="J6:K6"/>
    <mergeCell ref="B14:C15"/>
    <mergeCell ref="F5:G5"/>
    <mergeCell ref="T9:W9"/>
    <mergeCell ref="T10:W10"/>
    <mergeCell ref="D11:E12"/>
    <mergeCell ref="Q11:Q12"/>
    <mergeCell ref="T11:W11"/>
    <mergeCell ref="T12:W12"/>
    <mergeCell ref="D6:E6"/>
    <mergeCell ref="T6:W6"/>
  </mergeCells>
  <conditionalFormatting sqref="T5:W38 S6 R7 S8 R9 S10 R11 S12 R13 S14 R15 S16 R17 S18 R19 S20 R21 S22 R23 S24 R25 S26 R27 S28 R29 S30 R31 S32 R33 S34 R35 S36 R37 S38 S40">
    <cfRule type="expression" dxfId="19" priority="41">
      <formula>$R$7=$M$39</formula>
    </cfRule>
    <cfRule type="expression" dxfId="18" priority="42">
      <formula>$R$7=$M$38</formula>
    </cfRule>
    <cfRule type="expression" dxfId="17" priority="43">
      <formula>$R$7=$M$37</formula>
    </cfRule>
    <cfRule type="expression" dxfId="16" priority="44">
      <formula>$R$7=$M$36</formula>
    </cfRule>
    <cfRule type="expression" dxfId="15" priority="45">
      <formula>$R$7=$M$35</formula>
    </cfRule>
  </conditionalFormatting>
  <pageMargins left="0.23622047244094491" right="0.23622047244094491" top="0.31496062992125984" bottom="0.74803149606299213" header="0.31496062992125984" footer="0.31496062992125984"/>
  <pageSetup paperSize="8" orientation="landscape" r:id="rId1"/>
  <headerFooter>
    <oddHeader xml:space="preserve">&amp;L
</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C6950-45EC-4DF3-B3CC-3632719368DF}">
  <sheetPr codeName="Tabelle1"/>
  <dimension ref="A1:W58"/>
  <sheetViews>
    <sheetView showWhiteSpace="0" zoomScaleNormal="100" workbookViewId="0">
      <selection activeCell="D44" sqref="D44"/>
    </sheetView>
  </sheetViews>
  <sheetFormatPr baseColWidth="10" defaultColWidth="11.42578125" defaultRowHeight="15" customHeight="1" x14ac:dyDescent="0.3"/>
  <cols>
    <col min="1" max="1" width="3.28515625" style="1" customWidth="1"/>
    <col min="2" max="2" width="8.28515625" style="1" customWidth="1"/>
    <col min="3" max="3" width="9.85546875" style="1" customWidth="1"/>
    <col min="4" max="4" width="10.7109375" style="1" customWidth="1"/>
    <col min="5" max="11" width="13.28515625" style="1" customWidth="1"/>
    <col min="12" max="12" width="1" style="1" customWidth="1"/>
    <col min="13" max="13" width="13.28515625" style="1" customWidth="1"/>
    <col min="14" max="15" width="4.85546875" style="1" customWidth="1"/>
    <col min="16" max="16" width="1" style="1" customWidth="1"/>
    <col min="17" max="17" width="3.85546875" style="1" customWidth="1"/>
    <col min="18" max="18" width="10.28515625" style="12" customWidth="1"/>
    <col min="19" max="21" width="8.28515625" style="42" customWidth="1"/>
    <col min="22" max="22" width="15" style="42" customWidth="1"/>
    <col min="23" max="16384" width="11.42578125" style="1"/>
  </cols>
  <sheetData>
    <row r="1" spans="1:23" ht="26.1" customHeight="1" thickBot="1" x14ac:dyDescent="0.35">
      <c r="B1" s="32" t="s">
        <v>49</v>
      </c>
      <c r="C1" s="33"/>
      <c r="D1" s="33"/>
      <c r="E1" s="33"/>
      <c r="F1" s="33"/>
      <c r="G1" s="33"/>
      <c r="H1" s="33"/>
      <c r="I1" s="34" t="s">
        <v>0</v>
      </c>
      <c r="J1" s="35">
        <v>45518</v>
      </c>
      <c r="K1" s="34" t="s">
        <v>1</v>
      </c>
      <c r="L1" s="36" t="s">
        <v>50</v>
      </c>
      <c r="M1" s="36"/>
      <c r="N1" s="36"/>
      <c r="O1" s="37"/>
      <c r="P1" s="36"/>
      <c r="Q1" s="33"/>
      <c r="R1" s="91"/>
      <c r="S1" s="92"/>
      <c r="T1" s="92"/>
      <c r="U1" s="429" t="s">
        <v>61</v>
      </c>
      <c r="V1" s="430"/>
    </row>
    <row r="2" spans="1:23" ht="5.0999999999999996" customHeight="1" thickBot="1" x14ac:dyDescent="0.35">
      <c r="C2" s="5"/>
      <c r="D2"/>
      <c r="E2"/>
      <c r="F2"/>
      <c r="G2"/>
      <c r="H2" s="11"/>
      <c r="I2" s="11"/>
      <c r="J2" s="11"/>
      <c r="K2" s="11"/>
    </row>
    <row r="3" spans="1:23" ht="19.5" customHeight="1" thickBot="1" x14ac:dyDescent="0.35">
      <c r="B3" s="660" t="s">
        <v>2</v>
      </c>
      <c r="C3" s="661"/>
      <c r="D3" s="661"/>
      <c r="E3" s="661"/>
      <c r="F3" s="661"/>
      <c r="G3" s="661"/>
      <c r="H3" s="662"/>
      <c r="I3" s="662"/>
      <c r="J3" s="662"/>
      <c r="K3" s="663"/>
      <c r="L3" s="7"/>
      <c r="M3" s="21" t="s">
        <v>3</v>
      </c>
      <c r="N3" s="22"/>
      <c r="O3" s="23"/>
      <c r="P3" s="7"/>
      <c r="Q3" s="435" t="s">
        <v>60</v>
      </c>
      <c r="R3" s="436"/>
      <c r="S3" s="436"/>
      <c r="T3" s="436"/>
      <c r="U3" s="436"/>
      <c r="V3" s="437"/>
    </row>
    <row r="4" spans="1:23" ht="5.0999999999999996" customHeight="1" thickBot="1" x14ac:dyDescent="0.35">
      <c r="C4" s="2"/>
      <c r="D4" s="2"/>
      <c r="E4" s="2"/>
      <c r="F4" s="2"/>
      <c r="G4" s="2"/>
      <c r="H4" s="2"/>
      <c r="I4" s="2"/>
      <c r="J4" s="2"/>
      <c r="K4" s="2"/>
      <c r="R4" s="14"/>
      <c r="S4" s="43"/>
      <c r="T4" s="43"/>
      <c r="U4" s="44"/>
    </row>
    <row r="5" spans="1:23" ht="20.100000000000001" customHeight="1" x14ac:dyDescent="0.3">
      <c r="B5" s="438" t="s">
        <v>476</v>
      </c>
      <c r="C5" s="439"/>
      <c r="D5" s="442" t="s">
        <v>4</v>
      </c>
      <c r="E5" s="443"/>
      <c r="G5" s="234"/>
      <c r="K5" s="8"/>
      <c r="M5" s="664" t="s">
        <v>7</v>
      </c>
      <c r="N5" s="665"/>
      <c r="O5" s="666"/>
      <c r="Q5" s="447">
        <f>Schultage!C4</f>
        <v>1</v>
      </c>
      <c r="R5" s="238">
        <f>Schultage!D4</f>
        <v>45518</v>
      </c>
      <c r="S5" s="449" t="s">
        <v>398</v>
      </c>
      <c r="T5" s="450"/>
      <c r="U5" s="450"/>
      <c r="V5" s="451"/>
      <c r="W5" s="233"/>
    </row>
    <row r="6" spans="1:23" ht="20.100000000000001" customHeight="1" thickBot="1" x14ac:dyDescent="0.35">
      <c r="B6" s="440"/>
      <c r="C6" s="441"/>
      <c r="D6" s="453" t="s">
        <v>366</v>
      </c>
      <c r="E6" s="454"/>
      <c r="F6" s="234"/>
      <c r="G6" s="234"/>
      <c r="K6" s="13"/>
      <c r="M6" s="667" t="s">
        <v>33</v>
      </c>
      <c r="N6" s="668"/>
      <c r="O6" s="669"/>
      <c r="Q6" s="448"/>
      <c r="R6" s="58" t="s">
        <v>367</v>
      </c>
      <c r="S6" s="459" t="s">
        <v>399</v>
      </c>
      <c r="T6" s="459"/>
      <c r="U6" s="459"/>
      <c r="V6" s="460"/>
    </row>
    <row r="7" spans="1:23" ht="20.100000000000001" customHeight="1" x14ac:dyDescent="0.3">
      <c r="B7" s="468" t="s">
        <v>8</v>
      </c>
      <c r="C7" s="469"/>
      <c r="D7" s="474" t="s">
        <v>374</v>
      </c>
      <c r="E7" s="477" t="s">
        <v>210</v>
      </c>
      <c r="F7" s="235"/>
      <c r="G7" s="235"/>
      <c r="K7" s="13"/>
      <c r="L7" s="9"/>
      <c r="M7" s="670"/>
      <c r="N7" s="671"/>
      <c r="O7" s="669"/>
      <c r="P7" s="9"/>
      <c r="Q7" s="465">
        <f>Schultage!C5</f>
        <v>2</v>
      </c>
      <c r="R7" s="59">
        <f>Schultage!D5</f>
        <v>45525</v>
      </c>
      <c r="S7" s="449" t="s">
        <v>398</v>
      </c>
      <c r="T7" s="450"/>
      <c r="U7" s="450"/>
      <c r="V7" s="451"/>
    </row>
    <row r="8" spans="1:23" ht="20.100000000000001" customHeight="1" thickBot="1" x14ac:dyDescent="0.35">
      <c r="B8" s="470"/>
      <c r="C8" s="471"/>
      <c r="D8" s="475"/>
      <c r="E8" s="478"/>
      <c r="F8" s="235"/>
      <c r="G8" s="235"/>
      <c r="K8" s="13"/>
      <c r="L8" s="9"/>
      <c r="M8" s="670"/>
      <c r="N8" s="671"/>
      <c r="O8" s="669"/>
      <c r="P8" s="9"/>
      <c r="Q8" s="466"/>
      <c r="R8" s="58" t="s">
        <v>367</v>
      </c>
      <c r="S8" s="459" t="s">
        <v>399</v>
      </c>
      <c r="T8" s="459"/>
      <c r="U8" s="459"/>
      <c r="V8" s="460"/>
    </row>
    <row r="9" spans="1:23" ht="20.100000000000001" customHeight="1" x14ac:dyDescent="0.3">
      <c r="B9" s="470"/>
      <c r="C9" s="471"/>
      <c r="D9" s="475"/>
      <c r="E9" s="478"/>
      <c r="F9" s="235"/>
      <c r="G9" s="235"/>
      <c r="K9" s="13"/>
      <c r="L9" s="9"/>
      <c r="M9" s="672"/>
      <c r="N9" s="673"/>
      <c r="O9" s="674"/>
      <c r="P9" s="9"/>
      <c r="Q9" s="465">
        <f>Schultage!C6</f>
        <v>3</v>
      </c>
      <c r="R9" s="59">
        <f>Schultage!D6</f>
        <v>45532</v>
      </c>
      <c r="S9" s="449" t="s">
        <v>398</v>
      </c>
      <c r="T9" s="450"/>
      <c r="U9" s="450"/>
      <c r="V9" s="451"/>
    </row>
    <row r="10" spans="1:23" ht="20.100000000000001" customHeight="1" thickBot="1" x14ac:dyDescent="0.35">
      <c r="A10" s="6"/>
      <c r="B10" s="470"/>
      <c r="C10" s="471"/>
      <c r="D10" s="476"/>
      <c r="E10" s="479"/>
      <c r="F10" s="235"/>
      <c r="G10" s="235"/>
      <c r="K10" s="13"/>
      <c r="L10" s="9"/>
      <c r="M10" s="24" t="s">
        <v>32</v>
      </c>
      <c r="N10" s="675">
        <v>2</v>
      </c>
      <c r="O10" s="676"/>
      <c r="P10" s="9"/>
      <c r="Q10" s="466"/>
      <c r="R10" s="58" t="s">
        <v>367</v>
      </c>
      <c r="S10" s="459" t="s">
        <v>399</v>
      </c>
      <c r="T10" s="459"/>
      <c r="U10" s="459"/>
      <c r="V10" s="460"/>
    </row>
    <row r="11" spans="1:23" ht="20.100000000000001" customHeight="1" x14ac:dyDescent="0.3">
      <c r="A11" s="6"/>
      <c r="B11" s="470"/>
      <c r="C11" s="471"/>
      <c r="D11" s="461" t="s">
        <v>375</v>
      </c>
      <c r="E11" s="462"/>
      <c r="F11" s="235"/>
      <c r="G11" s="235"/>
      <c r="K11" s="13"/>
      <c r="L11" s="9"/>
      <c r="M11" s="24" t="s">
        <v>5</v>
      </c>
      <c r="N11" s="675">
        <v>3</v>
      </c>
      <c r="O11" s="676"/>
      <c r="P11" s="9"/>
      <c r="Q11" s="465">
        <f>Schultage!C7</f>
        <v>4</v>
      </c>
      <c r="R11" s="59">
        <f>Schultage!D7</f>
        <v>45539</v>
      </c>
      <c r="S11" s="450" t="s">
        <v>400</v>
      </c>
      <c r="T11" s="450"/>
      <c r="U11" s="450"/>
      <c r="V11" s="451"/>
    </row>
    <row r="12" spans="1:23" ht="20.100000000000001" customHeight="1" thickBot="1" x14ac:dyDescent="0.35">
      <c r="B12" s="472"/>
      <c r="C12" s="473"/>
      <c r="D12" s="463"/>
      <c r="E12" s="464"/>
      <c r="F12" s="235"/>
      <c r="G12" s="235"/>
      <c r="K12" s="13" t="s">
        <v>30</v>
      </c>
      <c r="L12" s="9"/>
      <c r="M12" s="24" t="s">
        <v>6</v>
      </c>
      <c r="N12" s="675">
        <v>2</v>
      </c>
      <c r="O12" s="676"/>
      <c r="P12" s="9"/>
      <c r="Q12" s="466"/>
      <c r="R12" s="20" t="s">
        <v>390</v>
      </c>
      <c r="S12" s="459" t="s">
        <v>399</v>
      </c>
      <c r="T12" s="459"/>
      <c r="U12" s="459"/>
      <c r="V12" s="460"/>
    </row>
    <row r="13" spans="1:23" ht="19.5" customHeight="1" thickBot="1" x14ac:dyDescent="0.35">
      <c r="C13" s="3"/>
      <c r="D13" s="4"/>
      <c r="E13" s="251"/>
      <c r="F13" s="252"/>
      <c r="G13" s="253"/>
      <c r="H13" s="677"/>
      <c r="I13" s="677"/>
      <c r="J13" s="52"/>
      <c r="K13" s="14"/>
      <c r="M13" s="24" t="s">
        <v>10</v>
      </c>
      <c r="N13" s="675">
        <v>1</v>
      </c>
      <c r="O13" s="676"/>
      <c r="Q13" s="465">
        <f>Schultage!C8</f>
        <v>5</v>
      </c>
      <c r="R13" s="59">
        <f>Schultage!D8</f>
        <v>45546</v>
      </c>
      <c r="S13" s="450" t="s">
        <v>400</v>
      </c>
      <c r="T13" s="450"/>
      <c r="U13" s="450"/>
      <c r="V13" s="451"/>
    </row>
    <row r="14" spans="1:23" ht="20.100000000000001" customHeight="1" thickBot="1" x14ac:dyDescent="0.35">
      <c r="B14" s="438" t="s">
        <v>9</v>
      </c>
      <c r="C14" s="439"/>
      <c r="D14" s="442" t="s">
        <v>5</v>
      </c>
      <c r="E14" s="443"/>
      <c r="F14" s="442" t="s">
        <v>6</v>
      </c>
      <c r="G14" s="443"/>
      <c r="H14" s="442" t="s">
        <v>10</v>
      </c>
      <c r="I14" s="443"/>
      <c r="J14" s="442" t="s">
        <v>11</v>
      </c>
      <c r="K14" s="443"/>
      <c r="L14" s="7"/>
      <c r="M14" s="24" t="s">
        <v>11</v>
      </c>
      <c r="N14" s="675">
        <v>1</v>
      </c>
      <c r="O14" s="676"/>
      <c r="P14" s="7"/>
      <c r="Q14" s="466"/>
      <c r="R14" s="20" t="s">
        <v>390</v>
      </c>
      <c r="S14" s="459" t="s">
        <v>399</v>
      </c>
      <c r="T14" s="459"/>
      <c r="U14" s="459"/>
      <c r="V14" s="460"/>
    </row>
    <row r="15" spans="1:23" ht="20.100000000000001" customHeight="1" x14ac:dyDescent="0.3">
      <c r="B15" s="440"/>
      <c r="C15" s="441"/>
      <c r="D15" s="453" t="s">
        <v>377</v>
      </c>
      <c r="E15" s="454"/>
      <c r="F15" s="453" t="s">
        <v>368</v>
      </c>
      <c r="G15" s="454"/>
      <c r="H15" s="453" t="s">
        <v>380</v>
      </c>
      <c r="I15" s="454"/>
      <c r="J15" s="453" t="s">
        <v>386</v>
      </c>
      <c r="K15" s="454"/>
      <c r="M15" s="24" t="s">
        <v>12</v>
      </c>
      <c r="N15" s="675">
        <v>3</v>
      </c>
      <c r="O15" s="676"/>
      <c r="Q15" s="465">
        <f>Schultage!C9</f>
        <v>6</v>
      </c>
      <c r="R15" s="59">
        <f>Schultage!D9</f>
        <v>45553</v>
      </c>
      <c r="S15" s="450" t="s">
        <v>400</v>
      </c>
      <c r="T15" s="450"/>
      <c r="U15" s="450"/>
      <c r="V15" s="451"/>
    </row>
    <row r="16" spans="1:23" ht="20.100000000000001" customHeight="1" thickBot="1" x14ac:dyDescent="0.35">
      <c r="B16" s="697" t="s">
        <v>369</v>
      </c>
      <c r="C16" s="698"/>
      <c r="D16" s="703" t="s">
        <v>370</v>
      </c>
      <c r="E16" s="477" t="s">
        <v>371</v>
      </c>
      <c r="F16" s="474" t="s">
        <v>376</v>
      </c>
      <c r="G16" s="477" t="s">
        <v>262</v>
      </c>
      <c r="H16" s="474" t="s">
        <v>233</v>
      </c>
      <c r="I16" s="477" t="s">
        <v>378</v>
      </c>
      <c r="J16" s="461" t="s">
        <v>276</v>
      </c>
      <c r="K16" s="462"/>
      <c r="M16" s="24" t="s">
        <v>15</v>
      </c>
      <c r="N16" s="675">
        <v>2</v>
      </c>
      <c r="O16" s="676"/>
      <c r="Q16" s="466"/>
      <c r="R16" s="58" t="s">
        <v>391</v>
      </c>
      <c r="S16" s="459" t="s">
        <v>402</v>
      </c>
      <c r="T16" s="459"/>
      <c r="U16" s="459"/>
      <c r="V16" s="460"/>
    </row>
    <row r="17" spans="2:22" ht="20.100000000000001" customHeight="1" x14ac:dyDescent="0.3">
      <c r="B17" s="699"/>
      <c r="C17" s="700"/>
      <c r="D17" s="704"/>
      <c r="E17" s="479"/>
      <c r="F17" s="475"/>
      <c r="G17" s="478"/>
      <c r="H17" s="475"/>
      <c r="I17" s="478"/>
      <c r="J17" s="656"/>
      <c r="K17" s="657"/>
      <c r="M17" s="24" t="s">
        <v>16</v>
      </c>
      <c r="N17" s="675">
        <v>1</v>
      </c>
      <c r="O17" s="676"/>
      <c r="Q17" s="465">
        <f>Schultage!C10</f>
        <v>7</v>
      </c>
      <c r="R17" s="19">
        <f>Schultage!D10</f>
        <v>45560</v>
      </c>
      <c r="S17" s="450" t="s">
        <v>400</v>
      </c>
      <c r="T17" s="450"/>
      <c r="U17" s="450"/>
      <c r="V17" s="451"/>
    </row>
    <row r="18" spans="2:22" ht="20.100000000000001" customHeight="1" thickBot="1" x14ac:dyDescent="0.35">
      <c r="B18" s="699"/>
      <c r="C18" s="700"/>
      <c r="D18" s="704"/>
      <c r="E18" s="478" t="s">
        <v>373</v>
      </c>
      <c r="F18" s="475"/>
      <c r="G18" s="479"/>
      <c r="H18" s="474" t="s">
        <v>266</v>
      </c>
      <c r="I18" s="479"/>
      <c r="J18" s="656"/>
      <c r="K18" s="657"/>
      <c r="L18"/>
      <c r="M18" s="24" t="s">
        <v>29</v>
      </c>
      <c r="N18" s="675">
        <v>1</v>
      </c>
      <c r="O18" s="676"/>
      <c r="P18"/>
      <c r="Q18" s="466"/>
      <c r="R18" s="20" t="s">
        <v>391</v>
      </c>
      <c r="S18" s="459" t="s">
        <v>403</v>
      </c>
      <c r="T18" s="459"/>
      <c r="U18" s="459"/>
      <c r="V18" s="460"/>
    </row>
    <row r="19" spans="2:22" ht="20.100000000000001" customHeight="1" x14ac:dyDescent="0.3">
      <c r="B19" s="699"/>
      <c r="C19" s="700"/>
      <c r="D19" s="705"/>
      <c r="E19" s="478"/>
      <c r="F19" s="476"/>
      <c r="G19" s="644" t="s">
        <v>228</v>
      </c>
      <c r="H19" s="476"/>
      <c r="I19" s="477" t="s">
        <v>275</v>
      </c>
      <c r="J19" s="656"/>
      <c r="K19" s="657"/>
      <c r="M19" s="24"/>
      <c r="N19" s="675"/>
      <c r="O19" s="676"/>
      <c r="Q19" s="465">
        <f>Schultage!C14</f>
        <v>8</v>
      </c>
      <c r="R19" s="19">
        <f>Schultage!D14</f>
        <v>45588</v>
      </c>
      <c r="S19" s="450" t="s">
        <v>400</v>
      </c>
      <c r="T19" s="450"/>
      <c r="U19" s="450"/>
      <c r="V19" s="451"/>
    </row>
    <row r="20" spans="2:22" ht="20.100000000000001" customHeight="1" thickBot="1" x14ac:dyDescent="0.35">
      <c r="B20" s="699"/>
      <c r="C20" s="700"/>
      <c r="D20" s="530" t="s">
        <v>372</v>
      </c>
      <c r="E20" s="478"/>
      <c r="F20" s="647" t="s">
        <v>231</v>
      </c>
      <c r="G20" s="645"/>
      <c r="H20" s="706" t="s">
        <v>379</v>
      </c>
      <c r="I20" s="478"/>
      <c r="J20" s="656"/>
      <c r="K20" s="657"/>
      <c r="M20" s="49" t="s">
        <v>34</v>
      </c>
      <c r="N20" s="658">
        <f>SUM(N10:O19)</f>
        <v>16</v>
      </c>
      <c r="O20" s="659"/>
      <c r="Q20" s="466"/>
      <c r="R20" s="20" t="s">
        <v>391</v>
      </c>
      <c r="S20" s="459" t="s">
        <v>401</v>
      </c>
      <c r="T20" s="459"/>
      <c r="U20" s="459"/>
      <c r="V20" s="460"/>
    </row>
    <row r="21" spans="2:22" ht="20.100000000000001" customHeight="1" thickBot="1" x14ac:dyDescent="0.35">
      <c r="B21" s="701"/>
      <c r="C21" s="702"/>
      <c r="D21" s="531"/>
      <c r="E21" s="526"/>
      <c r="F21" s="648"/>
      <c r="G21" s="646"/>
      <c r="H21" s="707"/>
      <c r="I21" s="526"/>
      <c r="J21" s="463"/>
      <c r="K21" s="464"/>
      <c r="M21" s="25"/>
      <c r="N21" s="50">
        <f>(SUM(O10:O18)*5)/SUM(N10:N18)+1</f>
        <v>1</v>
      </c>
      <c r="O21" s="51"/>
      <c r="Q21" s="465">
        <f>Schultage!C15</f>
        <v>9</v>
      </c>
      <c r="R21" s="19">
        <f>Schultage!D15</f>
        <v>45595</v>
      </c>
      <c r="S21" s="450" t="s">
        <v>404</v>
      </c>
      <c r="T21" s="450"/>
      <c r="U21" s="450"/>
      <c r="V21" s="451"/>
    </row>
    <row r="22" spans="2:22" ht="19.5" customHeight="1" thickBot="1" x14ac:dyDescent="0.35">
      <c r="M22"/>
      <c r="N22"/>
      <c r="O22" s="18" t="s">
        <v>14</v>
      </c>
      <c r="Q22" s="466"/>
      <c r="R22" s="20" t="s">
        <v>392</v>
      </c>
      <c r="S22" s="459" t="s">
        <v>401</v>
      </c>
      <c r="T22" s="459"/>
      <c r="U22" s="459"/>
      <c r="V22" s="460"/>
    </row>
    <row r="23" spans="2:22" ht="20.100000000000001" customHeight="1" x14ac:dyDescent="0.3">
      <c r="B23" s="678" t="s">
        <v>185</v>
      </c>
      <c r="C23" s="679"/>
      <c r="D23" s="680"/>
      <c r="E23" s="442" t="s">
        <v>12</v>
      </c>
      <c r="F23" s="452"/>
      <c r="G23" s="452"/>
      <c r="H23" s="652" t="s">
        <v>15</v>
      </c>
      <c r="I23" s="653"/>
      <c r="J23" s="654"/>
      <c r="K23" s="236" t="s">
        <v>385</v>
      </c>
      <c r="L23" s="7"/>
      <c r="M23" s="684" t="s">
        <v>17</v>
      </c>
      <c r="N23" s="685"/>
      <c r="O23" s="686"/>
      <c r="P23" s="7"/>
      <c r="Q23" s="465">
        <f>Schultage!C16</f>
        <v>10</v>
      </c>
      <c r="R23" s="19">
        <f>Schultage!D16</f>
        <v>45602</v>
      </c>
      <c r="S23" s="450" t="s">
        <v>404</v>
      </c>
      <c r="T23" s="450"/>
      <c r="U23" s="450"/>
      <c r="V23" s="451"/>
    </row>
    <row r="24" spans="2:22" ht="20.100000000000001" customHeight="1" thickBot="1" x14ac:dyDescent="0.35">
      <c r="B24" s="681"/>
      <c r="C24" s="682"/>
      <c r="D24" s="683"/>
      <c r="E24" s="708" t="s">
        <v>396</v>
      </c>
      <c r="F24" s="709"/>
      <c r="G24" s="709"/>
      <c r="H24" s="453" t="s">
        <v>383</v>
      </c>
      <c r="I24" s="655"/>
      <c r="J24" s="454"/>
      <c r="K24" s="237" t="s">
        <v>387</v>
      </c>
      <c r="M24" s="687" t="s">
        <v>31</v>
      </c>
      <c r="N24" s="688"/>
      <c r="O24" s="689"/>
      <c r="Q24" s="466"/>
      <c r="R24" s="20" t="s">
        <v>393</v>
      </c>
      <c r="S24" s="459" t="s">
        <v>405</v>
      </c>
      <c r="T24" s="459"/>
      <c r="U24" s="459"/>
      <c r="V24" s="460"/>
    </row>
    <row r="25" spans="2:22" s="7" customFormat="1" ht="20.100000000000001" customHeight="1" x14ac:dyDescent="0.25">
      <c r="B25" s="694" t="s">
        <v>184</v>
      </c>
      <c r="C25" s="695"/>
      <c r="D25" s="696"/>
      <c r="E25" s="474" t="s">
        <v>272</v>
      </c>
      <c r="F25" s="720" t="s">
        <v>277</v>
      </c>
      <c r="G25" s="725" t="s">
        <v>280</v>
      </c>
      <c r="H25" s="714" t="s">
        <v>242</v>
      </c>
      <c r="I25" s="720" t="s">
        <v>284</v>
      </c>
      <c r="J25" s="477" t="s">
        <v>286</v>
      </c>
      <c r="K25" s="649" t="s">
        <v>384</v>
      </c>
      <c r="L25" s="10"/>
      <c r="M25" s="690"/>
      <c r="N25" s="688"/>
      <c r="O25" s="689"/>
      <c r="P25" s="10"/>
      <c r="Q25" s="465">
        <f>Schultage!C17</f>
        <v>11</v>
      </c>
      <c r="R25" s="19">
        <f>Schultage!D17</f>
        <v>45609</v>
      </c>
      <c r="S25" s="450" t="s">
        <v>406</v>
      </c>
      <c r="T25" s="450"/>
      <c r="U25" s="450"/>
      <c r="V25" s="451"/>
    </row>
    <row r="26" spans="2:22" s="7" customFormat="1" ht="20.100000000000001" customHeight="1" thickBot="1" x14ac:dyDescent="0.3">
      <c r="B26" s="690"/>
      <c r="C26" s="688"/>
      <c r="D26" s="689"/>
      <c r="E26" s="475"/>
      <c r="F26" s="721"/>
      <c r="G26" s="726"/>
      <c r="H26" s="723"/>
      <c r="I26" s="721"/>
      <c r="J26" s="478"/>
      <c r="K26" s="650"/>
      <c r="L26" s="10"/>
      <c r="M26" s="691"/>
      <c r="N26" s="692"/>
      <c r="O26" s="693"/>
      <c r="P26" s="10"/>
      <c r="Q26" s="466"/>
      <c r="R26" s="20" t="s">
        <v>394</v>
      </c>
      <c r="S26" s="459" t="s">
        <v>405</v>
      </c>
      <c r="T26" s="459"/>
      <c r="U26" s="459"/>
      <c r="V26" s="460"/>
    </row>
    <row r="27" spans="2:22" s="7" customFormat="1" ht="20.100000000000001" customHeight="1" thickBot="1" x14ac:dyDescent="0.3">
      <c r="B27" s="690"/>
      <c r="C27" s="688"/>
      <c r="D27" s="689"/>
      <c r="E27" s="475"/>
      <c r="F27" s="721"/>
      <c r="G27" s="727"/>
      <c r="H27" s="724"/>
      <c r="I27" s="728"/>
      <c r="J27" s="479"/>
      <c r="K27" s="650"/>
      <c r="L27" s="10"/>
      <c r="P27" s="10"/>
      <c r="Q27" s="465">
        <f>Schultage!C18</f>
        <v>12</v>
      </c>
      <c r="R27" s="19">
        <f>Schultage!D18</f>
        <v>45616</v>
      </c>
      <c r="S27" s="450" t="s">
        <v>407</v>
      </c>
      <c r="T27" s="450"/>
      <c r="U27" s="450"/>
      <c r="V27" s="451"/>
    </row>
    <row r="28" spans="2:22" s="7" customFormat="1" ht="20.100000000000001" customHeight="1" thickBot="1" x14ac:dyDescent="0.3">
      <c r="B28" s="713" t="s">
        <v>13</v>
      </c>
      <c r="C28" s="688"/>
      <c r="D28" s="689"/>
      <c r="E28" s="475"/>
      <c r="F28" s="720" t="s">
        <v>278</v>
      </c>
      <c r="G28" s="717" t="s">
        <v>381</v>
      </c>
      <c r="H28" s="714" t="s">
        <v>382</v>
      </c>
      <c r="I28" s="720" t="s">
        <v>253</v>
      </c>
      <c r="J28" s="477" t="s">
        <v>288</v>
      </c>
      <c r="K28" s="650"/>
      <c r="L28" s="10"/>
      <c r="M28" s="63" t="s">
        <v>18</v>
      </c>
      <c r="N28" s="64"/>
      <c r="O28" s="65"/>
      <c r="P28" s="10"/>
      <c r="Q28" s="466"/>
      <c r="R28" s="20" t="s">
        <v>394</v>
      </c>
      <c r="S28" s="459" t="s">
        <v>405</v>
      </c>
      <c r="T28" s="459"/>
      <c r="U28" s="459"/>
      <c r="V28" s="460"/>
    </row>
    <row r="29" spans="2:22" s="7" customFormat="1" ht="20.100000000000001" customHeight="1" x14ac:dyDescent="0.25">
      <c r="B29" s="690"/>
      <c r="C29" s="688"/>
      <c r="D29" s="689"/>
      <c r="E29" s="475"/>
      <c r="F29" s="721"/>
      <c r="G29" s="718"/>
      <c r="H29" s="715"/>
      <c r="I29" s="721"/>
      <c r="J29" s="478"/>
      <c r="K29" s="650"/>
      <c r="L29" s="10"/>
      <c r="M29" s="687" t="s">
        <v>417</v>
      </c>
      <c r="N29" s="688"/>
      <c r="O29" s="689"/>
      <c r="P29" s="10"/>
      <c r="Q29" s="465">
        <f>Schultage!C19</f>
        <v>13</v>
      </c>
      <c r="R29" s="19">
        <f>Schultage!D19</f>
        <v>45623</v>
      </c>
      <c r="S29" s="481" t="s">
        <v>408</v>
      </c>
      <c r="T29" s="481"/>
      <c r="U29" s="481"/>
      <c r="V29" s="482"/>
    </row>
    <row r="30" spans="2:22" s="7" customFormat="1" ht="20.100000000000001" customHeight="1" thickBot="1" x14ac:dyDescent="0.3">
      <c r="B30" s="691"/>
      <c r="C30" s="692"/>
      <c r="D30" s="693"/>
      <c r="E30" s="483"/>
      <c r="F30" s="722"/>
      <c r="G30" s="719"/>
      <c r="H30" s="716"/>
      <c r="I30" s="722"/>
      <c r="J30" s="526"/>
      <c r="K30" s="651"/>
      <c r="L30" s="10"/>
      <c r="M30" s="690"/>
      <c r="N30" s="688"/>
      <c r="O30" s="689"/>
      <c r="P30" s="10"/>
      <c r="Q30" s="466"/>
      <c r="R30" s="20" t="s">
        <v>394</v>
      </c>
      <c r="S30" s="459" t="s">
        <v>405</v>
      </c>
      <c r="T30" s="459"/>
      <c r="U30" s="459"/>
      <c r="V30" s="460"/>
    </row>
    <row r="31" spans="2:22" s="7" customFormat="1" ht="19.5" customHeight="1" thickBot="1" x14ac:dyDescent="0.3">
      <c r="M31" s="691"/>
      <c r="N31" s="692"/>
      <c r="O31" s="693"/>
      <c r="Q31" s="465">
        <f>Schultage!C20</f>
        <v>14</v>
      </c>
      <c r="R31" s="19">
        <f>Schultage!D20</f>
        <v>45630</v>
      </c>
      <c r="S31" s="481" t="s">
        <v>409</v>
      </c>
      <c r="T31" s="481"/>
      <c r="U31" s="481"/>
      <c r="V31" s="482"/>
    </row>
    <row r="32" spans="2:22" s="7" customFormat="1" ht="20.100000000000001" customHeight="1" thickBot="1" x14ac:dyDescent="0.3">
      <c r="B32" s="678" t="s">
        <v>186</v>
      </c>
      <c r="C32" s="679"/>
      <c r="D32" s="680"/>
      <c r="E32" s="442" t="s">
        <v>16</v>
      </c>
      <c r="F32" s="452"/>
      <c r="G32" s="443"/>
      <c r="H32" s="442" t="s">
        <v>29</v>
      </c>
      <c r="I32" s="452"/>
      <c r="J32" s="443"/>
      <c r="K32" s="48"/>
      <c r="L32"/>
      <c r="P32"/>
      <c r="Q32" s="466"/>
      <c r="R32" s="20" t="s">
        <v>394</v>
      </c>
      <c r="S32" s="459" t="s">
        <v>405</v>
      </c>
      <c r="T32" s="459"/>
      <c r="U32" s="459"/>
      <c r="V32" s="460"/>
    </row>
    <row r="33" spans="2:22" ht="20.100000000000001" customHeight="1" x14ac:dyDescent="0.3">
      <c r="B33" s="681"/>
      <c r="C33" s="682"/>
      <c r="D33" s="683"/>
      <c r="E33" s="710" t="s">
        <v>388</v>
      </c>
      <c r="F33" s="711"/>
      <c r="G33" s="712"/>
      <c r="H33" s="710" t="s">
        <v>389</v>
      </c>
      <c r="I33" s="711"/>
      <c r="J33" s="712"/>
      <c r="K33" s="13"/>
      <c r="L33" s="16"/>
      <c r="M33" s="26" t="s">
        <v>20</v>
      </c>
      <c r="N33" s="27"/>
      <c r="O33" s="28"/>
      <c r="P33" s="16"/>
      <c r="Q33" s="465">
        <f>Schultage!C21</f>
        <v>15</v>
      </c>
      <c r="R33" s="19">
        <f>Schultage!D21</f>
        <v>45637</v>
      </c>
      <c r="S33" s="481" t="s">
        <v>410</v>
      </c>
      <c r="T33" s="481"/>
      <c r="U33" s="481"/>
      <c r="V33" s="482"/>
    </row>
    <row r="34" spans="2:22" ht="20.100000000000001" customHeight="1" thickBot="1" x14ac:dyDescent="0.35">
      <c r="B34" s="731" t="s">
        <v>21</v>
      </c>
      <c r="C34" s="732"/>
      <c r="D34" s="733"/>
      <c r="E34" s="474" t="s">
        <v>292</v>
      </c>
      <c r="F34" s="742" t="s">
        <v>294</v>
      </c>
      <c r="G34" s="746" t="s">
        <v>296</v>
      </c>
      <c r="H34" s="474" t="s">
        <v>298</v>
      </c>
      <c r="I34" s="720" t="s">
        <v>300</v>
      </c>
      <c r="J34" s="477" t="s">
        <v>302</v>
      </c>
      <c r="K34" s="13"/>
      <c r="L34" s="17"/>
      <c r="M34" s="29" t="s">
        <v>22</v>
      </c>
      <c r="N34" s="739">
        <v>45597</v>
      </c>
      <c r="O34" s="740"/>
      <c r="P34" s="17"/>
      <c r="Q34" s="466"/>
      <c r="R34" s="20" t="s">
        <v>395</v>
      </c>
      <c r="S34" s="459" t="s">
        <v>405</v>
      </c>
      <c r="T34" s="459"/>
      <c r="U34" s="459"/>
      <c r="V34" s="460"/>
    </row>
    <row r="35" spans="2:22" ht="20.100000000000001" customHeight="1" x14ac:dyDescent="0.3">
      <c r="B35" s="741"/>
      <c r="C35" s="732"/>
      <c r="D35" s="733"/>
      <c r="E35" s="475"/>
      <c r="F35" s="743"/>
      <c r="G35" s="747"/>
      <c r="H35" s="475"/>
      <c r="I35" s="721"/>
      <c r="J35" s="478"/>
      <c r="K35" s="13"/>
      <c r="L35" s="17"/>
      <c r="M35" s="29" t="s">
        <v>23</v>
      </c>
      <c r="N35" s="739">
        <v>45765</v>
      </c>
      <c r="O35" s="740"/>
      <c r="P35" s="17"/>
      <c r="Q35" s="465">
        <f>Schultage!C22</f>
        <v>16</v>
      </c>
      <c r="R35" s="19">
        <f>Schultage!D22</f>
        <v>45644</v>
      </c>
      <c r="S35" s="481" t="s">
        <v>410</v>
      </c>
      <c r="T35" s="481"/>
      <c r="U35" s="481"/>
      <c r="V35" s="482"/>
    </row>
    <row r="36" spans="2:22" ht="20.100000000000001" customHeight="1" thickBot="1" x14ac:dyDescent="0.35">
      <c r="B36" s="731" t="s">
        <v>24</v>
      </c>
      <c r="C36" s="732"/>
      <c r="D36" s="733"/>
      <c r="E36" s="475"/>
      <c r="F36" s="743"/>
      <c r="G36" s="747"/>
      <c r="H36" s="475"/>
      <c r="I36" s="721"/>
      <c r="J36" s="478"/>
      <c r="K36" s="13"/>
      <c r="L36" s="17"/>
      <c r="M36" s="29" t="s">
        <v>25</v>
      </c>
      <c r="N36" s="739">
        <v>45768</v>
      </c>
      <c r="O36" s="740"/>
      <c r="P36" s="17"/>
      <c r="Q36" s="466"/>
      <c r="R36" s="20" t="s">
        <v>395</v>
      </c>
      <c r="S36" s="459" t="s">
        <v>405</v>
      </c>
      <c r="T36" s="459"/>
      <c r="U36" s="459"/>
      <c r="V36" s="460"/>
    </row>
    <row r="37" spans="2:22" ht="20.100000000000001" customHeight="1" x14ac:dyDescent="0.3">
      <c r="B37" s="741"/>
      <c r="C37" s="732"/>
      <c r="D37" s="733"/>
      <c r="E37" s="475"/>
      <c r="F37" s="744"/>
      <c r="G37" s="747"/>
      <c r="H37" s="475"/>
      <c r="I37" s="721"/>
      <c r="J37" s="478"/>
      <c r="K37" s="13"/>
      <c r="L37" s="17"/>
      <c r="M37" s="30" t="s">
        <v>26</v>
      </c>
      <c r="N37" s="729">
        <v>45806</v>
      </c>
      <c r="O37" s="730"/>
      <c r="P37" s="17"/>
      <c r="Q37" s="465">
        <f>Schultage!C25</f>
        <v>17</v>
      </c>
      <c r="R37" s="19">
        <f>Schultage!D25</f>
        <v>45665</v>
      </c>
      <c r="S37" s="481" t="s">
        <v>410</v>
      </c>
      <c r="T37" s="481"/>
      <c r="U37" s="481"/>
      <c r="V37" s="482"/>
    </row>
    <row r="38" spans="2:22" ht="20.100000000000001" customHeight="1" thickBot="1" x14ac:dyDescent="0.35">
      <c r="B38" s="731"/>
      <c r="C38" s="732"/>
      <c r="D38" s="733"/>
      <c r="E38" s="475"/>
      <c r="F38" s="744"/>
      <c r="G38" s="747"/>
      <c r="H38" s="475"/>
      <c r="I38" s="721"/>
      <c r="J38" s="478"/>
      <c r="K38" s="13"/>
      <c r="L38" s="17"/>
      <c r="M38" s="31" t="s">
        <v>27</v>
      </c>
      <c r="N38" s="737">
        <v>45817</v>
      </c>
      <c r="O38" s="738"/>
      <c r="P38" s="17"/>
      <c r="Q38" s="466"/>
      <c r="R38" s="82" t="s">
        <v>397</v>
      </c>
      <c r="S38" s="481" t="s">
        <v>411</v>
      </c>
      <c r="T38" s="481"/>
      <c r="U38" s="481"/>
      <c r="V38" s="482"/>
    </row>
    <row r="39" spans="2:22" ht="20.100000000000001" customHeight="1" thickBot="1" x14ac:dyDescent="0.35">
      <c r="B39" s="734"/>
      <c r="C39" s="735"/>
      <c r="D39" s="736"/>
      <c r="E39" s="483"/>
      <c r="F39" s="745"/>
      <c r="G39" s="748"/>
      <c r="H39" s="483"/>
      <c r="I39" s="722"/>
      <c r="J39" s="526"/>
      <c r="K39" s="13"/>
      <c r="L39"/>
      <c r="M39" s="13"/>
      <c r="N39" s="13"/>
      <c r="O39" s="13"/>
      <c r="P39"/>
      <c r="Q39" s="465">
        <f>Schultage!C26</f>
        <v>18</v>
      </c>
      <c r="R39" s="239">
        <f>Schultage!D26</f>
        <v>45672</v>
      </c>
      <c r="S39" s="241" t="s">
        <v>413</v>
      </c>
      <c r="T39" s="241"/>
      <c r="U39" s="241"/>
      <c r="V39" s="242"/>
    </row>
    <row r="40" spans="2:22" ht="20.100000000000001" customHeight="1" thickBot="1" x14ac:dyDescent="0.35">
      <c r="B40" s="67"/>
      <c r="C40" s="67"/>
      <c r="D40" s="67"/>
      <c r="E40" s="84"/>
      <c r="F40" s="85"/>
      <c r="G40" s="84"/>
      <c r="H40" s="85"/>
      <c r="I40" s="85"/>
      <c r="J40" s="85"/>
      <c r="K40" s="13"/>
      <c r="L40"/>
      <c r="M40" s="13"/>
      <c r="N40" s="13"/>
      <c r="O40" s="13"/>
      <c r="P40"/>
      <c r="Q40" s="466"/>
      <c r="R40" s="240" t="s">
        <v>397</v>
      </c>
      <c r="S40" s="583" t="s">
        <v>412</v>
      </c>
      <c r="T40" s="584"/>
      <c r="U40" s="584"/>
      <c r="V40" s="585"/>
    </row>
    <row r="41" spans="2:22" ht="5.0999999999999996" customHeight="1" thickBot="1" x14ac:dyDescent="0.35">
      <c r="Q41" s="15"/>
      <c r="V41" s="83"/>
    </row>
    <row r="42" spans="2:22" s="15" customFormat="1" ht="12.6" customHeight="1" thickBot="1" x14ac:dyDescent="0.3">
      <c r="B42" s="38" t="s">
        <v>28</v>
      </c>
      <c r="C42" s="39"/>
      <c r="D42" s="39"/>
      <c r="E42" s="39"/>
      <c r="F42" s="39"/>
      <c r="G42" s="40"/>
      <c r="H42" s="39"/>
      <c r="I42" s="39"/>
      <c r="J42" s="41"/>
      <c r="K42" s="39" t="s">
        <v>414</v>
      </c>
      <c r="L42" s="40"/>
      <c r="M42" s="39"/>
      <c r="N42" s="39"/>
      <c r="O42" s="39"/>
      <c r="P42" s="40"/>
      <c r="Q42" s="39"/>
      <c r="R42" s="41"/>
      <c r="S42" s="40"/>
      <c r="T42" s="40"/>
      <c r="U42" s="40"/>
      <c r="V42" s="45"/>
    </row>
    <row r="43" spans="2:22" s="7" customFormat="1" ht="20.100000000000001" customHeight="1" x14ac:dyDescent="0.25">
      <c r="B43"/>
      <c r="C43"/>
      <c r="D43"/>
      <c r="E43"/>
      <c r="F43"/>
      <c r="G43"/>
      <c r="H43"/>
      <c r="I43"/>
      <c r="J43"/>
      <c r="K43"/>
      <c r="L43"/>
      <c r="M43"/>
      <c r="N43"/>
      <c r="O43"/>
      <c r="P43"/>
      <c r="Q43"/>
      <c r="R43" s="13"/>
      <c r="S43" s="46"/>
      <c r="T43" s="46"/>
      <c r="U43" s="46"/>
      <c r="V43" s="47"/>
    </row>
    <row r="44" spans="2:22" s="7" customFormat="1" ht="20.100000000000001" customHeight="1" x14ac:dyDescent="0.25">
      <c r="B44"/>
      <c r="C44"/>
      <c r="D44"/>
      <c r="E44"/>
      <c r="F44"/>
      <c r="G44"/>
      <c r="H44"/>
      <c r="J44"/>
      <c r="K44"/>
      <c r="L44"/>
      <c r="M44"/>
      <c r="N44"/>
      <c r="O44"/>
      <c r="P44"/>
      <c r="Q44"/>
      <c r="R44" s="13"/>
      <c r="S44" s="46"/>
      <c r="T44" s="46"/>
      <c r="U44" s="46"/>
      <c r="V44" s="47"/>
    </row>
    <row r="45" spans="2:22" ht="15" customHeight="1" x14ac:dyDescent="0.3">
      <c r="V45" s="1"/>
    </row>
    <row r="46" spans="2:22" ht="15" customHeight="1" x14ac:dyDescent="0.3">
      <c r="K46" s="12"/>
      <c r="L46" s="42"/>
      <c r="M46" s="42"/>
      <c r="N46" s="42"/>
      <c r="O46" s="42"/>
      <c r="P46" s="42"/>
      <c r="R46" s="1"/>
      <c r="S46" s="1"/>
      <c r="T46" s="1"/>
      <c r="U46" s="1"/>
      <c r="V46" s="1"/>
    </row>
    <row r="47" spans="2:22" ht="15" customHeight="1" x14ac:dyDescent="0.3">
      <c r="K47" s="12"/>
      <c r="L47" s="42"/>
      <c r="M47" s="42"/>
      <c r="N47" s="42"/>
      <c r="O47" s="42"/>
      <c r="P47" s="42"/>
      <c r="R47" s="1"/>
      <c r="S47" s="1"/>
      <c r="T47" s="1"/>
      <c r="U47" s="1"/>
      <c r="V47" s="1"/>
    </row>
    <row r="48" spans="2:22" ht="15" customHeight="1" x14ac:dyDescent="0.3">
      <c r="K48" s="12"/>
      <c r="L48" s="42"/>
      <c r="M48" s="42"/>
      <c r="N48" s="42"/>
      <c r="O48" s="42"/>
      <c r="P48" s="42"/>
      <c r="R48" s="1"/>
      <c r="S48" s="1"/>
      <c r="T48" s="1"/>
      <c r="U48" s="1"/>
      <c r="V48" s="1"/>
    </row>
    <row r="49" spans="11:22" ht="15" customHeight="1" x14ac:dyDescent="0.3">
      <c r="K49" s="12"/>
      <c r="L49" s="42"/>
      <c r="M49" s="42"/>
      <c r="N49" s="42"/>
      <c r="O49" s="42"/>
      <c r="P49" s="42"/>
      <c r="R49" s="1"/>
      <c r="S49" s="1"/>
      <c r="T49" s="1"/>
      <c r="U49" s="1"/>
      <c r="V49" s="1"/>
    </row>
    <row r="50" spans="11:22" ht="15" customHeight="1" x14ac:dyDescent="0.3">
      <c r="K50" s="12"/>
      <c r="L50" s="42"/>
      <c r="M50" s="42"/>
      <c r="N50" s="42"/>
      <c r="O50" s="42"/>
      <c r="P50" s="42"/>
      <c r="R50" s="1"/>
      <c r="S50" s="1"/>
      <c r="T50" s="1"/>
      <c r="U50" s="1"/>
      <c r="V50" s="1"/>
    </row>
    <row r="51" spans="11:22" ht="15" customHeight="1" x14ac:dyDescent="0.3">
      <c r="K51" s="12"/>
      <c r="L51" s="42"/>
      <c r="M51" s="42"/>
      <c r="N51" s="42"/>
      <c r="O51" s="42"/>
      <c r="P51" s="42"/>
      <c r="R51" s="1"/>
      <c r="S51" s="1"/>
      <c r="T51" s="1"/>
      <c r="U51" s="1"/>
      <c r="V51" s="1"/>
    </row>
    <row r="52" spans="11:22" ht="15" customHeight="1" x14ac:dyDescent="0.3">
      <c r="K52" s="12"/>
      <c r="L52" s="42"/>
      <c r="M52" s="42"/>
      <c r="N52" s="42"/>
      <c r="O52" s="42"/>
      <c r="P52" s="42"/>
      <c r="R52" s="1"/>
      <c r="S52" s="1"/>
      <c r="T52" s="1"/>
      <c r="U52" s="1"/>
      <c r="V52" s="1"/>
    </row>
    <row r="53" spans="11:22" ht="15" customHeight="1" x14ac:dyDescent="0.3">
      <c r="K53" s="12"/>
      <c r="L53" s="42"/>
      <c r="M53" s="42"/>
      <c r="N53" s="42"/>
      <c r="O53" s="42"/>
      <c r="P53" s="42"/>
      <c r="R53" s="1"/>
      <c r="S53" s="1"/>
      <c r="T53" s="1"/>
      <c r="U53" s="1"/>
      <c r="V53" s="1"/>
    </row>
    <row r="54" spans="11:22" ht="15" customHeight="1" x14ac:dyDescent="0.3">
      <c r="K54" s="12"/>
      <c r="L54" s="42"/>
      <c r="M54" s="42"/>
      <c r="N54" s="42"/>
      <c r="O54" s="42"/>
      <c r="P54" s="42"/>
      <c r="R54" s="1"/>
      <c r="S54" s="1"/>
      <c r="T54" s="1"/>
      <c r="U54" s="1"/>
      <c r="V54" s="1"/>
    </row>
    <row r="55" spans="11:22" ht="15" customHeight="1" x14ac:dyDescent="0.3">
      <c r="K55" s="12"/>
      <c r="L55" s="42"/>
      <c r="M55" s="42"/>
      <c r="N55" s="42"/>
      <c r="O55" s="42"/>
      <c r="P55" s="42"/>
      <c r="R55" s="1"/>
      <c r="S55" s="1"/>
      <c r="T55" s="1"/>
      <c r="U55" s="1"/>
      <c r="V55" s="1"/>
    </row>
    <row r="56" spans="11:22" ht="15" customHeight="1" x14ac:dyDescent="0.3">
      <c r="K56" s="12"/>
      <c r="L56" s="42"/>
      <c r="M56" s="42"/>
      <c r="N56" s="42"/>
      <c r="O56" s="42"/>
      <c r="P56" s="42"/>
      <c r="R56" s="1"/>
      <c r="S56" s="7"/>
      <c r="T56" s="7"/>
      <c r="U56" s="1"/>
      <c r="V56" s="1"/>
    </row>
    <row r="57" spans="11:22" ht="15" customHeight="1" x14ac:dyDescent="0.3">
      <c r="K57" s="12"/>
      <c r="L57" s="42"/>
      <c r="M57" s="42"/>
      <c r="N57" s="42"/>
      <c r="O57" s="42"/>
      <c r="P57" s="42"/>
      <c r="R57" s="1"/>
      <c r="S57" s="7"/>
      <c r="T57" s="7"/>
      <c r="U57" s="1"/>
      <c r="V57" s="1"/>
    </row>
    <row r="58" spans="11:22" ht="15" customHeight="1" x14ac:dyDescent="0.3">
      <c r="K58" s="12"/>
      <c r="L58" s="42"/>
      <c r="M58" s="42"/>
      <c r="N58" s="42"/>
      <c r="O58" s="42"/>
      <c r="P58" s="42"/>
      <c r="R58" s="1"/>
      <c r="S58" s="7"/>
      <c r="T58" s="7"/>
      <c r="U58" s="1"/>
      <c r="V58" s="1"/>
    </row>
  </sheetData>
  <mergeCells count="144">
    <mergeCell ref="U1:V1"/>
    <mergeCell ref="Q23:Q24"/>
    <mergeCell ref="Q25:Q26"/>
    <mergeCell ref="Q27:Q28"/>
    <mergeCell ref="Q29:Q30"/>
    <mergeCell ref="Q31:Q32"/>
    <mergeCell ref="Q33:Q34"/>
    <mergeCell ref="Q35:Q36"/>
    <mergeCell ref="S25:V25"/>
    <mergeCell ref="S26:V26"/>
    <mergeCell ref="S19:V19"/>
    <mergeCell ref="S16:V16"/>
    <mergeCell ref="Q9:Q10"/>
    <mergeCell ref="Q11:Q12"/>
    <mergeCell ref="Q13:Q14"/>
    <mergeCell ref="N37:O37"/>
    <mergeCell ref="S37:V37"/>
    <mergeCell ref="B38:D39"/>
    <mergeCell ref="N38:O38"/>
    <mergeCell ref="S38:V38"/>
    <mergeCell ref="N34:O34"/>
    <mergeCell ref="S34:V34"/>
    <mergeCell ref="N35:O35"/>
    <mergeCell ref="S35:V35"/>
    <mergeCell ref="B36:D37"/>
    <mergeCell ref="N36:O36"/>
    <mergeCell ref="S36:V36"/>
    <mergeCell ref="B34:D35"/>
    <mergeCell ref="F34:F39"/>
    <mergeCell ref="G34:G39"/>
    <mergeCell ref="E34:E39"/>
    <mergeCell ref="Q37:Q38"/>
    <mergeCell ref="Q39:Q40"/>
    <mergeCell ref="S40:V40"/>
    <mergeCell ref="H34:H39"/>
    <mergeCell ref="I34:I39"/>
    <mergeCell ref="J34:J39"/>
    <mergeCell ref="B32:D33"/>
    <mergeCell ref="E32:G32"/>
    <mergeCell ref="H32:J32"/>
    <mergeCell ref="S32:V32"/>
    <mergeCell ref="E33:G33"/>
    <mergeCell ref="H33:J33"/>
    <mergeCell ref="S33:V33"/>
    <mergeCell ref="S27:V27"/>
    <mergeCell ref="B28:D30"/>
    <mergeCell ref="S28:V28"/>
    <mergeCell ref="M29:O31"/>
    <mergeCell ref="S29:V29"/>
    <mergeCell ref="S30:V30"/>
    <mergeCell ref="S31:V31"/>
    <mergeCell ref="H28:H30"/>
    <mergeCell ref="G28:G30"/>
    <mergeCell ref="F28:F30"/>
    <mergeCell ref="H25:H27"/>
    <mergeCell ref="F25:F27"/>
    <mergeCell ref="G25:G27"/>
    <mergeCell ref="J25:J27"/>
    <mergeCell ref="J28:J30"/>
    <mergeCell ref="I25:I27"/>
    <mergeCell ref="I28:I30"/>
    <mergeCell ref="D14:E14"/>
    <mergeCell ref="B23:D24"/>
    <mergeCell ref="M23:O23"/>
    <mergeCell ref="S23:V23"/>
    <mergeCell ref="I19:I21"/>
    <mergeCell ref="N19:O19"/>
    <mergeCell ref="M24:O26"/>
    <mergeCell ref="S24:V24"/>
    <mergeCell ref="B25:D27"/>
    <mergeCell ref="E25:E30"/>
    <mergeCell ref="B16:C21"/>
    <mergeCell ref="Q15:Q16"/>
    <mergeCell ref="Q17:Q18"/>
    <mergeCell ref="Q19:Q20"/>
    <mergeCell ref="Q21:Q22"/>
    <mergeCell ref="D15:E15"/>
    <mergeCell ref="D16:D19"/>
    <mergeCell ref="D20:D21"/>
    <mergeCell ref="E16:E17"/>
    <mergeCell ref="E18:E21"/>
    <mergeCell ref="B14:C15"/>
    <mergeCell ref="H20:H21"/>
    <mergeCell ref="E23:G23"/>
    <mergeCell ref="E24:G24"/>
    <mergeCell ref="D5:E5"/>
    <mergeCell ref="D6:E6"/>
    <mergeCell ref="N10:O10"/>
    <mergeCell ref="S10:V10"/>
    <mergeCell ref="N11:O11"/>
    <mergeCell ref="S11:V11"/>
    <mergeCell ref="N12:O12"/>
    <mergeCell ref="S12:V12"/>
    <mergeCell ref="I16:I18"/>
    <mergeCell ref="H13:I13"/>
    <mergeCell ref="N13:O13"/>
    <mergeCell ref="S13:V13"/>
    <mergeCell ref="N14:O14"/>
    <mergeCell ref="S14:V14"/>
    <mergeCell ref="N16:O16"/>
    <mergeCell ref="N17:O17"/>
    <mergeCell ref="S17:V17"/>
    <mergeCell ref="N18:O18"/>
    <mergeCell ref="S18:V18"/>
    <mergeCell ref="N15:O15"/>
    <mergeCell ref="S15:V15"/>
    <mergeCell ref="J14:K14"/>
    <mergeCell ref="J15:K15"/>
    <mergeCell ref="H16:H17"/>
    <mergeCell ref="N20:O20"/>
    <mergeCell ref="S20:V20"/>
    <mergeCell ref="S21:V21"/>
    <mergeCell ref="S22:V22"/>
    <mergeCell ref="H15:I15"/>
    <mergeCell ref="H14:I14"/>
    <mergeCell ref="B3:G3"/>
    <mergeCell ref="H3:I3"/>
    <mergeCell ref="J3:K3"/>
    <mergeCell ref="M5:O5"/>
    <mergeCell ref="S5:V5"/>
    <mergeCell ref="M6:O9"/>
    <mergeCell ref="S6:V6"/>
    <mergeCell ref="S7:V7"/>
    <mergeCell ref="S8:V8"/>
    <mergeCell ref="S9:V9"/>
    <mergeCell ref="Q5:Q6"/>
    <mergeCell ref="Q7:Q8"/>
    <mergeCell ref="Q3:V3"/>
    <mergeCell ref="E7:E10"/>
    <mergeCell ref="B5:C6"/>
    <mergeCell ref="B7:C12"/>
    <mergeCell ref="D7:D10"/>
    <mergeCell ref="D11:E12"/>
    <mergeCell ref="F16:F19"/>
    <mergeCell ref="G16:G18"/>
    <mergeCell ref="G19:G21"/>
    <mergeCell ref="F20:F21"/>
    <mergeCell ref="F14:G14"/>
    <mergeCell ref="F15:G15"/>
    <mergeCell ref="K25:K30"/>
    <mergeCell ref="H23:J23"/>
    <mergeCell ref="H24:J24"/>
    <mergeCell ref="H18:H19"/>
    <mergeCell ref="J16:K21"/>
  </mergeCells>
  <conditionalFormatting sqref="R6:R38">
    <cfRule type="expression" dxfId="14" priority="26">
      <formula>$R$7=$M$38</formula>
    </cfRule>
    <cfRule type="expression" dxfId="13" priority="27">
      <formula>$R$7=$M$37</formula>
    </cfRule>
    <cfRule type="expression" dxfId="12" priority="28">
      <formula>$R$7=$M$36</formula>
    </cfRule>
    <cfRule type="expression" dxfId="11" priority="29">
      <formula>$R$7=$M$35</formula>
    </cfRule>
    <cfRule type="expression" dxfId="10" priority="30">
      <formula>$R$7=$M$34</formula>
    </cfRule>
  </conditionalFormatting>
  <conditionalFormatting sqref="R40">
    <cfRule type="expression" dxfId="9" priority="1">
      <formula>$R$7=$M$38</formula>
    </cfRule>
    <cfRule type="expression" dxfId="8" priority="2">
      <formula>$R$7=$M$37</formula>
    </cfRule>
    <cfRule type="expression" dxfId="7" priority="3">
      <formula>$R$7=$M$36</formula>
    </cfRule>
    <cfRule type="expression" dxfId="6" priority="4">
      <formula>$R$7=$M$35</formula>
    </cfRule>
    <cfRule type="expression" dxfId="5" priority="5">
      <formula>$R$7=$M$34</formula>
    </cfRule>
  </conditionalFormatting>
  <conditionalFormatting sqref="S5:V38">
    <cfRule type="expression" dxfId="4" priority="6">
      <formula>$R$7=$M$38</formula>
    </cfRule>
    <cfRule type="expression" dxfId="3" priority="7">
      <formula>$R$7=$M$37</formula>
    </cfRule>
    <cfRule type="expression" dxfId="2" priority="8">
      <formula>$R$7=$M$36</formula>
    </cfRule>
    <cfRule type="expression" dxfId="1" priority="9">
      <formula>$R$7=$M$35</formula>
    </cfRule>
    <cfRule type="expression" dxfId="0" priority="10">
      <formula>$R$7=$M$34</formula>
    </cfRule>
  </conditionalFormatting>
  <pageMargins left="0.23622047244094491" right="0.23622047244094491" top="0.31496062992125984" bottom="0.74803149606299213" header="0.31496062992125984" footer="0.31496062992125984"/>
  <pageSetup paperSize="8" orientation="landscape" r:id="rId1"/>
  <headerFooter>
    <oddHeader xml:space="preserve">&amp;L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D297B-E2FF-46BA-9B2F-DF8F94D31617}">
  <dimension ref="B1:R54"/>
  <sheetViews>
    <sheetView workbookViewId="0">
      <selection activeCell="F27" sqref="F27"/>
    </sheetView>
  </sheetViews>
  <sheetFormatPr baseColWidth="10" defaultRowHeight="15" x14ac:dyDescent="0.25"/>
  <cols>
    <col min="1" max="1" width="1.5703125" customWidth="1"/>
    <col min="3" max="3" width="11.42578125" style="13"/>
    <col min="4" max="4" width="15.7109375" style="13" customWidth="1"/>
  </cols>
  <sheetData>
    <row r="1" spans="2:18" ht="5.25" customHeight="1" thickBot="1" x14ac:dyDescent="0.3"/>
    <row r="2" spans="2:18" ht="15.75" thickBot="1" x14ac:dyDescent="0.3">
      <c r="B2" s="776" t="s">
        <v>57</v>
      </c>
      <c r="C2" s="777"/>
      <c r="D2" s="778"/>
      <c r="E2" s="766" t="s">
        <v>415</v>
      </c>
      <c r="F2" s="767"/>
    </row>
    <row r="3" spans="2:18" x14ac:dyDescent="0.25">
      <c r="B3" s="70"/>
      <c r="C3" s="71" t="s">
        <v>54</v>
      </c>
      <c r="D3" s="221" t="s">
        <v>53</v>
      </c>
      <c r="E3" s="768" t="s">
        <v>416</v>
      </c>
      <c r="F3" s="769"/>
    </row>
    <row r="4" spans="2:18" x14ac:dyDescent="0.25">
      <c r="B4" s="72"/>
      <c r="C4" s="68">
        <v>1</v>
      </c>
      <c r="D4" s="222">
        <f>'Kompetenzraster alt'!J1</f>
        <v>45518</v>
      </c>
      <c r="E4" s="243">
        <f>Kompetenzraster!R6</f>
        <v>3.4</v>
      </c>
      <c r="F4" s="244">
        <f>Kompetenzraster!S6</f>
        <v>3.1</v>
      </c>
    </row>
    <row r="5" spans="2:18" x14ac:dyDescent="0.25">
      <c r="B5" s="72"/>
      <c r="C5" s="68">
        <v>2</v>
      </c>
      <c r="D5" s="222">
        <f>D4+7</f>
        <v>45525</v>
      </c>
      <c r="E5" s="243">
        <f>Kompetenzraster!R8</f>
        <v>3.4</v>
      </c>
      <c r="F5" s="244">
        <f>Kompetenzraster!S8</f>
        <v>3.1</v>
      </c>
      <c r="R5" s="66"/>
    </row>
    <row r="6" spans="2:18" x14ac:dyDescent="0.25">
      <c r="B6" s="72"/>
      <c r="C6" s="68">
        <v>3</v>
      </c>
      <c r="D6" s="222">
        <f t="shared" ref="D6:D53" si="0">D5+7</f>
        <v>45532</v>
      </c>
      <c r="E6" s="243">
        <f>Kompetenzraster!R10</f>
        <v>3.4</v>
      </c>
      <c r="F6" s="244">
        <f>Kompetenzraster!S10</f>
        <v>3.1</v>
      </c>
    </row>
    <row r="7" spans="2:18" x14ac:dyDescent="0.25">
      <c r="B7" s="72"/>
      <c r="C7" s="68">
        <v>4</v>
      </c>
      <c r="D7" s="222">
        <f t="shared" si="0"/>
        <v>45539</v>
      </c>
      <c r="E7" s="243">
        <f>Kompetenzraster!R12</f>
        <v>3.4</v>
      </c>
      <c r="F7" s="244">
        <f>Kompetenzraster!S12</f>
        <v>3.1</v>
      </c>
    </row>
    <row r="8" spans="2:18" x14ac:dyDescent="0.25">
      <c r="B8" s="72"/>
      <c r="C8" s="68">
        <v>5</v>
      </c>
      <c r="D8" s="222">
        <f t="shared" si="0"/>
        <v>45546</v>
      </c>
      <c r="E8" s="243">
        <f>Kompetenzraster!R14</f>
        <v>3.4</v>
      </c>
      <c r="F8" s="244">
        <f>Kompetenzraster!S14</f>
        <v>3.2</v>
      </c>
    </row>
    <row r="9" spans="2:18" x14ac:dyDescent="0.25">
      <c r="B9" s="72"/>
      <c r="C9" s="68">
        <v>6</v>
      </c>
      <c r="D9" s="222">
        <f t="shared" si="0"/>
        <v>45553</v>
      </c>
      <c r="E9" s="243">
        <f>Kompetenzraster!R16</f>
        <v>3.5</v>
      </c>
      <c r="F9" s="244">
        <f>Kompetenzraster!S16</f>
        <v>3.2</v>
      </c>
    </row>
    <row r="10" spans="2:18" x14ac:dyDescent="0.25">
      <c r="B10" s="72"/>
      <c r="C10" s="68">
        <v>7</v>
      </c>
      <c r="D10" s="222">
        <f t="shared" si="0"/>
        <v>45560</v>
      </c>
      <c r="E10" s="243">
        <f>Kompetenzraster!R18</f>
        <v>3.5</v>
      </c>
      <c r="F10" s="244">
        <f>Kompetenzraster!S18</f>
        <v>3.2</v>
      </c>
    </row>
    <row r="11" spans="2:18" ht="15" customHeight="1" x14ac:dyDescent="0.25">
      <c r="B11" s="756" t="s">
        <v>55</v>
      </c>
      <c r="C11" s="757"/>
      <c r="D11" s="223">
        <f t="shared" si="0"/>
        <v>45567</v>
      </c>
      <c r="E11" s="770"/>
      <c r="F11" s="771"/>
      <c r="G11" s="69"/>
    </row>
    <row r="12" spans="2:18" x14ac:dyDescent="0.25">
      <c r="B12" s="758"/>
      <c r="C12" s="759"/>
      <c r="D12" s="223">
        <f t="shared" si="0"/>
        <v>45574</v>
      </c>
      <c r="E12" s="772"/>
      <c r="F12" s="773"/>
      <c r="G12" s="69"/>
    </row>
    <row r="13" spans="2:18" x14ac:dyDescent="0.25">
      <c r="B13" s="760"/>
      <c r="C13" s="761"/>
      <c r="D13" s="223">
        <f t="shared" si="0"/>
        <v>45581</v>
      </c>
      <c r="E13" s="774"/>
      <c r="F13" s="775"/>
      <c r="G13" s="69"/>
    </row>
    <row r="14" spans="2:18" x14ac:dyDescent="0.25">
      <c r="B14" s="72"/>
      <c r="C14" s="68">
        <v>8</v>
      </c>
      <c r="D14" s="222">
        <f>D13+7</f>
        <v>45588</v>
      </c>
      <c r="E14" s="243">
        <f>Kompetenzraster!R20</f>
        <v>3.7</v>
      </c>
      <c r="F14" s="244">
        <f>Kompetenzraster!S20</f>
        <v>3.2</v>
      </c>
    </row>
    <row r="15" spans="2:18" x14ac:dyDescent="0.25">
      <c r="B15" s="72"/>
      <c r="C15" s="68">
        <v>9</v>
      </c>
      <c r="D15" s="222">
        <f t="shared" si="0"/>
        <v>45595</v>
      </c>
      <c r="E15" s="243">
        <f>Kompetenzraster!R22</f>
        <v>3.7</v>
      </c>
      <c r="F15" s="244">
        <f>Kompetenzraster!S22</f>
        <v>3.2</v>
      </c>
    </row>
    <row r="16" spans="2:18" x14ac:dyDescent="0.25">
      <c r="B16" s="72"/>
      <c r="C16" s="68">
        <v>10</v>
      </c>
      <c r="D16" s="222">
        <f t="shared" si="0"/>
        <v>45602</v>
      </c>
      <c r="E16" s="243">
        <f>Kompetenzraster!R24</f>
        <v>3.7</v>
      </c>
      <c r="F16" s="244">
        <f>Kompetenzraster!S24</f>
        <v>3.3</v>
      </c>
    </row>
    <row r="17" spans="2:7" x14ac:dyDescent="0.25">
      <c r="B17" s="72"/>
      <c r="C17" s="68">
        <v>11</v>
      </c>
      <c r="D17" s="222">
        <f t="shared" si="0"/>
        <v>45609</v>
      </c>
      <c r="E17" s="243">
        <f>Kompetenzraster!R26</f>
        <v>3.7</v>
      </c>
      <c r="F17" s="244">
        <f>Kompetenzraster!S26</f>
        <v>3.3</v>
      </c>
    </row>
    <row r="18" spans="2:7" x14ac:dyDescent="0.25">
      <c r="B18" s="72"/>
      <c r="C18" s="68">
        <v>12</v>
      </c>
      <c r="D18" s="222">
        <f t="shared" si="0"/>
        <v>45616</v>
      </c>
      <c r="E18" s="243">
        <f>Kompetenzraster!R28</f>
        <v>3.7</v>
      </c>
      <c r="F18" s="244">
        <f>Kompetenzraster!S28</f>
        <v>3.3</v>
      </c>
    </row>
    <row r="19" spans="2:7" x14ac:dyDescent="0.25">
      <c r="B19" s="72"/>
      <c r="C19" s="68">
        <v>13</v>
      </c>
      <c r="D19" s="222">
        <f t="shared" si="0"/>
        <v>45623</v>
      </c>
      <c r="E19" s="243">
        <f>Kompetenzraster!R30</f>
        <v>3.8</v>
      </c>
      <c r="F19" s="244">
        <f>Kompetenzraster!S30</f>
        <v>3.6</v>
      </c>
    </row>
    <row r="20" spans="2:7" x14ac:dyDescent="0.25">
      <c r="B20" s="72"/>
      <c r="C20" s="68">
        <v>14</v>
      </c>
      <c r="D20" s="222">
        <f t="shared" si="0"/>
        <v>45630</v>
      </c>
      <c r="E20" s="243">
        <f>Kompetenzraster!R32</f>
        <v>3.8</v>
      </c>
      <c r="F20" s="244">
        <f>Kompetenzraster!S32</f>
        <v>3.6</v>
      </c>
    </row>
    <row r="21" spans="2:7" x14ac:dyDescent="0.25">
      <c r="B21" s="72"/>
      <c r="C21" s="68">
        <v>15</v>
      </c>
      <c r="D21" s="222">
        <f t="shared" si="0"/>
        <v>45637</v>
      </c>
      <c r="E21" s="243">
        <f>Kompetenzraster!R34</f>
        <v>3.8</v>
      </c>
      <c r="F21" s="244">
        <f>Kompetenzraster!S34</f>
        <v>3.6</v>
      </c>
    </row>
    <row r="22" spans="2:7" x14ac:dyDescent="0.25">
      <c r="B22" s="72"/>
      <c r="C22" s="68">
        <v>16</v>
      </c>
      <c r="D22" s="222">
        <f t="shared" si="0"/>
        <v>45644</v>
      </c>
      <c r="E22" s="243">
        <f>Kompetenzraster!R36</f>
        <v>3.9</v>
      </c>
      <c r="F22" s="244">
        <f>Kompetenzraster!S36</f>
        <v>3.6</v>
      </c>
    </row>
    <row r="23" spans="2:7" ht="15" customHeight="1" x14ac:dyDescent="0.25">
      <c r="B23" s="752" t="s">
        <v>56</v>
      </c>
      <c r="C23" s="753"/>
      <c r="D23" s="223">
        <f t="shared" si="0"/>
        <v>45651</v>
      </c>
      <c r="E23" s="770"/>
      <c r="F23" s="771"/>
      <c r="G23" s="69"/>
    </row>
    <row r="24" spans="2:7" x14ac:dyDescent="0.25">
      <c r="B24" s="754"/>
      <c r="C24" s="755"/>
      <c r="D24" s="223">
        <f t="shared" si="0"/>
        <v>45658</v>
      </c>
      <c r="E24" s="774"/>
      <c r="F24" s="775"/>
      <c r="G24" s="69"/>
    </row>
    <row r="25" spans="2:7" x14ac:dyDescent="0.25">
      <c r="B25" s="72"/>
      <c r="C25" s="68">
        <v>17</v>
      </c>
      <c r="D25" s="222">
        <f>D24+7</f>
        <v>45665</v>
      </c>
      <c r="E25" s="243">
        <f>Kompetenzraster!R38</f>
        <v>3.9</v>
      </c>
      <c r="F25" s="244">
        <f>Kompetenzraster!S38</f>
        <v>3.6</v>
      </c>
    </row>
    <row r="26" spans="2:7" x14ac:dyDescent="0.25">
      <c r="B26" s="72"/>
      <c r="C26" s="68">
        <v>18</v>
      </c>
      <c r="D26" s="222">
        <f t="shared" si="0"/>
        <v>45672</v>
      </c>
      <c r="E26" s="243">
        <f>Kompetenzraster!R40</f>
        <v>3.9</v>
      </c>
      <c r="F26" s="244">
        <f>Kompetenzraster!S40</f>
        <v>3.6</v>
      </c>
    </row>
    <row r="27" spans="2:7" x14ac:dyDescent="0.25">
      <c r="B27" s="86" t="s">
        <v>51</v>
      </c>
      <c r="C27" s="87">
        <v>19</v>
      </c>
      <c r="D27" s="224">
        <f t="shared" si="0"/>
        <v>45679</v>
      </c>
      <c r="E27" s="245"/>
      <c r="F27" s="246"/>
    </row>
    <row r="28" spans="2:7" ht="15.75" thickBot="1" x14ac:dyDescent="0.3">
      <c r="B28" s="73" t="s">
        <v>52</v>
      </c>
      <c r="C28" s="74">
        <v>20</v>
      </c>
      <c r="D28" s="225">
        <f>D27+7</f>
        <v>45686</v>
      </c>
      <c r="E28" s="247"/>
      <c r="F28" s="248"/>
    </row>
    <row r="29" spans="2:7" ht="15.75" thickBot="1" x14ac:dyDescent="0.3">
      <c r="D29" s="75"/>
    </row>
    <row r="30" spans="2:7" ht="15.75" thickBot="1" x14ac:dyDescent="0.3">
      <c r="B30" s="749" t="s">
        <v>58</v>
      </c>
      <c r="C30" s="750"/>
      <c r="D30" s="751"/>
    </row>
    <row r="31" spans="2:7" x14ac:dyDescent="0.25">
      <c r="B31" s="77"/>
      <c r="C31" s="78" t="s">
        <v>1</v>
      </c>
      <c r="D31" s="79" t="s">
        <v>53</v>
      </c>
    </row>
    <row r="32" spans="2:7" x14ac:dyDescent="0.25">
      <c r="B32" s="72"/>
      <c r="C32" s="68">
        <v>1</v>
      </c>
      <c r="D32" s="88">
        <f>D28+7</f>
        <v>45693</v>
      </c>
    </row>
    <row r="33" spans="2:4" x14ac:dyDescent="0.25">
      <c r="B33" s="72"/>
      <c r="C33" s="68">
        <v>2</v>
      </c>
      <c r="D33" s="88">
        <f t="shared" si="0"/>
        <v>45700</v>
      </c>
    </row>
    <row r="34" spans="2:4" x14ac:dyDescent="0.25">
      <c r="B34" s="72"/>
      <c r="C34" s="68">
        <v>3</v>
      </c>
      <c r="D34" s="88">
        <f t="shared" si="0"/>
        <v>45707</v>
      </c>
    </row>
    <row r="35" spans="2:4" x14ac:dyDescent="0.25">
      <c r="B35" s="72"/>
      <c r="C35" s="68">
        <v>4</v>
      </c>
      <c r="D35" s="88">
        <f t="shared" si="0"/>
        <v>45714</v>
      </c>
    </row>
    <row r="36" spans="2:4" x14ac:dyDescent="0.25">
      <c r="B36" s="72"/>
      <c r="C36" s="68">
        <v>5</v>
      </c>
      <c r="D36" s="88">
        <f t="shared" si="0"/>
        <v>45721</v>
      </c>
    </row>
    <row r="37" spans="2:4" x14ac:dyDescent="0.25">
      <c r="B37" s="72"/>
      <c r="C37" s="68">
        <v>6</v>
      </c>
      <c r="D37" s="88">
        <f t="shared" si="0"/>
        <v>45728</v>
      </c>
    </row>
    <row r="38" spans="2:4" x14ac:dyDescent="0.25">
      <c r="B38" s="72"/>
      <c r="C38" s="68">
        <v>7</v>
      </c>
      <c r="D38" s="88">
        <f t="shared" si="0"/>
        <v>45735</v>
      </c>
    </row>
    <row r="39" spans="2:4" x14ac:dyDescent="0.25">
      <c r="B39" s="72"/>
      <c r="C39" s="68">
        <v>8</v>
      </c>
      <c r="D39" s="88">
        <f t="shared" si="0"/>
        <v>45742</v>
      </c>
    </row>
    <row r="40" spans="2:4" x14ac:dyDescent="0.25">
      <c r="B40" s="72"/>
      <c r="C40" s="68">
        <v>9</v>
      </c>
      <c r="D40" s="88">
        <f t="shared" si="0"/>
        <v>45749</v>
      </c>
    </row>
    <row r="41" spans="2:4" ht="15" customHeight="1" x14ac:dyDescent="0.25">
      <c r="B41" s="762" t="s">
        <v>59</v>
      </c>
      <c r="C41" s="763"/>
      <c r="D41" s="89">
        <f t="shared" si="0"/>
        <v>45756</v>
      </c>
    </row>
    <row r="42" spans="2:4" x14ac:dyDescent="0.25">
      <c r="B42" s="764"/>
      <c r="C42" s="765"/>
      <c r="D42" s="89">
        <f t="shared" si="0"/>
        <v>45763</v>
      </c>
    </row>
    <row r="43" spans="2:4" x14ac:dyDescent="0.25">
      <c r="B43" s="72"/>
      <c r="C43" s="68">
        <v>10</v>
      </c>
      <c r="D43" s="88">
        <f t="shared" si="0"/>
        <v>45770</v>
      </c>
    </row>
    <row r="44" spans="2:4" x14ac:dyDescent="0.25">
      <c r="B44" s="72"/>
      <c r="C44" s="68">
        <v>11</v>
      </c>
      <c r="D44" s="88">
        <f>D43+7</f>
        <v>45777</v>
      </c>
    </row>
    <row r="45" spans="2:4" x14ac:dyDescent="0.25">
      <c r="B45" s="72"/>
      <c r="C45" s="68">
        <v>12</v>
      </c>
      <c r="D45" s="88">
        <f t="shared" si="0"/>
        <v>45784</v>
      </c>
    </row>
    <row r="46" spans="2:4" x14ac:dyDescent="0.25">
      <c r="B46" s="72"/>
      <c r="C46" s="68">
        <v>13</v>
      </c>
      <c r="D46" s="88">
        <f t="shared" si="0"/>
        <v>45791</v>
      </c>
    </row>
    <row r="47" spans="2:4" x14ac:dyDescent="0.25">
      <c r="B47" s="72"/>
      <c r="C47" s="68">
        <v>14</v>
      </c>
      <c r="D47" s="88">
        <f t="shared" si="0"/>
        <v>45798</v>
      </c>
    </row>
    <row r="48" spans="2:4" x14ac:dyDescent="0.25">
      <c r="B48" s="72"/>
      <c r="C48" s="68">
        <v>15</v>
      </c>
      <c r="D48" s="88">
        <f t="shared" si="0"/>
        <v>45805</v>
      </c>
    </row>
    <row r="49" spans="2:4" x14ac:dyDescent="0.25">
      <c r="B49" s="72"/>
      <c r="C49" s="68">
        <v>16</v>
      </c>
      <c r="D49" s="88">
        <f t="shared" si="0"/>
        <v>45812</v>
      </c>
    </row>
    <row r="50" spans="2:4" x14ac:dyDescent="0.25">
      <c r="B50" s="72"/>
      <c r="C50" s="68">
        <v>17</v>
      </c>
      <c r="D50" s="88">
        <f t="shared" si="0"/>
        <v>45819</v>
      </c>
    </row>
    <row r="51" spans="2:4" x14ac:dyDescent="0.25">
      <c r="B51" s="72"/>
      <c r="C51" s="68">
        <v>18</v>
      </c>
      <c r="D51" s="88">
        <f t="shared" si="0"/>
        <v>45826</v>
      </c>
    </row>
    <row r="52" spans="2:4" x14ac:dyDescent="0.25">
      <c r="B52" s="72"/>
      <c r="C52" s="68">
        <v>19</v>
      </c>
      <c r="D52" s="88">
        <f t="shared" si="0"/>
        <v>45833</v>
      </c>
    </row>
    <row r="53" spans="2:4" ht="15.75" thickBot="1" x14ac:dyDescent="0.3">
      <c r="B53" s="80"/>
      <c r="C53" s="81">
        <v>20</v>
      </c>
      <c r="D53" s="90">
        <f t="shared" si="0"/>
        <v>45840</v>
      </c>
    </row>
    <row r="54" spans="2:4" x14ac:dyDescent="0.25">
      <c r="D54" s="75"/>
    </row>
  </sheetData>
  <mergeCells count="9">
    <mergeCell ref="B30:D30"/>
    <mergeCell ref="B23:C24"/>
    <mergeCell ref="B11:C13"/>
    <mergeCell ref="B41:C42"/>
    <mergeCell ref="E2:F2"/>
    <mergeCell ref="E3:F3"/>
    <mergeCell ref="E11:F13"/>
    <mergeCell ref="E23:F24"/>
    <mergeCell ref="B2:D2"/>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3618F-5BEF-4954-B9BB-A474DD479EA5}">
  <dimension ref="A1:T160"/>
  <sheetViews>
    <sheetView zoomScale="25" zoomScaleNormal="25" workbookViewId="0">
      <pane ySplit="3" topLeftCell="A4" activePane="bottomLeft" state="frozen"/>
      <selection activeCell="K17" sqref="K17"/>
      <selection pane="bottomLeft" activeCell="K17" sqref="K17"/>
    </sheetView>
  </sheetViews>
  <sheetFormatPr baseColWidth="10" defaultRowHeight="15" x14ac:dyDescent="0.25"/>
  <cols>
    <col min="1" max="1" width="35.42578125" customWidth="1"/>
    <col min="2" max="2" width="15.7109375" customWidth="1"/>
    <col min="3" max="3" width="65.7109375" style="94" customWidth="1"/>
    <col min="4" max="4" width="11.28515625" style="110" customWidth="1"/>
    <col min="5" max="5" width="41.42578125" style="93" customWidth="1"/>
    <col min="6" max="6" width="36.42578125" style="93" customWidth="1"/>
    <col min="7" max="7" width="15.7109375" style="93" customWidth="1"/>
    <col min="8" max="8" width="65.7109375" style="94" customWidth="1"/>
    <col min="9" max="9" width="11.42578125" style="93" customWidth="1"/>
    <col min="10" max="10" width="42.7109375" style="93" customWidth="1"/>
    <col min="11" max="11" width="36.42578125" style="93" customWidth="1"/>
    <col min="12" max="12" width="15.7109375" style="93" customWidth="1"/>
    <col min="13" max="13" width="65.7109375" style="94" customWidth="1"/>
    <col min="14" max="14" width="11.42578125" style="93" customWidth="1"/>
    <col min="15" max="15" width="42.7109375" style="93" customWidth="1"/>
    <col min="16" max="16" width="36.42578125" style="93" customWidth="1"/>
    <col min="17" max="17" width="15.7109375" style="93" customWidth="1"/>
    <col min="18" max="18" width="65.7109375" style="94" customWidth="1"/>
    <col min="19" max="19" width="11.42578125" style="93"/>
    <col min="20" max="20" width="44.7109375" customWidth="1"/>
  </cols>
  <sheetData>
    <row r="1" spans="1:20" ht="42.75" customHeight="1" x14ac:dyDescent="0.25">
      <c r="A1" s="779" t="s">
        <v>337</v>
      </c>
      <c r="B1" s="779"/>
      <c r="C1" s="779"/>
      <c r="D1" s="779"/>
      <c r="E1" s="779"/>
      <c r="F1" s="779"/>
      <c r="G1" s="779"/>
      <c r="H1" s="779"/>
      <c r="I1" s="779"/>
      <c r="J1" s="779"/>
      <c r="K1" s="779"/>
      <c r="L1" s="779"/>
      <c r="M1" s="779"/>
      <c r="N1" s="779"/>
      <c r="O1" s="779"/>
      <c r="P1" s="779"/>
      <c r="Q1" s="779"/>
      <c r="R1" s="779"/>
      <c r="S1" s="779"/>
      <c r="T1" s="203">
        <v>45484</v>
      </c>
    </row>
    <row r="2" spans="1:20" ht="15.75" thickBot="1" x14ac:dyDescent="0.3">
      <c r="A2" s="113" t="s">
        <v>135</v>
      </c>
      <c r="B2" s="114"/>
      <c r="C2" s="114"/>
      <c r="D2" s="115"/>
      <c r="E2" s="114"/>
      <c r="F2" s="114"/>
      <c r="G2" s="114"/>
      <c r="H2" s="114"/>
      <c r="I2" s="116"/>
      <c r="J2" s="116"/>
      <c r="K2" s="116"/>
      <c r="L2" s="116"/>
      <c r="M2" s="114"/>
      <c r="N2" s="116"/>
      <c r="O2" s="116"/>
      <c r="P2" s="116"/>
      <c r="Q2" s="116"/>
      <c r="R2" s="114"/>
      <c r="S2" s="116"/>
      <c r="T2" s="113"/>
    </row>
    <row r="3" spans="1:20" ht="15" customHeight="1" x14ac:dyDescent="0.25">
      <c r="A3" s="784" t="s">
        <v>139</v>
      </c>
      <c r="B3" s="785"/>
      <c r="C3" s="785"/>
      <c r="D3" s="785"/>
      <c r="E3" s="786"/>
      <c r="F3" s="794" t="s">
        <v>138</v>
      </c>
      <c r="G3" s="795"/>
      <c r="H3" s="795"/>
      <c r="I3" s="795"/>
      <c r="J3" s="796"/>
      <c r="K3" s="787" t="s">
        <v>137</v>
      </c>
      <c r="L3" s="788"/>
      <c r="M3" s="788"/>
      <c r="N3" s="788"/>
      <c r="O3" s="789"/>
      <c r="P3" s="809" t="s">
        <v>136</v>
      </c>
      <c r="Q3" s="810"/>
      <c r="R3" s="810"/>
      <c r="S3" s="810"/>
      <c r="T3" s="811"/>
    </row>
    <row r="4" spans="1:20" ht="5.25" customHeight="1" x14ac:dyDescent="0.25">
      <c r="A4" s="189"/>
      <c r="B4" s="190"/>
      <c r="C4" s="190"/>
      <c r="D4" s="190"/>
      <c r="E4" s="191"/>
      <c r="F4" s="179"/>
      <c r="G4" s="180"/>
      <c r="H4" s="180"/>
      <c r="I4" s="180"/>
      <c r="J4" s="181"/>
      <c r="K4" s="143"/>
      <c r="L4" s="144"/>
      <c r="M4" s="144"/>
      <c r="N4" s="144"/>
      <c r="O4" s="168"/>
      <c r="P4" s="143"/>
      <c r="Q4" s="144"/>
      <c r="T4" s="145"/>
    </row>
    <row r="5" spans="1:20" x14ac:dyDescent="0.25">
      <c r="A5" s="192" t="s">
        <v>196</v>
      </c>
      <c r="B5" s="107" t="s">
        <v>204</v>
      </c>
      <c r="C5" s="106" t="s">
        <v>148</v>
      </c>
      <c r="D5" s="109" t="s">
        <v>149</v>
      </c>
      <c r="E5" s="193" t="s">
        <v>144</v>
      </c>
      <c r="F5" s="182" t="s">
        <v>196</v>
      </c>
      <c r="G5" s="112" t="s">
        <v>204</v>
      </c>
      <c r="H5" s="104" t="s">
        <v>148</v>
      </c>
      <c r="I5" s="105" t="s">
        <v>149</v>
      </c>
      <c r="J5" s="183" t="s">
        <v>144</v>
      </c>
      <c r="K5" s="169" t="s">
        <v>196</v>
      </c>
      <c r="L5" s="121" t="s">
        <v>204</v>
      </c>
      <c r="M5" s="122" t="s">
        <v>148</v>
      </c>
      <c r="N5" s="123" t="s">
        <v>149</v>
      </c>
      <c r="O5" s="170" t="s">
        <v>144</v>
      </c>
      <c r="P5" s="146" t="s">
        <v>196</v>
      </c>
      <c r="Q5" s="131" t="s">
        <v>204</v>
      </c>
      <c r="R5" s="132" t="s">
        <v>148</v>
      </c>
      <c r="S5" s="139" t="s">
        <v>149</v>
      </c>
      <c r="T5" s="147" t="s">
        <v>144</v>
      </c>
    </row>
    <row r="6" spans="1:20" ht="30" x14ac:dyDescent="0.25">
      <c r="A6" s="72"/>
      <c r="B6" s="85">
        <v>1.1000000000000001</v>
      </c>
      <c r="C6" s="101" t="s">
        <v>141</v>
      </c>
      <c r="D6" s="793">
        <v>15</v>
      </c>
      <c r="E6" s="194" t="s">
        <v>145</v>
      </c>
      <c r="F6" s="157"/>
      <c r="J6" s="173"/>
      <c r="K6" s="157"/>
      <c r="L6" s="102"/>
      <c r="M6" s="103"/>
      <c r="O6" s="171"/>
      <c r="P6" s="148"/>
      <c r="R6" s="136" t="s">
        <v>140</v>
      </c>
      <c r="S6" s="814">
        <v>10</v>
      </c>
      <c r="T6" s="149" t="s">
        <v>304</v>
      </c>
    </row>
    <row r="7" spans="1:20" ht="45" x14ac:dyDescent="0.25">
      <c r="A7" s="72"/>
      <c r="B7" s="66"/>
      <c r="C7" s="101" t="s">
        <v>143</v>
      </c>
      <c r="D7" s="793"/>
      <c r="E7" s="194" t="s">
        <v>146</v>
      </c>
      <c r="F7" s="157"/>
      <c r="J7" s="173"/>
      <c r="K7" s="157"/>
      <c r="L7" s="102"/>
      <c r="O7" s="171"/>
      <c r="P7" s="148"/>
      <c r="R7" s="218"/>
      <c r="S7" s="815"/>
      <c r="T7" s="219"/>
    </row>
    <row r="8" spans="1:20" ht="30" x14ac:dyDescent="0.25">
      <c r="A8" s="72"/>
      <c r="B8" s="66"/>
      <c r="C8" s="101"/>
      <c r="D8" s="793"/>
      <c r="E8" s="194"/>
      <c r="F8" s="157"/>
      <c r="J8" s="173"/>
      <c r="K8" s="157"/>
      <c r="L8" s="102"/>
      <c r="O8" s="171"/>
      <c r="P8" s="148"/>
      <c r="R8" s="137" t="s">
        <v>305</v>
      </c>
      <c r="S8" s="815"/>
      <c r="T8" s="150" t="s">
        <v>306</v>
      </c>
    </row>
    <row r="9" spans="1:20" ht="30" x14ac:dyDescent="0.25">
      <c r="A9" s="72"/>
      <c r="C9" s="101" t="s">
        <v>142</v>
      </c>
      <c r="D9" s="793"/>
      <c r="E9" s="194" t="s">
        <v>147</v>
      </c>
      <c r="F9" s="157"/>
      <c r="J9" s="173"/>
      <c r="K9" s="157"/>
      <c r="L9" s="102"/>
      <c r="O9" s="171"/>
      <c r="P9" s="148"/>
      <c r="R9" s="812"/>
      <c r="S9" s="815"/>
      <c r="T9" s="813"/>
    </row>
    <row r="10" spans="1:20" x14ac:dyDescent="0.25">
      <c r="A10" s="72"/>
      <c r="C10" s="103"/>
      <c r="E10" s="173"/>
      <c r="F10" s="157"/>
      <c r="J10" s="173"/>
      <c r="K10" s="157"/>
      <c r="L10" s="102"/>
      <c r="O10" s="171"/>
      <c r="P10" s="148"/>
      <c r="R10" s="812"/>
      <c r="S10" s="815"/>
      <c r="T10" s="813"/>
    </row>
    <row r="11" spans="1:20" ht="30" x14ac:dyDescent="0.25">
      <c r="A11" s="72"/>
      <c r="C11" s="103"/>
      <c r="E11" s="173"/>
      <c r="F11" s="157"/>
      <c r="J11" s="173"/>
      <c r="K11" s="157"/>
      <c r="L11" s="102"/>
      <c r="O11" s="171"/>
      <c r="P11" s="148"/>
      <c r="R11" s="137" t="s">
        <v>307</v>
      </c>
      <c r="S11" s="815"/>
      <c r="T11" s="151" t="s">
        <v>308</v>
      </c>
    </row>
    <row r="12" spans="1:20" ht="30" x14ac:dyDescent="0.25">
      <c r="A12" s="72"/>
      <c r="C12" s="103"/>
      <c r="D12" s="195"/>
      <c r="E12" s="173"/>
      <c r="F12" s="157"/>
      <c r="J12" s="173"/>
      <c r="K12" s="157"/>
      <c r="L12" s="102"/>
      <c r="O12" s="171"/>
      <c r="P12" s="148"/>
      <c r="R12" s="138" t="s">
        <v>310</v>
      </c>
      <c r="S12" s="816"/>
      <c r="T12" s="152" t="s">
        <v>309</v>
      </c>
    </row>
    <row r="13" spans="1:20" x14ac:dyDescent="0.25">
      <c r="A13" s="72"/>
      <c r="C13" s="103"/>
      <c r="D13" s="195"/>
      <c r="E13" s="173"/>
      <c r="F13" s="157"/>
      <c r="J13" s="173"/>
      <c r="K13" s="157"/>
      <c r="L13" s="102"/>
      <c r="O13" s="171"/>
      <c r="P13" s="148"/>
      <c r="R13" s="100"/>
      <c r="S13" s="110"/>
      <c r="T13" s="153"/>
    </row>
    <row r="14" spans="1:20" ht="30" x14ac:dyDescent="0.25">
      <c r="A14" s="72"/>
      <c r="C14" s="101" t="s">
        <v>150</v>
      </c>
      <c r="D14" s="793">
        <v>15</v>
      </c>
      <c r="E14" s="194" t="s">
        <v>151</v>
      </c>
      <c r="F14" s="157"/>
      <c r="J14" s="173"/>
      <c r="K14" s="157"/>
      <c r="L14" s="102"/>
      <c r="O14" s="171"/>
      <c r="P14" s="148"/>
      <c r="R14" s="133" t="s">
        <v>150</v>
      </c>
      <c r="S14" s="814">
        <v>10</v>
      </c>
      <c r="T14" s="154" t="s">
        <v>151</v>
      </c>
    </row>
    <row r="15" spans="1:20" ht="45" x14ac:dyDescent="0.25">
      <c r="A15" s="72"/>
      <c r="C15" s="101" t="s">
        <v>152</v>
      </c>
      <c r="D15" s="793"/>
      <c r="E15" s="194" t="s">
        <v>153</v>
      </c>
      <c r="F15" s="157"/>
      <c r="J15" s="173"/>
      <c r="K15" s="157"/>
      <c r="L15" s="102"/>
      <c r="O15" s="171"/>
      <c r="P15" s="148"/>
      <c r="R15" s="134" t="s">
        <v>311</v>
      </c>
      <c r="S15" s="815"/>
      <c r="T15" s="155" t="s">
        <v>313</v>
      </c>
    </row>
    <row r="16" spans="1:20" ht="75" x14ac:dyDescent="0.25">
      <c r="A16" s="72"/>
      <c r="C16" s="101" t="s">
        <v>155</v>
      </c>
      <c r="D16" s="793"/>
      <c r="E16" s="194" t="s">
        <v>154</v>
      </c>
      <c r="F16" s="157"/>
      <c r="J16" s="173"/>
      <c r="K16" s="157"/>
      <c r="L16" s="102"/>
      <c r="O16" s="171"/>
      <c r="P16" s="148"/>
      <c r="R16" s="133" t="s">
        <v>312</v>
      </c>
      <c r="S16" s="816"/>
      <c r="T16" s="156" t="s">
        <v>154</v>
      </c>
    </row>
    <row r="17" spans="1:20" x14ac:dyDescent="0.25">
      <c r="A17" s="72"/>
      <c r="C17" s="103"/>
      <c r="D17" s="195"/>
      <c r="E17" s="173"/>
      <c r="F17" s="157"/>
      <c r="J17" s="173"/>
      <c r="K17" s="157"/>
      <c r="L17" s="102"/>
      <c r="O17" s="171"/>
      <c r="P17" s="148"/>
      <c r="T17" s="145"/>
    </row>
    <row r="18" spans="1:20" ht="30" x14ac:dyDescent="0.25">
      <c r="A18" s="72"/>
      <c r="C18" s="101" t="s">
        <v>156</v>
      </c>
      <c r="D18" s="793">
        <v>5</v>
      </c>
      <c r="E18" s="194" t="s">
        <v>158</v>
      </c>
      <c r="F18" s="157"/>
      <c r="J18" s="173"/>
      <c r="K18" s="157"/>
      <c r="L18" s="102"/>
      <c r="O18" s="171"/>
      <c r="P18" s="148"/>
      <c r="T18" s="145"/>
    </row>
    <row r="19" spans="1:20" ht="60" x14ac:dyDescent="0.25">
      <c r="A19" s="72"/>
      <c r="C19" s="101" t="s">
        <v>157</v>
      </c>
      <c r="D19" s="793"/>
      <c r="E19" s="194" t="s">
        <v>159</v>
      </c>
      <c r="F19" s="157"/>
      <c r="H19" s="117" t="s">
        <v>205</v>
      </c>
      <c r="I19" s="797">
        <v>10</v>
      </c>
      <c r="J19" s="184" t="s">
        <v>206</v>
      </c>
      <c r="K19" s="157"/>
      <c r="L19" s="102"/>
      <c r="O19" s="171"/>
      <c r="P19" s="148"/>
      <c r="T19" s="145"/>
    </row>
    <row r="20" spans="1:20" ht="60" x14ac:dyDescent="0.25">
      <c r="A20" s="72"/>
      <c r="C20" s="103"/>
      <c r="D20" s="195"/>
      <c r="E20" s="173"/>
      <c r="F20" s="157"/>
      <c r="H20" s="117" t="s">
        <v>207</v>
      </c>
      <c r="I20" s="798"/>
      <c r="J20" s="184" t="s">
        <v>208</v>
      </c>
      <c r="K20" s="157"/>
      <c r="L20" s="102"/>
      <c r="M20" s="126" t="s">
        <v>207</v>
      </c>
      <c r="N20" s="790">
        <v>10</v>
      </c>
      <c r="O20" s="172" t="s">
        <v>257</v>
      </c>
      <c r="P20" s="157"/>
      <c r="Q20" s="102"/>
      <c r="R20" s="133" t="s">
        <v>207</v>
      </c>
      <c r="S20" s="814">
        <v>10</v>
      </c>
      <c r="T20" s="155" t="s">
        <v>314</v>
      </c>
    </row>
    <row r="21" spans="1:20" ht="45" x14ac:dyDescent="0.25">
      <c r="A21" s="72"/>
      <c r="C21" s="101" t="s">
        <v>160</v>
      </c>
      <c r="D21" s="793">
        <v>25</v>
      </c>
      <c r="E21" s="194"/>
      <c r="F21" s="157"/>
      <c r="H21" s="118" t="s">
        <v>210</v>
      </c>
      <c r="I21" s="799"/>
      <c r="J21" s="184" t="s">
        <v>209</v>
      </c>
      <c r="K21" s="157"/>
      <c r="L21" s="102"/>
      <c r="M21" s="128" t="s">
        <v>210</v>
      </c>
      <c r="N21" s="791"/>
      <c r="O21" s="172" t="s">
        <v>209</v>
      </c>
      <c r="P21" s="157"/>
      <c r="Q21" s="102"/>
      <c r="R21" s="133" t="s">
        <v>210</v>
      </c>
      <c r="S21" s="815"/>
      <c r="T21" s="158" t="s">
        <v>209</v>
      </c>
    </row>
    <row r="22" spans="1:20" ht="45" x14ac:dyDescent="0.25">
      <c r="A22" s="72"/>
      <c r="C22" s="101" t="s">
        <v>161</v>
      </c>
      <c r="D22" s="793"/>
      <c r="E22" s="194" t="s">
        <v>162</v>
      </c>
      <c r="F22" s="157"/>
      <c r="J22" s="173"/>
      <c r="K22" s="157"/>
      <c r="L22" s="102"/>
      <c r="M22" s="103"/>
      <c r="N22" s="102"/>
      <c r="O22" s="173"/>
      <c r="P22" s="157"/>
      <c r="Q22" s="102"/>
      <c r="R22" s="803"/>
      <c r="S22" s="815"/>
      <c r="T22" s="817"/>
    </row>
    <row r="23" spans="1:20" ht="45" x14ac:dyDescent="0.25">
      <c r="A23" s="72"/>
      <c r="C23" s="101" t="s">
        <v>163</v>
      </c>
      <c r="D23" s="793"/>
      <c r="E23" s="194" t="s">
        <v>164</v>
      </c>
      <c r="F23" s="157"/>
      <c r="J23" s="173"/>
      <c r="K23" s="157"/>
      <c r="L23" s="102"/>
      <c r="M23" s="103"/>
      <c r="N23" s="102"/>
      <c r="O23" s="173"/>
      <c r="P23" s="157"/>
      <c r="Q23" s="102"/>
      <c r="R23" s="804"/>
      <c r="S23" s="815"/>
      <c r="T23" s="818"/>
    </row>
    <row r="24" spans="1:20" ht="30" x14ac:dyDescent="0.25">
      <c r="A24" s="72"/>
      <c r="C24" s="101" t="s">
        <v>165</v>
      </c>
      <c r="D24" s="793"/>
      <c r="E24" s="194" t="s">
        <v>166</v>
      </c>
      <c r="F24" s="157"/>
      <c r="J24" s="173"/>
      <c r="K24" s="157"/>
      <c r="L24" s="102"/>
      <c r="M24" s="103"/>
      <c r="N24" s="102"/>
      <c r="O24" s="173"/>
      <c r="P24" s="157"/>
      <c r="Q24" s="102"/>
      <c r="R24" s="133" t="s">
        <v>315</v>
      </c>
      <c r="S24" s="815"/>
      <c r="T24" s="155" t="s">
        <v>166</v>
      </c>
    </row>
    <row r="25" spans="1:20" ht="30" x14ac:dyDescent="0.25">
      <c r="A25" s="72"/>
      <c r="C25" s="101" t="s">
        <v>167</v>
      </c>
      <c r="D25" s="793"/>
      <c r="E25" s="194" t="s">
        <v>168</v>
      </c>
      <c r="F25" s="157"/>
      <c r="J25" s="173"/>
      <c r="K25" s="157"/>
      <c r="L25" s="102"/>
      <c r="M25" s="103"/>
      <c r="N25" s="102"/>
      <c r="O25" s="173"/>
      <c r="P25" s="157"/>
      <c r="Q25" s="102"/>
      <c r="R25" s="133" t="s">
        <v>316</v>
      </c>
      <c r="S25" s="816"/>
      <c r="T25" s="155" t="s">
        <v>317</v>
      </c>
    </row>
    <row r="26" spans="1:20" x14ac:dyDescent="0.25">
      <c r="A26" s="72"/>
      <c r="C26" s="103"/>
      <c r="D26" s="195"/>
      <c r="E26" s="173"/>
      <c r="F26" s="157"/>
      <c r="J26" s="173"/>
      <c r="K26" s="157"/>
      <c r="L26" s="102"/>
      <c r="M26" s="103"/>
      <c r="N26" s="102"/>
      <c r="O26" s="173"/>
      <c r="P26" s="157"/>
      <c r="Q26" s="102"/>
      <c r="R26" s="103"/>
      <c r="S26" s="102"/>
      <c r="T26" s="159"/>
    </row>
    <row r="27" spans="1:20" x14ac:dyDescent="0.25">
      <c r="A27" s="72"/>
      <c r="C27" s="101" t="s">
        <v>169</v>
      </c>
      <c r="D27" s="793">
        <v>15</v>
      </c>
      <c r="E27" s="194" t="s">
        <v>170</v>
      </c>
      <c r="F27" s="157"/>
      <c r="J27" s="173"/>
      <c r="K27" s="157"/>
      <c r="L27" s="102"/>
      <c r="M27" s="103"/>
      <c r="N27" s="102"/>
      <c r="O27" s="173"/>
      <c r="P27" s="157"/>
      <c r="Q27" s="102"/>
      <c r="R27" s="103"/>
      <c r="S27" s="102"/>
      <c r="T27" s="159"/>
    </row>
    <row r="28" spans="1:20" ht="30" x14ac:dyDescent="0.25">
      <c r="A28" s="72"/>
      <c r="C28" s="101" t="s">
        <v>171</v>
      </c>
      <c r="D28" s="793"/>
      <c r="E28" s="194" t="s">
        <v>172</v>
      </c>
      <c r="F28" s="157"/>
      <c r="J28" s="173"/>
      <c r="K28" s="157"/>
      <c r="L28" s="102"/>
      <c r="M28" s="103"/>
      <c r="N28" s="102"/>
      <c r="O28" s="173"/>
      <c r="P28" s="157"/>
      <c r="Q28" s="102"/>
      <c r="R28" s="103"/>
      <c r="S28" s="102"/>
      <c r="T28" s="159"/>
    </row>
    <row r="29" spans="1:20" ht="45" x14ac:dyDescent="0.25">
      <c r="A29" s="72"/>
      <c r="C29" s="101" t="s">
        <v>173</v>
      </c>
      <c r="D29" s="793"/>
      <c r="E29" s="194" t="s">
        <v>174</v>
      </c>
      <c r="F29" s="157"/>
      <c r="J29" s="173"/>
      <c r="K29" s="157"/>
      <c r="L29" s="102"/>
      <c r="M29" s="103"/>
      <c r="N29" s="102"/>
      <c r="O29" s="173"/>
      <c r="P29" s="157"/>
      <c r="Q29" s="102"/>
      <c r="R29" s="103"/>
      <c r="S29" s="102"/>
      <c r="T29" s="159"/>
    </row>
    <row r="30" spans="1:20" ht="30" x14ac:dyDescent="0.25">
      <c r="A30" s="72"/>
      <c r="C30" s="101" t="s">
        <v>175</v>
      </c>
      <c r="D30" s="793"/>
      <c r="E30" s="194" t="s">
        <v>176</v>
      </c>
      <c r="F30" s="157"/>
      <c r="J30" s="173"/>
      <c r="K30" s="157"/>
      <c r="L30" s="102"/>
      <c r="M30" s="103"/>
      <c r="N30" s="102"/>
      <c r="O30" s="173"/>
      <c r="P30" s="157"/>
      <c r="Q30" s="102"/>
      <c r="R30" s="103"/>
      <c r="S30" s="102"/>
      <c r="T30" s="159"/>
    </row>
    <row r="31" spans="1:20" x14ac:dyDescent="0.25">
      <c r="A31" s="72"/>
      <c r="C31" s="103"/>
      <c r="D31" s="195"/>
      <c r="E31" s="173"/>
      <c r="F31" s="157"/>
      <c r="J31" s="173"/>
      <c r="K31" s="157"/>
      <c r="L31" s="102"/>
      <c r="M31" s="103"/>
      <c r="N31" s="102"/>
      <c r="O31" s="173"/>
      <c r="P31" s="157"/>
      <c r="Q31" s="102"/>
      <c r="R31" s="103"/>
      <c r="S31" s="102"/>
      <c r="T31" s="159"/>
    </row>
    <row r="32" spans="1:20" ht="60" x14ac:dyDescent="0.25">
      <c r="A32" s="72"/>
      <c r="C32" s="101" t="s">
        <v>177</v>
      </c>
      <c r="D32" s="793">
        <v>10</v>
      </c>
      <c r="E32" s="194" t="s">
        <v>178</v>
      </c>
      <c r="F32" s="174" t="s">
        <v>213</v>
      </c>
      <c r="H32" s="118" t="s">
        <v>211</v>
      </c>
      <c r="I32" s="797">
        <v>30</v>
      </c>
      <c r="J32" s="184" t="s">
        <v>212</v>
      </c>
      <c r="K32" s="157"/>
      <c r="L32" s="102"/>
      <c r="M32" s="126" t="s">
        <v>211</v>
      </c>
      <c r="N32" s="790">
        <v>10</v>
      </c>
      <c r="O32" s="172" t="s">
        <v>258</v>
      </c>
      <c r="P32" s="157"/>
      <c r="Q32" s="102"/>
      <c r="R32" s="133" t="s">
        <v>211</v>
      </c>
      <c r="S32" s="814">
        <v>10</v>
      </c>
      <c r="T32" s="158" t="s">
        <v>259</v>
      </c>
    </row>
    <row r="33" spans="1:20" ht="30" x14ac:dyDescent="0.25">
      <c r="A33" s="72"/>
      <c r="C33" s="101" t="s">
        <v>179</v>
      </c>
      <c r="D33" s="793"/>
      <c r="E33" s="194" t="s">
        <v>181</v>
      </c>
      <c r="F33" s="800" t="s">
        <v>215</v>
      </c>
      <c r="H33" s="118" t="s">
        <v>214</v>
      </c>
      <c r="I33" s="798"/>
      <c r="J33" s="184" t="s">
        <v>180</v>
      </c>
      <c r="K33" s="157"/>
      <c r="L33" s="102"/>
      <c r="M33" s="126" t="s">
        <v>214</v>
      </c>
      <c r="N33" s="792"/>
      <c r="O33" s="172" t="s">
        <v>259</v>
      </c>
      <c r="P33" s="157"/>
      <c r="Q33" s="102"/>
      <c r="R33" s="133" t="s">
        <v>214</v>
      </c>
      <c r="S33" s="815"/>
      <c r="T33" s="156" t="s">
        <v>259</v>
      </c>
    </row>
    <row r="34" spans="1:20" ht="30" x14ac:dyDescent="0.25">
      <c r="A34" s="72"/>
      <c r="C34" s="101" t="s">
        <v>182</v>
      </c>
      <c r="D34" s="793"/>
      <c r="E34" s="194" t="s">
        <v>183</v>
      </c>
      <c r="F34" s="800"/>
      <c r="H34" s="118" t="s">
        <v>216</v>
      </c>
      <c r="I34" s="798"/>
      <c r="J34" s="184" t="s">
        <v>183</v>
      </c>
      <c r="K34" s="157"/>
      <c r="L34" s="102"/>
      <c r="M34" s="126" t="s">
        <v>216</v>
      </c>
      <c r="N34" s="792"/>
      <c r="O34" s="172" t="s">
        <v>259</v>
      </c>
      <c r="P34" s="157"/>
      <c r="Q34" s="102"/>
      <c r="R34" s="133" t="s">
        <v>216</v>
      </c>
      <c r="S34" s="815"/>
      <c r="T34" s="156" t="s">
        <v>259</v>
      </c>
    </row>
    <row r="35" spans="1:20" ht="45" x14ac:dyDescent="0.25">
      <c r="A35" s="72"/>
      <c r="C35" s="103"/>
      <c r="D35" s="195"/>
      <c r="E35" s="173"/>
      <c r="F35" s="157"/>
      <c r="H35" s="118" t="s">
        <v>217</v>
      </c>
      <c r="I35" s="799"/>
      <c r="J35" s="184" t="s">
        <v>218</v>
      </c>
      <c r="K35" s="174" t="s">
        <v>260</v>
      </c>
      <c r="L35" s="102"/>
      <c r="M35" s="126" t="s">
        <v>217</v>
      </c>
      <c r="N35" s="791"/>
      <c r="O35" s="172" t="s">
        <v>259</v>
      </c>
      <c r="P35" s="157"/>
      <c r="Q35" s="102"/>
      <c r="R35" s="133" t="s">
        <v>217</v>
      </c>
      <c r="S35" s="816"/>
      <c r="T35" s="156" t="s">
        <v>259</v>
      </c>
    </row>
    <row r="36" spans="1:20" x14ac:dyDescent="0.25">
      <c r="A36" s="72"/>
      <c r="C36" s="103"/>
      <c r="D36" s="195"/>
      <c r="E36" s="173"/>
      <c r="F36" s="157"/>
      <c r="I36" s="110"/>
      <c r="J36" s="173"/>
      <c r="K36" s="162"/>
      <c r="L36" s="111"/>
      <c r="M36" s="103"/>
      <c r="N36" s="102"/>
      <c r="O36" s="173"/>
      <c r="P36" s="157"/>
      <c r="Q36" s="102"/>
      <c r="R36" s="103"/>
      <c r="S36" s="102"/>
      <c r="T36" s="159"/>
    </row>
    <row r="37" spans="1:20" ht="45" x14ac:dyDescent="0.25">
      <c r="A37" s="72"/>
      <c r="C37" s="103"/>
      <c r="D37" s="195"/>
      <c r="E37" s="173"/>
      <c r="F37" s="157"/>
      <c r="H37" s="117" t="s">
        <v>219</v>
      </c>
      <c r="I37" s="797">
        <v>10</v>
      </c>
      <c r="J37" s="184" t="s">
        <v>220</v>
      </c>
      <c r="K37" s="162"/>
      <c r="L37" s="111"/>
      <c r="M37" s="126" t="s">
        <v>219</v>
      </c>
      <c r="N37" s="790">
        <v>10</v>
      </c>
      <c r="O37" s="172" t="s">
        <v>261</v>
      </c>
      <c r="P37" s="157"/>
      <c r="Q37" s="102"/>
      <c r="R37" s="133" t="s">
        <v>219</v>
      </c>
      <c r="S37" s="814">
        <v>10</v>
      </c>
      <c r="T37" s="158" t="s">
        <v>318</v>
      </c>
    </row>
    <row r="38" spans="1:20" ht="60" x14ac:dyDescent="0.25">
      <c r="A38" s="72"/>
      <c r="C38" s="103"/>
      <c r="D38" s="195"/>
      <c r="E38" s="173"/>
      <c r="F38" s="800" t="s">
        <v>223</v>
      </c>
      <c r="H38" s="117" t="s">
        <v>221</v>
      </c>
      <c r="I38" s="798"/>
      <c r="J38" s="184" t="s">
        <v>222</v>
      </c>
      <c r="K38" s="162"/>
      <c r="L38" s="111"/>
      <c r="M38" s="126" t="s">
        <v>262</v>
      </c>
      <c r="N38" s="792"/>
      <c r="O38" s="172" t="s">
        <v>263</v>
      </c>
      <c r="P38" s="157"/>
      <c r="Q38" s="102"/>
      <c r="R38" s="133" t="s">
        <v>262</v>
      </c>
      <c r="S38" s="815"/>
      <c r="T38" s="158" t="s">
        <v>318</v>
      </c>
    </row>
    <row r="39" spans="1:20" ht="30" x14ac:dyDescent="0.25">
      <c r="A39" s="72"/>
      <c r="C39" s="103"/>
      <c r="D39" s="195"/>
      <c r="E39" s="173"/>
      <c r="F39" s="800"/>
      <c r="H39" s="118" t="s">
        <v>225</v>
      </c>
      <c r="I39" s="798"/>
      <c r="J39" s="184" t="s">
        <v>224</v>
      </c>
      <c r="K39" s="162"/>
      <c r="L39" s="111"/>
      <c r="M39" s="803"/>
      <c r="N39" s="792"/>
      <c r="O39" s="805"/>
      <c r="P39" s="160"/>
      <c r="Q39" s="161"/>
      <c r="R39" s="133" t="s">
        <v>225</v>
      </c>
      <c r="S39" s="815"/>
      <c r="T39" s="158" t="s">
        <v>318</v>
      </c>
    </row>
    <row r="40" spans="1:20" ht="45" x14ac:dyDescent="0.25">
      <c r="A40" s="72"/>
      <c r="C40" s="103"/>
      <c r="D40" s="195"/>
      <c r="E40" s="173"/>
      <c r="F40" s="800"/>
      <c r="H40" s="118" t="s">
        <v>226</v>
      </c>
      <c r="I40" s="798"/>
      <c r="J40" s="184" t="s">
        <v>227</v>
      </c>
      <c r="K40" s="162"/>
      <c r="L40" s="111"/>
      <c r="M40" s="804"/>
      <c r="N40" s="792"/>
      <c r="O40" s="806"/>
      <c r="P40" s="160"/>
      <c r="Q40" s="161"/>
      <c r="R40" s="141"/>
      <c r="S40" s="815"/>
      <c r="T40" s="216"/>
    </row>
    <row r="41" spans="1:20" ht="45" x14ac:dyDescent="0.25">
      <c r="A41" s="72"/>
      <c r="C41" s="103"/>
      <c r="D41" s="195"/>
      <c r="E41" s="173"/>
      <c r="F41" s="174" t="s">
        <v>230</v>
      </c>
      <c r="H41" s="118" t="s">
        <v>228</v>
      </c>
      <c r="I41" s="798"/>
      <c r="J41" s="184" t="s">
        <v>229</v>
      </c>
      <c r="K41" s="162"/>
      <c r="L41" s="111"/>
      <c r="M41" s="126" t="s">
        <v>228</v>
      </c>
      <c r="N41" s="792"/>
      <c r="O41" s="172" t="s">
        <v>264</v>
      </c>
      <c r="P41" s="157"/>
      <c r="Q41" s="102"/>
      <c r="R41" s="133" t="s">
        <v>228</v>
      </c>
      <c r="S41" s="815"/>
      <c r="T41" s="158" t="s">
        <v>318</v>
      </c>
    </row>
    <row r="42" spans="1:20" ht="30" x14ac:dyDescent="0.25">
      <c r="A42" s="72"/>
      <c r="C42" s="103"/>
      <c r="D42" s="195"/>
      <c r="E42" s="173"/>
      <c r="F42" s="157"/>
      <c r="H42" s="118" t="s">
        <v>231</v>
      </c>
      <c r="I42" s="799"/>
      <c r="J42" s="184" t="s">
        <v>232</v>
      </c>
      <c r="K42" s="162"/>
      <c r="L42" s="111"/>
      <c r="M42" s="126" t="s">
        <v>231</v>
      </c>
      <c r="N42" s="791"/>
      <c r="O42" s="172" t="s">
        <v>264</v>
      </c>
      <c r="P42" s="157"/>
      <c r="Q42" s="102"/>
      <c r="R42" s="133" t="s">
        <v>231</v>
      </c>
      <c r="S42" s="816"/>
      <c r="T42" s="158" t="s">
        <v>318</v>
      </c>
    </row>
    <row r="43" spans="1:20" x14ac:dyDescent="0.25">
      <c r="A43" s="72"/>
      <c r="C43" s="103"/>
      <c r="D43" s="195"/>
      <c r="E43" s="173"/>
      <c r="F43" s="157"/>
      <c r="I43" s="110"/>
      <c r="J43" s="173"/>
      <c r="K43" s="162"/>
      <c r="L43" s="111"/>
      <c r="M43" s="103"/>
      <c r="N43" s="102"/>
      <c r="O43" s="173"/>
      <c r="P43" s="157"/>
      <c r="Q43" s="102"/>
      <c r="R43" s="103"/>
      <c r="S43" s="102"/>
      <c r="T43" s="159"/>
    </row>
    <row r="44" spans="1:20" ht="60" x14ac:dyDescent="0.25">
      <c r="A44" s="72"/>
      <c r="C44" s="99" t="s">
        <v>187</v>
      </c>
      <c r="D44" s="793">
        <v>5</v>
      </c>
      <c r="E44" s="196" t="s">
        <v>188</v>
      </c>
      <c r="F44" s="174" t="s">
        <v>235</v>
      </c>
      <c r="H44" s="117" t="s">
        <v>233</v>
      </c>
      <c r="I44" s="797">
        <v>30</v>
      </c>
      <c r="J44" s="184" t="s">
        <v>234</v>
      </c>
      <c r="K44" s="162"/>
      <c r="L44" s="111"/>
      <c r="M44" s="126" t="s">
        <v>233</v>
      </c>
      <c r="N44" s="790">
        <v>15</v>
      </c>
      <c r="O44" s="172" t="s">
        <v>265</v>
      </c>
      <c r="P44" s="157"/>
      <c r="Q44" s="102"/>
      <c r="R44" s="103"/>
      <c r="S44" s="102"/>
      <c r="T44" s="159"/>
    </row>
    <row r="45" spans="1:20" ht="45" x14ac:dyDescent="0.25">
      <c r="A45" s="72"/>
      <c r="C45" s="99" t="s">
        <v>189</v>
      </c>
      <c r="D45" s="793"/>
      <c r="E45" s="194" t="s">
        <v>190</v>
      </c>
      <c r="F45" s="157"/>
      <c r="H45" s="117" t="s">
        <v>236</v>
      </c>
      <c r="I45" s="798"/>
      <c r="J45" s="184" t="s">
        <v>237</v>
      </c>
      <c r="K45" s="162"/>
      <c r="L45" s="111"/>
      <c r="M45" s="126" t="s">
        <v>266</v>
      </c>
      <c r="N45" s="792"/>
      <c r="O45" s="172" t="s">
        <v>267</v>
      </c>
      <c r="P45" s="157"/>
      <c r="Q45" s="102"/>
      <c r="R45" s="133" t="s">
        <v>266</v>
      </c>
      <c r="S45" s="814">
        <v>10</v>
      </c>
      <c r="T45" s="155" t="s">
        <v>319</v>
      </c>
    </row>
    <row r="46" spans="1:20" ht="45" x14ac:dyDescent="0.25">
      <c r="A46" s="72"/>
      <c r="C46" s="76" t="s">
        <v>191</v>
      </c>
      <c r="D46" s="793"/>
      <c r="E46" s="194" t="s">
        <v>192</v>
      </c>
      <c r="F46" s="157"/>
      <c r="H46" s="117" t="s">
        <v>238</v>
      </c>
      <c r="I46" s="798"/>
      <c r="J46" s="184" t="s">
        <v>239</v>
      </c>
      <c r="K46" s="162"/>
      <c r="L46" s="111"/>
      <c r="M46" s="126" t="s">
        <v>274</v>
      </c>
      <c r="N46" s="792"/>
      <c r="O46" s="172" t="s">
        <v>268</v>
      </c>
      <c r="P46" s="157"/>
      <c r="Q46" s="102"/>
      <c r="R46" s="133" t="s">
        <v>320</v>
      </c>
      <c r="S46" s="815"/>
      <c r="T46" s="158" t="s">
        <v>321</v>
      </c>
    </row>
    <row r="47" spans="1:20" ht="45" x14ac:dyDescent="0.25">
      <c r="A47" s="72"/>
      <c r="E47" s="171"/>
      <c r="F47" s="148"/>
      <c r="H47" s="117" t="s">
        <v>240</v>
      </c>
      <c r="I47" s="799"/>
      <c r="J47" s="184" t="s">
        <v>241</v>
      </c>
      <c r="K47" s="162"/>
      <c r="L47" s="111"/>
      <c r="M47" s="141"/>
      <c r="N47" s="792"/>
      <c r="O47" s="217"/>
      <c r="P47" s="157"/>
      <c r="Q47" s="102"/>
      <c r="R47" s="141"/>
      <c r="S47" s="815"/>
      <c r="T47" s="216"/>
    </row>
    <row r="48" spans="1:20" ht="30" x14ac:dyDescent="0.25">
      <c r="A48" s="72"/>
      <c r="E48" s="171"/>
      <c r="F48" s="148"/>
      <c r="H48" s="100"/>
      <c r="I48" s="110"/>
      <c r="J48" s="173"/>
      <c r="K48" s="162"/>
      <c r="L48" s="111"/>
      <c r="M48" s="126" t="s">
        <v>269</v>
      </c>
      <c r="N48" s="792"/>
      <c r="O48" s="172" t="s">
        <v>270</v>
      </c>
      <c r="P48" s="157"/>
      <c r="Q48" s="102"/>
      <c r="R48" s="133" t="s">
        <v>269</v>
      </c>
      <c r="S48" s="815"/>
      <c r="T48" s="158" t="s">
        <v>322</v>
      </c>
    </row>
    <row r="49" spans="1:20" ht="45" x14ac:dyDescent="0.25">
      <c r="A49" s="72"/>
      <c r="E49" s="171"/>
      <c r="F49" s="148"/>
      <c r="H49" s="100"/>
      <c r="J49" s="173"/>
      <c r="K49" s="162"/>
      <c r="L49" s="111"/>
      <c r="M49" s="126" t="s">
        <v>275</v>
      </c>
      <c r="N49" s="791"/>
      <c r="O49" s="172" t="s">
        <v>270</v>
      </c>
      <c r="P49" s="157"/>
      <c r="Q49" s="102"/>
      <c r="R49" s="133" t="s">
        <v>323</v>
      </c>
      <c r="S49" s="816"/>
      <c r="T49" s="158" t="s">
        <v>324</v>
      </c>
    </row>
    <row r="50" spans="1:20" x14ac:dyDescent="0.25">
      <c r="A50" s="72"/>
      <c r="E50" s="171"/>
      <c r="F50" s="148"/>
      <c r="H50" s="100"/>
      <c r="J50" s="173"/>
      <c r="K50" s="162"/>
      <c r="L50" s="111"/>
      <c r="M50" s="103"/>
      <c r="N50" s="110"/>
      <c r="O50" s="173"/>
      <c r="P50" s="157"/>
      <c r="Q50" s="102"/>
      <c r="R50" s="103"/>
      <c r="S50" s="102"/>
      <c r="T50" s="159"/>
    </row>
    <row r="51" spans="1:20" ht="45" x14ac:dyDescent="0.25">
      <c r="A51" s="72"/>
      <c r="E51" s="171"/>
      <c r="F51" s="148"/>
      <c r="H51" s="100"/>
      <c r="J51" s="173"/>
      <c r="K51" s="162"/>
      <c r="L51" s="111"/>
      <c r="M51" s="126" t="s">
        <v>276</v>
      </c>
      <c r="N51" s="129">
        <v>5</v>
      </c>
      <c r="O51" s="172" t="s">
        <v>271</v>
      </c>
      <c r="P51" s="157"/>
      <c r="Q51" s="102"/>
      <c r="R51" s="133" t="s">
        <v>276</v>
      </c>
      <c r="S51" s="140">
        <v>5</v>
      </c>
      <c r="T51" s="158" t="s">
        <v>325</v>
      </c>
    </row>
    <row r="52" spans="1:20" x14ac:dyDescent="0.25">
      <c r="A52" s="72"/>
      <c r="E52" s="171"/>
      <c r="F52" s="148"/>
      <c r="H52" s="100"/>
      <c r="J52" s="173"/>
      <c r="K52" s="162"/>
      <c r="L52" s="111"/>
      <c r="M52" s="103"/>
      <c r="N52" s="110"/>
      <c r="O52" s="173"/>
      <c r="P52" s="157"/>
      <c r="Q52" s="102"/>
      <c r="R52" s="103"/>
      <c r="S52" s="102"/>
      <c r="T52" s="159"/>
    </row>
    <row r="53" spans="1:20" ht="45" x14ac:dyDescent="0.25">
      <c r="A53" s="72"/>
      <c r="E53" s="171"/>
      <c r="F53" s="148"/>
      <c r="H53" s="100"/>
      <c r="J53" s="173"/>
      <c r="K53" s="162"/>
      <c r="L53" s="111"/>
      <c r="M53" s="126" t="s">
        <v>272</v>
      </c>
      <c r="N53" s="790">
        <v>20</v>
      </c>
      <c r="O53" s="172" t="s">
        <v>273</v>
      </c>
      <c r="P53" s="157"/>
      <c r="Q53" s="102"/>
      <c r="R53" s="133" t="s">
        <v>272</v>
      </c>
      <c r="S53" s="814">
        <v>5</v>
      </c>
      <c r="T53" s="158" t="s">
        <v>326</v>
      </c>
    </row>
    <row r="54" spans="1:20" ht="30" x14ac:dyDescent="0.25">
      <c r="A54" s="72"/>
      <c r="E54" s="171"/>
      <c r="F54" s="148"/>
      <c r="H54" s="100"/>
      <c r="J54" s="173"/>
      <c r="K54" s="162"/>
      <c r="L54" s="111"/>
      <c r="M54" s="126" t="s">
        <v>277</v>
      </c>
      <c r="N54" s="792"/>
      <c r="O54" s="172" t="s">
        <v>180</v>
      </c>
      <c r="P54" s="157"/>
      <c r="Q54" s="102"/>
      <c r="R54" s="133" t="s">
        <v>277</v>
      </c>
      <c r="S54" s="815"/>
      <c r="T54" s="158" t="s">
        <v>326</v>
      </c>
    </row>
    <row r="55" spans="1:20" ht="30" x14ac:dyDescent="0.25">
      <c r="A55" s="72"/>
      <c r="E55" s="171"/>
      <c r="F55" s="148"/>
      <c r="H55" s="100"/>
      <c r="J55" s="173"/>
      <c r="K55" s="162"/>
      <c r="L55" s="111"/>
      <c r="M55" s="126" t="s">
        <v>278</v>
      </c>
      <c r="N55" s="792"/>
      <c r="O55" s="172" t="s">
        <v>279</v>
      </c>
      <c r="P55" s="157"/>
      <c r="Q55" s="102"/>
      <c r="R55" s="133" t="s">
        <v>278</v>
      </c>
      <c r="S55" s="815"/>
      <c r="T55" s="158" t="s">
        <v>326</v>
      </c>
    </row>
    <row r="56" spans="1:20" ht="30" x14ac:dyDescent="0.25">
      <c r="A56" s="72"/>
      <c r="E56" s="171"/>
      <c r="F56" s="148"/>
      <c r="H56" s="100"/>
      <c r="J56" s="173"/>
      <c r="K56" s="162"/>
      <c r="L56" s="111"/>
      <c r="M56" s="126" t="s">
        <v>280</v>
      </c>
      <c r="N56" s="792"/>
      <c r="O56" s="172" t="s">
        <v>180</v>
      </c>
      <c r="P56" s="157"/>
      <c r="Q56" s="102"/>
      <c r="R56" s="133" t="s">
        <v>280</v>
      </c>
      <c r="S56" s="815"/>
      <c r="T56" s="158" t="s">
        <v>326</v>
      </c>
    </row>
    <row r="57" spans="1:20" ht="30" x14ac:dyDescent="0.25">
      <c r="A57" s="72"/>
      <c r="E57" s="171"/>
      <c r="F57" s="148"/>
      <c r="H57" s="100"/>
      <c r="J57" s="173"/>
      <c r="K57" s="162"/>
      <c r="L57" s="111"/>
      <c r="M57" s="126" t="s">
        <v>281</v>
      </c>
      <c r="N57" s="791"/>
      <c r="O57" s="172" t="s">
        <v>180</v>
      </c>
      <c r="P57" s="157"/>
      <c r="Q57" s="102"/>
      <c r="R57" s="133" t="s">
        <v>281</v>
      </c>
      <c r="S57" s="816"/>
      <c r="T57" s="158" t="s">
        <v>326</v>
      </c>
    </row>
    <row r="58" spans="1:20" x14ac:dyDescent="0.25">
      <c r="A58" s="72"/>
      <c r="E58" s="171"/>
      <c r="F58" s="148"/>
      <c r="H58" s="100"/>
      <c r="J58" s="173"/>
      <c r="K58" s="162"/>
      <c r="L58" s="111"/>
      <c r="M58" s="103"/>
      <c r="N58" s="110"/>
      <c r="O58" s="173"/>
      <c r="P58" s="157"/>
      <c r="Q58" s="102"/>
      <c r="R58" s="103"/>
      <c r="S58" s="102"/>
      <c r="T58" s="159"/>
    </row>
    <row r="59" spans="1:20" ht="45" x14ac:dyDescent="0.25">
      <c r="A59" s="72"/>
      <c r="E59" s="171"/>
      <c r="F59" s="174" t="s">
        <v>244</v>
      </c>
      <c r="H59" s="117" t="s">
        <v>242</v>
      </c>
      <c r="I59" s="797">
        <v>5</v>
      </c>
      <c r="J59" s="184" t="s">
        <v>243</v>
      </c>
      <c r="K59" s="162"/>
      <c r="L59" s="111"/>
      <c r="M59" s="126" t="s">
        <v>242</v>
      </c>
      <c r="N59" s="790">
        <v>5</v>
      </c>
      <c r="O59" s="172" t="s">
        <v>282</v>
      </c>
      <c r="P59" s="157"/>
      <c r="Q59" s="102"/>
      <c r="R59" s="133" t="s">
        <v>242</v>
      </c>
      <c r="S59" s="814">
        <v>5</v>
      </c>
      <c r="T59" s="158" t="s">
        <v>326</v>
      </c>
    </row>
    <row r="60" spans="1:20" ht="60" x14ac:dyDescent="0.25">
      <c r="A60" s="72"/>
      <c r="E60" s="171"/>
      <c r="F60" s="148"/>
      <c r="H60" s="117" t="s">
        <v>245</v>
      </c>
      <c r="I60" s="799"/>
      <c r="J60" s="184" t="s">
        <v>246</v>
      </c>
      <c r="K60" s="162"/>
      <c r="L60" s="111"/>
      <c r="M60" s="124" t="s">
        <v>245</v>
      </c>
      <c r="N60" s="791"/>
      <c r="O60" s="175" t="s">
        <v>283</v>
      </c>
      <c r="P60" s="162"/>
      <c r="Q60" s="111"/>
      <c r="R60" s="135" t="s">
        <v>245</v>
      </c>
      <c r="S60" s="816"/>
      <c r="T60" s="158" t="s">
        <v>326</v>
      </c>
    </row>
    <row r="61" spans="1:20" x14ac:dyDescent="0.25">
      <c r="A61" s="72"/>
      <c r="E61" s="171"/>
      <c r="F61" s="148"/>
      <c r="H61" s="100"/>
      <c r="I61" s="110"/>
      <c r="J61" s="173"/>
      <c r="K61" s="162"/>
      <c r="L61" s="111"/>
      <c r="M61" s="100"/>
      <c r="N61" s="110"/>
      <c r="O61" s="176"/>
      <c r="P61" s="162"/>
      <c r="Q61" s="111"/>
      <c r="R61" s="103"/>
      <c r="S61" s="102"/>
      <c r="T61" s="159"/>
    </row>
    <row r="62" spans="1:20" ht="30" x14ac:dyDescent="0.25">
      <c r="A62" s="72"/>
      <c r="E62" s="171"/>
      <c r="F62" s="148"/>
      <c r="H62" s="100"/>
      <c r="I62" s="110"/>
      <c r="J62" s="173"/>
      <c r="K62" s="162"/>
      <c r="L62" s="111"/>
      <c r="M62" s="124" t="s">
        <v>284</v>
      </c>
      <c r="N62" s="790">
        <v>5</v>
      </c>
      <c r="O62" s="175" t="s">
        <v>285</v>
      </c>
      <c r="P62" s="162"/>
      <c r="Q62" s="111"/>
      <c r="R62" s="138" t="s">
        <v>284</v>
      </c>
      <c r="S62" s="814">
        <v>5</v>
      </c>
      <c r="T62" s="220" t="s">
        <v>326</v>
      </c>
    </row>
    <row r="63" spans="1:20" ht="30" x14ac:dyDescent="0.25">
      <c r="A63" s="72"/>
      <c r="E63" s="171"/>
      <c r="F63" s="148"/>
      <c r="H63" s="117" t="s">
        <v>247</v>
      </c>
      <c r="I63" s="797">
        <v>15</v>
      </c>
      <c r="J63" s="184" t="s">
        <v>248</v>
      </c>
      <c r="K63" s="162"/>
      <c r="L63" s="111"/>
      <c r="M63" s="803"/>
      <c r="N63" s="792"/>
      <c r="O63" s="805"/>
      <c r="P63" s="160"/>
      <c r="Q63" s="161"/>
      <c r="R63" s="136" t="s">
        <v>247</v>
      </c>
      <c r="S63" s="815"/>
      <c r="T63" s="220" t="s">
        <v>326</v>
      </c>
    </row>
    <row r="64" spans="1:20" ht="45" x14ac:dyDescent="0.25">
      <c r="A64" s="72"/>
      <c r="E64" s="171"/>
      <c r="F64" s="148"/>
      <c r="H64" s="117" t="s">
        <v>249</v>
      </c>
      <c r="I64" s="798"/>
      <c r="J64" s="184" t="s">
        <v>250</v>
      </c>
      <c r="K64" s="162"/>
      <c r="L64" s="111"/>
      <c r="M64" s="807"/>
      <c r="N64" s="792"/>
      <c r="O64" s="808"/>
      <c r="P64" s="160"/>
      <c r="Q64" s="161"/>
      <c r="R64" s="136" t="s">
        <v>327</v>
      </c>
      <c r="S64" s="815"/>
      <c r="T64" s="220" t="s">
        <v>326</v>
      </c>
    </row>
    <row r="65" spans="1:20" ht="30" x14ac:dyDescent="0.25">
      <c r="A65" s="72"/>
      <c r="E65" s="171"/>
      <c r="F65" s="174" t="s">
        <v>235</v>
      </c>
      <c r="H65" s="117" t="s">
        <v>251</v>
      </c>
      <c r="I65" s="798"/>
      <c r="J65" s="184" t="s">
        <v>252</v>
      </c>
      <c r="K65" s="162"/>
      <c r="L65" s="111"/>
      <c r="M65" s="804"/>
      <c r="N65" s="792"/>
      <c r="O65" s="806"/>
      <c r="P65" s="160"/>
      <c r="Q65" s="161"/>
      <c r="R65" s="136" t="s">
        <v>251</v>
      </c>
      <c r="S65" s="815"/>
      <c r="T65" s="220" t="s">
        <v>326</v>
      </c>
    </row>
    <row r="66" spans="1:20" ht="45" x14ac:dyDescent="0.25">
      <c r="A66" s="801" t="s">
        <v>195</v>
      </c>
      <c r="C66" s="101" t="s">
        <v>193</v>
      </c>
      <c r="D66" s="793">
        <v>5</v>
      </c>
      <c r="E66" s="197" t="s">
        <v>194</v>
      </c>
      <c r="F66" s="162"/>
      <c r="H66" s="118" t="s">
        <v>253</v>
      </c>
      <c r="I66" s="798"/>
      <c r="J66" s="184" t="s">
        <v>254</v>
      </c>
      <c r="K66" s="162"/>
      <c r="L66" s="111"/>
      <c r="M66" s="124" t="s">
        <v>253</v>
      </c>
      <c r="N66" s="792"/>
      <c r="O66" s="175"/>
      <c r="P66" s="162"/>
      <c r="Q66" s="111"/>
      <c r="R66" s="136" t="s">
        <v>253</v>
      </c>
      <c r="S66" s="815"/>
      <c r="T66" s="220" t="s">
        <v>326</v>
      </c>
    </row>
    <row r="67" spans="1:20" ht="45" x14ac:dyDescent="0.25">
      <c r="A67" s="802"/>
      <c r="C67" s="76" t="s">
        <v>197</v>
      </c>
      <c r="D67" s="793"/>
      <c r="E67" s="197" t="s">
        <v>198</v>
      </c>
      <c r="F67" s="185" t="s">
        <v>244</v>
      </c>
      <c r="H67" s="118" t="s">
        <v>255</v>
      </c>
      <c r="I67" s="799"/>
      <c r="J67" s="184" t="s">
        <v>256</v>
      </c>
      <c r="K67" s="162"/>
      <c r="L67" s="111"/>
      <c r="M67" s="803"/>
      <c r="N67" s="792"/>
      <c r="O67" s="805"/>
      <c r="P67" s="160"/>
      <c r="Q67" s="161"/>
      <c r="R67" s="136" t="s">
        <v>328</v>
      </c>
      <c r="S67" s="815"/>
      <c r="T67" s="220" t="s">
        <v>326</v>
      </c>
    </row>
    <row r="68" spans="1:20" ht="75" x14ac:dyDescent="0.25">
      <c r="A68" s="198"/>
      <c r="C68" s="99" t="s">
        <v>200</v>
      </c>
      <c r="D68" s="793"/>
      <c r="E68" s="197" t="s">
        <v>199</v>
      </c>
      <c r="F68" s="162"/>
      <c r="J68" s="173"/>
      <c r="K68" s="162"/>
      <c r="L68" s="111"/>
      <c r="M68" s="807"/>
      <c r="N68" s="792"/>
      <c r="O68" s="808"/>
      <c r="P68" s="160"/>
      <c r="Q68" s="161"/>
      <c r="R68" s="136" t="s">
        <v>329</v>
      </c>
      <c r="S68" s="815"/>
      <c r="T68" s="220" t="s">
        <v>326</v>
      </c>
    </row>
    <row r="69" spans="1:20" ht="45" x14ac:dyDescent="0.25">
      <c r="A69" s="198"/>
      <c r="C69" s="100"/>
      <c r="E69" s="176"/>
      <c r="F69" s="162"/>
      <c r="J69" s="173"/>
      <c r="K69" s="162"/>
      <c r="L69" s="111"/>
      <c r="M69" s="807"/>
      <c r="N69" s="792"/>
      <c r="O69" s="808"/>
      <c r="P69" s="160"/>
      <c r="Q69" s="161"/>
      <c r="R69" s="136" t="s">
        <v>330</v>
      </c>
      <c r="S69" s="815"/>
      <c r="T69" s="220" t="s">
        <v>326</v>
      </c>
    </row>
    <row r="70" spans="1:20" x14ac:dyDescent="0.25">
      <c r="A70" s="198"/>
      <c r="C70" s="100"/>
      <c r="E70" s="176"/>
      <c r="F70" s="162"/>
      <c r="J70" s="173"/>
      <c r="K70" s="162"/>
      <c r="L70" s="111"/>
      <c r="M70" s="807"/>
      <c r="N70" s="792"/>
      <c r="O70" s="808"/>
      <c r="P70" s="160"/>
      <c r="Q70" s="161"/>
      <c r="R70" s="103"/>
      <c r="S70" s="815"/>
      <c r="T70" s="159"/>
    </row>
    <row r="71" spans="1:20" ht="30" x14ac:dyDescent="0.25">
      <c r="A71" s="198"/>
      <c r="C71" s="100"/>
      <c r="E71" s="176"/>
      <c r="F71" s="162"/>
      <c r="J71" s="173"/>
      <c r="K71" s="162"/>
      <c r="L71" s="111"/>
      <c r="M71" s="807"/>
      <c r="N71" s="792"/>
      <c r="O71" s="808"/>
      <c r="P71" s="160"/>
      <c r="Q71" s="161"/>
      <c r="R71" s="136" t="s">
        <v>200</v>
      </c>
      <c r="S71" s="815"/>
      <c r="T71" s="220" t="s">
        <v>331</v>
      </c>
    </row>
    <row r="72" spans="1:20" ht="60" x14ac:dyDescent="0.25">
      <c r="A72" s="198"/>
      <c r="E72" s="176"/>
      <c r="F72" s="162"/>
      <c r="J72" s="173"/>
      <c r="K72" s="162"/>
      <c r="L72" s="111"/>
      <c r="M72" s="126" t="s">
        <v>286</v>
      </c>
      <c r="N72" s="792"/>
      <c r="O72" s="172" t="s">
        <v>287</v>
      </c>
      <c r="P72" s="157"/>
      <c r="Q72" s="102"/>
      <c r="R72" s="136" t="s">
        <v>286</v>
      </c>
      <c r="S72" s="815"/>
      <c r="T72" s="151" t="s">
        <v>332</v>
      </c>
    </row>
    <row r="73" spans="1:20" ht="75" x14ac:dyDescent="0.25">
      <c r="A73" s="198"/>
      <c r="E73" s="176"/>
      <c r="F73" s="162"/>
      <c r="J73" s="173"/>
      <c r="K73" s="162"/>
      <c r="L73" s="111"/>
      <c r="M73" s="126" t="s">
        <v>288</v>
      </c>
      <c r="N73" s="791"/>
      <c r="O73" s="172" t="s">
        <v>289</v>
      </c>
      <c r="P73" s="157"/>
      <c r="Q73" s="102"/>
      <c r="R73" s="136" t="s">
        <v>288</v>
      </c>
      <c r="S73" s="815"/>
      <c r="T73" s="149" t="s">
        <v>289</v>
      </c>
    </row>
    <row r="74" spans="1:20" ht="45" x14ac:dyDescent="0.25">
      <c r="A74" s="198"/>
      <c r="E74" s="176"/>
      <c r="F74" s="162"/>
      <c r="J74" s="173"/>
      <c r="K74" s="162"/>
      <c r="L74" s="111"/>
      <c r="M74" s="103"/>
      <c r="N74" s="130"/>
      <c r="O74" s="173"/>
      <c r="P74" s="157"/>
      <c r="Q74" s="102"/>
      <c r="R74" s="136" t="s">
        <v>333</v>
      </c>
      <c r="S74" s="816"/>
      <c r="T74" s="220" t="s">
        <v>334</v>
      </c>
    </row>
    <row r="75" spans="1:20" x14ac:dyDescent="0.25">
      <c r="A75" s="198"/>
      <c r="E75" s="176"/>
      <c r="F75" s="162"/>
      <c r="J75" s="173"/>
      <c r="K75" s="162"/>
      <c r="L75" s="111"/>
      <c r="M75" s="103"/>
      <c r="N75" s="130"/>
      <c r="O75" s="173"/>
      <c r="P75" s="157"/>
      <c r="Q75" s="102"/>
      <c r="R75" s="103"/>
      <c r="S75" s="110"/>
      <c r="T75" s="159"/>
    </row>
    <row r="76" spans="1:20" ht="45" x14ac:dyDescent="0.25">
      <c r="A76" s="198"/>
      <c r="E76" s="176"/>
      <c r="F76" s="162"/>
      <c r="J76" s="173"/>
      <c r="K76" s="162"/>
      <c r="L76" s="111"/>
      <c r="M76" s="126" t="s">
        <v>291</v>
      </c>
      <c r="N76" s="129">
        <v>5</v>
      </c>
      <c r="O76" s="172" t="s">
        <v>290</v>
      </c>
      <c r="P76" s="157"/>
      <c r="Q76" s="102"/>
      <c r="R76" s="133" t="s">
        <v>335</v>
      </c>
      <c r="S76" s="140">
        <v>5</v>
      </c>
      <c r="T76" s="158" t="s">
        <v>331</v>
      </c>
    </row>
    <row r="77" spans="1:20" x14ac:dyDescent="0.25">
      <c r="A77" s="198"/>
      <c r="E77" s="176"/>
      <c r="F77" s="162"/>
      <c r="J77" s="173"/>
      <c r="K77" s="162"/>
      <c r="L77" s="111"/>
      <c r="M77" s="103"/>
      <c r="N77" s="130"/>
      <c r="O77" s="173"/>
      <c r="P77" s="157"/>
      <c r="Q77" s="102"/>
      <c r="R77" s="103"/>
      <c r="S77" s="102"/>
      <c r="T77" s="159"/>
    </row>
    <row r="78" spans="1:20" ht="30" x14ac:dyDescent="0.25">
      <c r="A78" s="198"/>
      <c r="E78" s="176"/>
      <c r="F78" s="162"/>
      <c r="J78" s="173"/>
      <c r="K78" s="162"/>
      <c r="L78" s="111"/>
      <c r="M78" s="126" t="s">
        <v>292</v>
      </c>
      <c r="N78" s="790">
        <v>5</v>
      </c>
      <c r="O78" s="172" t="s">
        <v>293</v>
      </c>
      <c r="P78" s="157"/>
      <c r="Q78" s="102"/>
      <c r="R78" s="133" t="s">
        <v>292</v>
      </c>
      <c r="S78" s="814">
        <v>5</v>
      </c>
      <c r="T78" s="158" t="s">
        <v>331</v>
      </c>
    </row>
    <row r="79" spans="1:20" ht="30" x14ac:dyDescent="0.25">
      <c r="A79" s="198"/>
      <c r="E79" s="176"/>
      <c r="F79" s="162"/>
      <c r="J79" s="173"/>
      <c r="K79" s="162"/>
      <c r="L79" s="111"/>
      <c r="M79" s="126" t="s">
        <v>294</v>
      </c>
      <c r="N79" s="791"/>
      <c r="O79" s="172" t="s">
        <v>295</v>
      </c>
      <c r="P79" s="157"/>
      <c r="Q79" s="102"/>
      <c r="R79" s="133" t="s">
        <v>294</v>
      </c>
      <c r="S79" s="816"/>
      <c r="T79" s="158" t="s">
        <v>331</v>
      </c>
    </row>
    <row r="80" spans="1:20" x14ac:dyDescent="0.25">
      <c r="A80" s="198"/>
      <c r="E80" s="176"/>
      <c r="F80" s="162"/>
      <c r="J80" s="173"/>
      <c r="K80" s="162"/>
      <c r="L80" s="111"/>
      <c r="M80" s="103"/>
      <c r="N80" s="110"/>
      <c r="O80" s="173"/>
      <c r="P80" s="157"/>
      <c r="Q80" s="102"/>
      <c r="R80" s="103"/>
      <c r="S80" s="102"/>
      <c r="T80" s="159"/>
    </row>
    <row r="81" spans="1:20" ht="30" x14ac:dyDescent="0.25">
      <c r="A81" s="198"/>
      <c r="E81" s="176"/>
      <c r="F81" s="162"/>
      <c r="J81" s="173"/>
      <c r="K81" s="162"/>
      <c r="L81" s="111"/>
      <c r="M81" s="126" t="s">
        <v>296</v>
      </c>
      <c r="N81" s="129">
        <v>5</v>
      </c>
      <c r="O81" s="172" t="s">
        <v>297</v>
      </c>
      <c r="P81" s="157"/>
      <c r="Q81" s="102"/>
      <c r="R81" s="133" t="s">
        <v>296</v>
      </c>
      <c r="S81" s="140">
        <v>5</v>
      </c>
      <c r="T81" s="158" t="s">
        <v>331</v>
      </c>
    </row>
    <row r="82" spans="1:20" ht="60" x14ac:dyDescent="0.25">
      <c r="A82" s="199" t="s">
        <v>203</v>
      </c>
      <c r="C82" s="101" t="s">
        <v>201</v>
      </c>
      <c r="D82" s="108">
        <v>5</v>
      </c>
      <c r="E82" s="197" t="s">
        <v>202</v>
      </c>
      <c r="F82" s="162"/>
      <c r="J82" s="173"/>
      <c r="K82" s="162"/>
      <c r="L82" s="111"/>
      <c r="N82" s="130"/>
      <c r="O82" s="171"/>
      <c r="P82" s="148"/>
      <c r="R82" s="103"/>
      <c r="S82" s="102"/>
      <c r="T82" s="159"/>
    </row>
    <row r="83" spans="1:20" ht="45" x14ac:dyDescent="0.25">
      <c r="A83" s="198"/>
      <c r="E83" s="176"/>
      <c r="F83" s="162"/>
      <c r="J83" s="173"/>
      <c r="K83" s="162"/>
      <c r="L83" s="111"/>
      <c r="M83" s="124" t="s">
        <v>298</v>
      </c>
      <c r="N83" s="790">
        <v>5</v>
      </c>
      <c r="O83" s="175" t="s">
        <v>299</v>
      </c>
      <c r="P83" s="162"/>
      <c r="Q83" s="111"/>
      <c r="R83" s="135" t="s">
        <v>298</v>
      </c>
      <c r="S83" s="814">
        <v>5</v>
      </c>
      <c r="T83" s="158" t="s">
        <v>331</v>
      </c>
    </row>
    <row r="84" spans="1:20" ht="45" x14ac:dyDescent="0.25">
      <c r="A84" s="198"/>
      <c r="E84" s="176"/>
      <c r="F84" s="162"/>
      <c r="J84" s="173"/>
      <c r="K84" s="162"/>
      <c r="L84" s="111"/>
      <c r="M84" s="124" t="s">
        <v>300</v>
      </c>
      <c r="N84" s="792"/>
      <c r="O84" s="175" t="s">
        <v>301</v>
      </c>
      <c r="P84" s="162"/>
      <c r="Q84" s="111"/>
      <c r="R84" s="135" t="s">
        <v>300</v>
      </c>
      <c r="S84" s="815"/>
      <c r="T84" s="158" t="s">
        <v>331</v>
      </c>
    </row>
    <row r="85" spans="1:20" ht="60" x14ac:dyDescent="0.25">
      <c r="A85" s="198"/>
      <c r="E85" s="176"/>
      <c r="F85" s="162"/>
      <c r="J85" s="173"/>
      <c r="K85" s="162"/>
      <c r="L85" s="111"/>
      <c r="M85" s="124" t="s">
        <v>302</v>
      </c>
      <c r="N85" s="791"/>
      <c r="O85" s="175" t="s">
        <v>303</v>
      </c>
      <c r="P85" s="162"/>
      <c r="Q85" s="111"/>
      <c r="R85" s="135" t="s">
        <v>302</v>
      </c>
      <c r="S85" s="816"/>
      <c r="T85" s="158" t="s">
        <v>331</v>
      </c>
    </row>
    <row r="86" spans="1:20" ht="15.75" thickBot="1" x14ac:dyDescent="0.3">
      <c r="A86" s="200"/>
      <c r="B86" s="201"/>
      <c r="C86" s="187"/>
      <c r="D86" s="202">
        <f>SUM(D82+D66+D44+D32+D27+D21+D18+D14+D6)</f>
        <v>100</v>
      </c>
      <c r="E86" s="178"/>
      <c r="F86" s="163"/>
      <c r="G86" s="186"/>
      <c r="H86" s="187"/>
      <c r="I86" s="186">
        <f>SUM(I63+I59+I44+I37+I32+I19)</f>
        <v>100</v>
      </c>
      <c r="J86" s="188"/>
      <c r="K86" s="163"/>
      <c r="L86" s="164"/>
      <c r="M86" s="177"/>
      <c r="N86" s="164">
        <f>SUM(N83+N81+N78+N76+N62+N59+N53+N51+N44+N37+N32+N20)</f>
        <v>100</v>
      </c>
      <c r="O86" s="178"/>
      <c r="P86" s="163"/>
      <c r="Q86" s="164"/>
      <c r="R86" s="165"/>
      <c r="S86" s="166">
        <f>SUM(S83+S81+S78+S76+S71+S62+S59+S53+S51+S45+S37+S32+S20+S14+S6)</f>
        <v>100</v>
      </c>
      <c r="T86" s="167"/>
    </row>
    <row r="87" spans="1:20" ht="15.75" thickBot="1" x14ac:dyDescent="0.3">
      <c r="A87" s="780" t="s">
        <v>134</v>
      </c>
      <c r="B87" s="781"/>
      <c r="C87" s="781"/>
      <c r="D87" s="781"/>
      <c r="E87" s="781"/>
      <c r="F87" s="781"/>
      <c r="G87" s="781"/>
      <c r="H87" s="781"/>
      <c r="I87" s="781"/>
      <c r="J87" s="781"/>
      <c r="K87" s="781"/>
      <c r="L87" s="781"/>
      <c r="M87" s="781"/>
      <c r="N87" s="781"/>
      <c r="O87" s="781"/>
      <c r="P87" s="781"/>
      <c r="Q87" s="781"/>
      <c r="R87" s="781"/>
      <c r="S87" s="781"/>
      <c r="T87" s="781"/>
    </row>
    <row r="88" spans="1:20" x14ac:dyDescent="0.25">
      <c r="A88" s="70"/>
      <c r="B88" s="204"/>
      <c r="C88" s="205" t="s">
        <v>133</v>
      </c>
      <c r="D88" s="206">
        <v>15</v>
      </c>
      <c r="E88" s="207"/>
      <c r="F88" s="209"/>
      <c r="G88" s="210"/>
      <c r="H88" s="211"/>
      <c r="I88" s="210"/>
      <c r="J88" s="207"/>
      <c r="K88" s="209"/>
      <c r="L88" s="210"/>
      <c r="M88" s="211"/>
      <c r="N88" s="210"/>
      <c r="O88" s="207"/>
      <c r="P88" s="209"/>
      <c r="Q88" s="210"/>
      <c r="R88" s="213" t="s">
        <v>133</v>
      </c>
      <c r="S88" s="210">
        <v>10</v>
      </c>
      <c r="T88" s="214"/>
    </row>
    <row r="89" spans="1:20" ht="45" x14ac:dyDescent="0.25">
      <c r="A89" s="72"/>
      <c r="C89" s="95" t="s">
        <v>132</v>
      </c>
      <c r="E89" s="171"/>
      <c r="F89" s="148"/>
      <c r="J89" s="171"/>
      <c r="K89" s="148"/>
      <c r="O89" s="171"/>
      <c r="P89" s="148"/>
      <c r="R89" s="95" t="s">
        <v>131</v>
      </c>
      <c r="T89" s="145"/>
    </row>
    <row r="90" spans="1:20" ht="30" x14ac:dyDescent="0.25">
      <c r="A90" s="72"/>
      <c r="C90" s="95" t="s">
        <v>130</v>
      </c>
      <c r="E90" s="171"/>
      <c r="F90" s="148"/>
      <c r="J90" s="171"/>
      <c r="K90" s="148"/>
      <c r="O90" s="171"/>
      <c r="P90" s="148"/>
      <c r="R90" s="95" t="s">
        <v>130</v>
      </c>
      <c r="T90" s="145"/>
    </row>
    <row r="91" spans="1:20" x14ac:dyDescent="0.25">
      <c r="A91" s="72"/>
      <c r="C91" s="95" t="s">
        <v>129</v>
      </c>
      <c r="E91" s="171"/>
      <c r="F91" s="148"/>
      <c r="J91" s="171"/>
      <c r="K91" s="148"/>
      <c r="O91" s="171"/>
      <c r="P91" s="148"/>
      <c r="R91" s="95" t="s">
        <v>129</v>
      </c>
      <c r="T91" s="145"/>
    </row>
    <row r="92" spans="1:20" x14ac:dyDescent="0.25">
      <c r="A92" s="72"/>
      <c r="C92" s="95" t="s">
        <v>128</v>
      </c>
      <c r="E92" s="171"/>
      <c r="F92" s="148"/>
      <c r="J92" s="171"/>
      <c r="K92" s="148"/>
      <c r="O92" s="171"/>
      <c r="P92" s="148"/>
      <c r="R92" s="95" t="s">
        <v>128</v>
      </c>
      <c r="T92" s="145"/>
    </row>
    <row r="93" spans="1:20" x14ac:dyDescent="0.25">
      <c r="A93" s="72"/>
      <c r="C93" s="95" t="s">
        <v>127</v>
      </c>
      <c r="E93" s="171"/>
      <c r="F93" s="148"/>
      <c r="J93" s="171"/>
      <c r="K93" s="148"/>
      <c r="O93" s="171"/>
      <c r="P93" s="148"/>
      <c r="R93" s="95" t="s">
        <v>127</v>
      </c>
      <c r="T93" s="145"/>
    </row>
    <row r="94" spans="1:20" x14ac:dyDescent="0.25">
      <c r="A94" s="72"/>
      <c r="E94" s="171"/>
      <c r="F94" s="148"/>
      <c r="J94" s="171"/>
      <c r="K94" s="148"/>
      <c r="O94" s="171"/>
      <c r="P94" s="148"/>
      <c r="T94" s="145"/>
    </row>
    <row r="95" spans="1:20" x14ac:dyDescent="0.25">
      <c r="A95" s="72"/>
      <c r="C95" s="95" t="s">
        <v>126</v>
      </c>
      <c r="D95" s="110">
        <v>15</v>
      </c>
      <c r="E95" s="171"/>
      <c r="F95" s="148"/>
      <c r="J95" s="171"/>
      <c r="K95" s="148"/>
      <c r="O95" s="171"/>
      <c r="P95" s="148"/>
      <c r="R95" s="95" t="s">
        <v>126</v>
      </c>
      <c r="S95" s="93">
        <v>10</v>
      </c>
      <c r="T95" s="145"/>
    </row>
    <row r="96" spans="1:20" ht="30" x14ac:dyDescent="0.25">
      <c r="A96" s="72"/>
      <c r="C96" s="95" t="s">
        <v>125</v>
      </c>
      <c r="E96" s="171"/>
      <c r="F96" s="148"/>
      <c r="J96" s="171"/>
      <c r="K96" s="148"/>
      <c r="O96" s="171"/>
      <c r="P96" s="148"/>
      <c r="R96" s="95" t="s">
        <v>125</v>
      </c>
      <c r="T96" s="145"/>
    </row>
    <row r="97" spans="1:20" ht="60" x14ac:dyDescent="0.25">
      <c r="A97" s="72"/>
      <c r="C97" s="98" t="s">
        <v>124</v>
      </c>
      <c r="E97" s="171"/>
      <c r="F97" s="148"/>
      <c r="J97" s="171"/>
      <c r="K97" s="148"/>
      <c r="O97" s="171"/>
      <c r="P97" s="148"/>
      <c r="R97" s="98" t="s">
        <v>123</v>
      </c>
      <c r="T97" s="145"/>
    </row>
    <row r="98" spans="1:20" x14ac:dyDescent="0.25">
      <c r="A98" s="72"/>
      <c r="E98" s="171"/>
      <c r="F98" s="148"/>
      <c r="J98" s="171"/>
      <c r="K98" s="148"/>
      <c r="O98" s="171"/>
      <c r="P98" s="148"/>
      <c r="T98" s="145"/>
    </row>
    <row r="99" spans="1:20" x14ac:dyDescent="0.25">
      <c r="A99" s="72"/>
      <c r="C99" s="95" t="s">
        <v>122</v>
      </c>
      <c r="D99" s="110">
        <v>5</v>
      </c>
      <c r="E99" s="171"/>
      <c r="F99" s="148"/>
      <c r="J99" s="171"/>
      <c r="K99" s="148"/>
      <c r="O99" s="171"/>
      <c r="P99" s="148"/>
      <c r="T99" s="145"/>
    </row>
    <row r="100" spans="1:20" x14ac:dyDescent="0.25">
      <c r="A100" s="72"/>
      <c r="C100" s="95" t="s">
        <v>121</v>
      </c>
      <c r="E100" s="171"/>
      <c r="F100" s="148"/>
      <c r="J100" s="171"/>
      <c r="K100" s="148"/>
      <c r="O100" s="171"/>
      <c r="P100" s="148"/>
      <c r="T100" s="145"/>
    </row>
    <row r="101" spans="1:20" x14ac:dyDescent="0.25">
      <c r="A101" s="72"/>
      <c r="E101" s="171"/>
      <c r="F101" s="148"/>
      <c r="J101" s="171"/>
      <c r="K101" s="148"/>
      <c r="O101" s="171"/>
      <c r="P101" s="148"/>
      <c r="T101" s="145"/>
    </row>
    <row r="102" spans="1:20" ht="45" x14ac:dyDescent="0.25">
      <c r="A102" s="72"/>
      <c r="C102" s="95" t="s">
        <v>120</v>
      </c>
      <c r="D102" s="110">
        <v>25</v>
      </c>
      <c r="E102" s="171"/>
      <c r="F102" s="148"/>
      <c r="H102" s="95" t="s">
        <v>116</v>
      </c>
      <c r="I102" s="93">
        <v>15</v>
      </c>
      <c r="J102" s="171"/>
      <c r="K102" s="148"/>
      <c r="O102" s="171"/>
      <c r="P102" s="148"/>
      <c r="R102" s="95" t="s">
        <v>119</v>
      </c>
      <c r="S102" s="93">
        <v>10</v>
      </c>
      <c r="T102" s="145"/>
    </row>
    <row r="103" spans="1:20" ht="30" x14ac:dyDescent="0.25">
      <c r="A103" s="72"/>
      <c r="C103" s="95" t="s">
        <v>116</v>
      </c>
      <c r="E103" s="171"/>
      <c r="F103" s="148"/>
      <c r="H103" s="95" t="s">
        <v>118</v>
      </c>
      <c r="J103" s="171"/>
      <c r="K103" s="148"/>
      <c r="M103" s="97" t="s">
        <v>117</v>
      </c>
      <c r="N103" s="93">
        <v>15</v>
      </c>
      <c r="O103" s="171"/>
      <c r="P103" s="148"/>
      <c r="R103" s="95" t="s">
        <v>116</v>
      </c>
      <c r="T103" s="145"/>
    </row>
    <row r="104" spans="1:20" ht="30" x14ac:dyDescent="0.25">
      <c r="A104" s="72"/>
      <c r="C104" s="95" t="s">
        <v>114</v>
      </c>
      <c r="E104" s="171"/>
      <c r="F104" s="148"/>
      <c r="H104" s="95" t="s">
        <v>113</v>
      </c>
      <c r="J104" s="171"/>
      <c r="K104" s="148"/>
      <c r="O104" s="171"/>
      <c r="P104" s="148"/>
      <c r="R104" s="95" t="s">
        <v>115</v>
      </c>
      <c r="T104" s="145"/>
    </row>
    <row r="105" spans="1:20" ht="30" x14ac:dyDescent="0.25">
      <c r="A105" s="72"/>
      <c r="E105" s="171"/>
      <c r="F105" s="148"/>
      <c r="H105" s="95" t="s">
        <v>112</v>
      </c>
      <c r="J105" s="171"/>
      <c r="K105" s="148"/>
      <c r="O105" s="171"/>
      <c r="P105" s="148"/>
      <c r="R105" s="95" t="s">
        <v>114</v>
      </c>
      <c r="T105" s="145"/>
    </row>
    <row r="106" spans="1:20" ht="30" x14ac:dyDescent="0.25">
      <c r="A106" s="72"/>
      <c r="E106" s="171"/>
      <c r="F106" s="148"/>
      <c r="H106" s="95" t="s">
        <v>110</v>
      </c>
      <c r="J106" s="171"/>
      <c r="K106" s="148"/>
      <c r="O106" s="171"/>
      <c r="P106" s="148"/>
      <c r="R106" s="95" t="s">
        <v>113</v>
      </c>
      <c r="T106" s="145"/>
    </row>
    <row r="107" spans="1:20" ht="30" x14ac:dyDescent="0.25">
      <c r="A107" s="72"/>
      <c r="E107" s="171"/>
      <c r="F107" s="148"/>
      <c r="J107" s="171"/>
      <c r="K107" s="148"/>
      <c r="O107" s="171"/>
      <c r="P107" s="148"/>
      <c r="R107" s="95" t="s">
        <v>112</v>
      </c>
      <c r="T107" s="145"/>
    </row>
    <row r="108" spans="1:20" x14ac:dyDescent="0.25">
      <c r="A108" s="72"/>
      <c r="C108" s="95" t="s">
        <v>111</v>
      </c>
      <c r="D108" s="110">
        <v>15</v>
      </c>
      <c r="E108" s="171"/>
      <c r="F108" s="148"/>
      <c r="J108" s="171"/>
      <c r="K108" s="148"/>
      <c r="O108" s="171"/>
      <c r="P108" s="148"/>
      <c r="R108" s="95" t="s">
        <v>110</v>
      </c>
      <c r="T108" s="145"/>
    </row>
    <row r="109" spans="1:20" x14ac:dyDescent="0.25">
      <c r="A109" s="72"/>
      <c r="C109" s="95" t="s">
        <v>109</v>
      </c>
      <c r="E109" s="171"/>
      <c r="F109" s="148"/>
      <c r="J109" s="171"/>
      <c r="K109" s="148"/>
      <c r="O109" s="171"/>
      <c r="P109" s="148"/>
      <c r="T109" s="145"/>
    </row>
    <row r="110" spans="1:20" ht="30" x14ac:dyDescent="0.25">
      <c r="A110" s="72"/>
      <c r="C110" s="95" t="s">
        <v>108</v>
      </c>
      <c r="E110" s="171"/>
      <c r="F110" s="148"/>
      <c r="J110" s="171"/>
      <c r="K110" s="148"/>
      <c r="O110" s="171"/>
      <c r="P110" s="148"/>
      <c r="T110" s="145"/>
    </row>
    <row r="111" spans="1:20" ht="30" x14ac:dyDescent="0.25">
      <c r="A111" s="72"/>
      <c r="C111" s="96" t="s">
        <v>107</v>
      </c>
      <c r="E111" s="171"/>
      <c r="F111" s="148"/>
      <c r="J111" s="171"/>
      <c r="K111" s="148"/>
      <c r="O111" s="171"/>
      <c r="P111" s="148"/>
      <c r="T111" s="145"/>
    </row>
    <row r="112" spans="1:20" x14ac:dyDescent="0.25">
      <c r="A112" s="72"/>
      <c r="E112" s="171"/>
      <c r="F112" s="148"/>
      <c r="J112" s="171"/>
      <c r="K112" s="148"/>
      <c r="O112" s="171"/>
      <c r="P112" s="148"/>
      <c r="T112" s="145"/>
    </row>
    <row r="113" spans="1:20" ht="30" x14ac:dyDescent="0.25">
      <c r="A113" s="72"/>
      <c r="E113" s="171"/>
      <c r="F113" s="148"/>
      <c r="H113" s="95" t="s">
        <v>106</v>
      </c>
      <c r="I113" s="93">
        <v>25</v>
      </c>
      <c r="J113" s="171"/>
      <c r="K113" s="148"/>
      <c r="M113" s="95" t="s">
        <v>106</v>
      </c>
      <c r="N113" s="93">
        <v>15</v>
      </c>
      <c r="O113" s="171"/>
      <c r="P113" s="148"/>
      <c r="R113" s="95" t="s">
        <v>106</v>
      </c>
      <c r="S113" s="93">
        <v>15</v>
      </c>
      <c r="T113" s="145"/>
    </row>
    <row r="114" spans="1:20" x14ac:dyDescent="0.25">
      <c r="A114" s="72"/>
      <c r="E114" s="171"/>
      <c r="F114" s="148"/>
      <c r="H114" s="95" t="s">
        <v>105</v>
      </c>
      <c r="J114" s="171"/>
      <c r="K114" s="148"/>
      <c r="M114" s="95" t="s">
        <v>105</v>
      </c>
      <c r="O114" s="171"/>
      <c r="P114" s="148"/>
      <c r="R114" s="95" t="s">
        <v>105</v>
      </c>
      <c r="T114" s="145"/>
    </row>
    <row r="115" spans="1:20" ht="30" x14ac:dyDescent="0.25">
      <c r="A115" s="72"/>
      <c r="E115" s="171"/>
      <c r="F115" s="148"/>
      <c r="H115" s="95" t="s">
        <v>104</v>
      </c>
      <c r="J115" s="171"/>
      <c r="K115" s="148"/>
      <c r="M115" s="95" t="s">
        <v>104</v>
      </c>
      <c r="O115" s="171"/>
      <c r="P115" s="148"/>
      <c r="R115" s="95" t="s">
        <v>104</v>
      </c>
      <c r="T115" s="145"/>
    </row>
    <row r="116" spans="1:20" ht="30" x14ac:dyDescent="0.25">
      <c r="A116" s="72"/>
      <c r="E116" s="171"/>
      <c r="F116" s="148"/>
      <c r="H116" s="96" t="s">
        <v>103</v>
      </c>
      <c r="J116" s="171"/>
      <c r="K116" s="148"/>
      <c r="M116" s="95" t="s">
        <v>103</v>
      </c>
      <c r="O116" s="171"/>
      <c r="P116" s="148"/>
      <c r="R116" s="95" t="s">
        <v>103</v>
      </c>
      <c r="T116" s="145"/>
    </row>
    <row r="117" spans="1:20" x14ac:dyDescent="0.25">
      <c r="A117" s="72"/>
      <c r="E117" s="171"/>
      <c r="F117" s="148"/>
      <c r="H117" s="96" t="s">
        <v>102</v>
      </c>
      <c r="J117" s="171"/>
      <c r="K117" s="148"/>
      <c r="M117" s="95" t="s">
        <v>101</v>
      </c>
      <c r="O117" s="171"/>
      <c r="P117" s="148"/>
      <c r="R117" s="95" t="s">
        <v>101</v>
      </c>
      <c r="T117" s="145"/>
    </row>
    <row r="118" spans="1:20" x14ac:dyDescent="0.25">
      <c r="A118" s="72"/>
      <c r="E118" s="171"/>
      <c r="F118" s="148"/>
      <c r="J118" s="171"/>
      <c r="K118" s="148"/>
      <c r="O118" s="171"/>
      <c r="P118" s="148"/>
      <c r="T118" s="145"/>
    </row>
    <row r="119" spans="1:20" x14ac:dyDescent="0.25">
      <c r="A119" s="72"/>
      <c r="B119" s="782" t="s">
        <v>100</v>
      </c>
      <c r="C119" s="95" t="s">
        <v>98</v>
      </c>
      <c r="D119" s="110">
        <v>10</v>
      </c>
      <c r="E119" s="171"/>
      <c r="F119" s="148"/>
      <c r="G119" s="782" t="s">
        <v>99</v>
      </c>
      <c r="H119" s="96" t="s">
        <v>98</v>
      </c>
      <c r="I119" s="93">
        <v>25</v>
      </c>
      <c r="J119" s="171"/>
      <c r="K119" s="148"/>
      <c r="M119" s="95" t="s">
        <v>98</v>
      </c>
      <c r="N119" s="93">
        <v>20</v>
      </c>
      <c r="O119" s="171"/>
      <c r="P119" s="148"/>
      <c r="R119" s="95" t="s">
        <v>98</v>
      </c>
      <c r="S119" s="93">
        <v>15</v>
      </c>
      <c r="T119" s="145"/>
    </row>
    <row r="120" spans="1:20" ht="30" x14ac:dyDescent="0.25">
      <c r="A120" s="72"/>
      <c r="B120" s="783"/>
      <c r="C120" s="95" t="s">
        <v>95</v>
      </c>
      <c r="E120" s="171"/>
      <c r="F120" s="148"/>
      <c r="G120" s="783"/>
      <c r="H120" s="96" t="s">
        <v>97</v>
      </c>
      <c r="J120" s="171"/>
      <c r="K120" s="148"/>
      <c r="M120" s="95" t="s">
        <v>96</v>
      </c>
      <c r="O120" s="171"/>
      <c r="P120" s="148"/>
      <c r="R120" s="95" t="s">
        <v>95</v>
      </c>
      <c r="T120" s="145"/>
    </row>
    <row r="121" spans="1:20" ht="30" x14ac:dyDescent="0.25">
      <c r="A121" s="72"/>
      <c r="B121" s="783"/>
      <c r="C121" s="95" t="s">
        <v>94</v>
      </c>
      <c r="E121" s="171"/>
      <c r="F121" s="148"/>
      <c r="G121" s="783"/>
      <c r="H121" s="96" t="s">
        <v>94</v>
      </c>
      <c r="J121" s="171"/>
      <c r="K121" s="148"/>
      <c r="M121" s="95" t="s">
        <v>94</v>
      </c>
      <c r="O121" s="171"/>
      <c r="P121" s="148"/>
      <c r="R121" s="95" t="s">
        <v>94</v>
      </c>
      <c r="T121" s="145"/>
    </row>
    <row r="122" spans="1:20" ht="30" x14ac:dyDescent="0.25">
      <c r="A122" s="72"/>
      <c r="B122" s="783"/>
      <c r="C122" s="95" t="s">
        <v>93</v>
      </c>
      <c r="E122" s="171"/>
      <c r="F122" s="148"/>
      <c r="G122" s="783"/>
      <c r="H122" s="96" t="s">
        <v>93</v>
      </c>
      <c r="J122" s="171"/>
      <c r="K122" s="148"/>
      <c r="M122" s="95" t="s">
        <v>93</v>
      </c>
      <c r="O122" s="171"/>
      <c r="P122" s="148"/>
      <c r="R122" s="95" t="s">
        <v>93</v>
      </c>
      <c r="T122" s="145"/>
    </row>
    <row r="123" spans="1:20" ht="30" x14ac:dyDescent="0.25">
      <c r="A123" s="72"/>
      <c r="B123" s="783"/>
      <c r="C123" s="95" t="s">
        <v>92</v>
      </c>
      <c r="E123" s="171"/>
      <c r="F123" s="148"/>
      <c r="G123" s="783"/>
      <c r="H123" s="96" t="s">
        <v>92</v>
      </c>
      <c r="J123" s="171"/>
      <c r="K123" s="148"/>
      <c r="M123" s="95" t="s">
        <v>92</v>
      </c>
      <c r="O123" s="171"/>
      <c r="P123" s="148"/>
      <c r="R123" s="95" t="s">
        <v>92</v>
      </c>
      <c r="T123" s="145"/>
    </row>
    <row r="124" spans="1:20" x14ac:dyDescent="0.25">
      <c r="A124" s="72"/>
      <c r="B124" s="783"/>
      <c r="C124" s="95" t="s">
        <v>91</v>
      </c>
      <c r="E124" s="171"/>
      <c r="F124" s="148"/>
      <c r="G124" s="783"/>
      <c r="H124" s="96" t="s">
        <v>91</v>
      </c>
      <c r="J124" s="171"/>
      <c r="K124" s="148"/>
      <c r="M124" s="95" t="s">
        <v>91</v>
      </c>
      <c r="O124" s="171"/>
      <c r="P124" s="148"/>
      <c r="R124" s="95" t="s">
        <v>91</v>
      </c>
      <c r="T124" s="145"/>
    </row>
    <row r="125" spans="1:20" x14ac:dyDescent="0.25">
      <c r="A125" s="72"/>
      <c r="E125" s="171"/>
      <c r="F125" s="148"/>
      <c r="J125" s="171"/>
      <c r="K125" s="148"/>
      <c r="O125" s="171"/>
      <c r="P125" s="148"/>
      <c r="T125" s="145"/>
    </row>
    <row r="126" spans="1:20" x14ac:dyDescent="0.25">
      <c r="A126" s="72"/>
      <c r="B126" s="782" t="s">
        <v>90</v>
      </c>
      <c r="C126" s="95" t="s">
        <v>89</v>
      </c>
      <c r="D126" s="110">
        <v>10</v>
      </c>
      <c r="E126" s="171"/>
      <c r="F126" s="148"/>
      <c r="G126" s="782" t="s">
        <v>90</v>
      </c>
      <c r="H126" s="95" t="s">
        <v>89</v>
      </c>
      <c r="I126" s="93">
        <v>15</v>
      </c>
      <c r="J126" s="171"/>
      <c r="K126" s="148"/>
      <c r="M126" s="95" t="s">
        <v>89</v>
      </c>
      <c r="N126" s="93">
        <v>10</v>
      </c>
      <c r="O126" s="171"/>
      <c r="P126" s="148"/>
      <c r="R126" s="95" t="s">
        <v>89</v>
      </c>
      <c r="S126" s="93">
        <v>10</v>
      </c>
      <c r="T126" s="145"/>
    </row>
    <row r="127" spans="1:20" ht="30" x14ac:dyDescent="0.25">
      <c r="A127" s="72"/>
      <c r="B127" s="782"/>
      <c r="C127" s="95" t="s">
        <v>88</v>
      </c>
      <c r="E127" s="171"/>
      <c r="F127" s="148"/>
      <c r="G127" s="782"/>
      <c r="H127" s="95" t="s">
        <v>88</v>
      </c>
      <c r="J127" s="171"/>
      <c r="K127" s="148"/>
      <c r="M127" s="95" t="s">
        <v>88</v>
      </c>
      <c r="O127" s="171"/>
      <c r="P127" s="148"/>
      <c r="R127" s="95" t="s">
        <v>88</v>
      </c>
      <c r="T127" s="145"/>
    </row>
    <row r="128" spans="1:20" x14ac:dyDescent="0.25">
      <c r="A128" s="72"/>
      <c r="B128" s="782"/>
      <c r="C128" s="95" t="s">
        <v>87</v>
      </c>
      <c r="E128" s="171"/>
      <c r="F128" s="148"/>
      <c r="G128" s="782"/>
      <c r="H128" s="95" t="s">
        <v>87</v>
      </c>
      <c r="J128" s="171"/>
      <c r="K128" s="148"/>
      <c r="M128" s="95" t="s">
        <v>87</v>
      </c>
      <c r="O128" s="171"/>
      <c r="P128" s="148"/>
      <c r="R128" s="95" t="s">
        <v>87</v>
      </c>
      <c r="T128" s="145"/>
    </row>
    <row r="129" spans="1:20" x14ac:dyDescent="0.25">
      <c r="A129" s="72"/>
      <c r="B129" s="782"/>
      <c r="C129" s="95" t="s">
        <v>86</v>
      </c>
      <c r="E129" s="171"/>
      <c r="F129" s="148"/>
      <c r="G129" s="782"/>
      <c r="H129" s="95" t="s">
        <v>86</v>
      </c>
      <c r="J129" s="171"/>
      <c r="K129" s="148"/>
      <c r="M129" s="95" t="s">
        <v>86</v>
      </c>
      <c r="O129" s="171"/>
      <c r="P129" s="148"/>
      <c r="R129" s="95" t="s">
        <v>86</v>
      </c>
      <c r="T129" s="145"/>
    </row>
    <row r="130" spans="1:20" x14ac:dyDescent="0.25">
      <c r="A130" s="72"/>
      <c r="E130" s="171"/>
      <c r="F130" s="148"/>
      <c r="J130" s="171"/>
      <c r="K130" s="148"/>
      <c r="O130" s="171"/>
      <c r="P130" s="148"/>
      <c r="T130" s="145"/>
    </row>
    <row r="131" spans="1:20" x14ac:dyDescent="0.25">
      <c r="A131" s="72"/>
      <c r="E131" s="171"/>
      <c r="F131" s="148"/>
      <c r="H131" s="95" t="s">
        <v>85</v>
      </c>
      <c r="I131" s="93">
        <v>5</v>
      </c>
      <c r="J131" s="171"/>
      <c r="K131" s="148"/>
      <c r="O131" s="171"/>
      <c r="P131" s="148"/>
      <c r="T131" s="145"/>
    </row>
    <row r="132" spans="1:20" x14ac:dyDescent="0.25">
      <c r="A132" s="72"/>
      <c r="E132" s="171"/>
      <c r="F132" s="148"/>
      <c r="H132" s="95" t="s">
        <v>84</v>
      </c>
      <c r="J132" s="171"/>
      <c r="K132" s="148"/>
      <c r="O132" s="171"/>
      <c r="P132" s="148"/>
      <c r="T132" s="145"/>
    </row>
    <row r="133" spans="1:20" x14ac:dyDescent="0.25">
      <c r="A133" s="72"/>
      <c r="E133" s="171"/>
      <c r="F133" s="148"/>
      <c r="J133" s="171"/>
      <c r="K133" s="148"/>
      <c r="O133" s="171"/>
      <c r="P133" s="148"/>
      <c r="T133" s="145"/>
    </row>
    <row r="134" spans="1:20" ht="30" x14ac:dyDescent="0.25">
      <c r="A134" s="72"/>
      <c r="C134" s="95" t="s">
        <v>83</v>
      </c>
      <c r="D134" s="110">
        <v>5</v>
      </c>
      <c r="E134" s="171"/>
      <c r="F134" s="148"/>
      <c r="H134" s="95" t="s">
        <v>83</v>
      </c>
      <c r="I134" s="93">
        <v>15</v>
      </c>
      <c r="J134" s="171"/>
      <c r="K134" s="148"/>
      <c r="O134" s="171"/>
      <c r="P134" s="148"/>
      <c r="T134" s="145"/>
    </row>
    <row r="135" spans="1:20" x14ac:dyDescent="0.25">
      <c r="A135" s="72"/>
      <c r="C135" s="95" t="s">
        <v>82</v>
      </c>
      <c r="E135" s="171"/>
      <c r="F135" s="148"/>
      <c r="H135" s="95" t="s">
        <v>82</v>
      </c>
      <c r="J135" s="171"/>
      <c r="K135" s="148"/>
      <c r="O135" s="171"/>
      <c r="P135" s="148"/>
      <c r="T135" s="145"/>
    </row>
    <row r="136" spans="1:20" x14ac:dyDescent="0.25">
      <c r="A136" s="72"/>
      <c r="C136" s="95" t="s">
        <v>81</v>
      </c>
      <c r="E136" s="171"/>
      <c r="F136" s="148"/>
      <c r="H136" s="95" t="s">
        <v>81</v>
      </c>
      <c r="J136" s="171"/>
      <c r="K136" s="148"/>
      <c r="O136" s="171"/>
      <c r="P136" s="148"/>
      <c r="T136" s="145"/>
    </row>
    <row r="137" spans="1:20" ht="30" x14ac:dyDescent="0.25">
      <c r="A137" s="72"/>
      <c r="C137" s="95" t="s">
        <v>80</v>
      </c>
      <c r="E137" s="171"/>
      <c r="F137" s="148"/>
      <c r="H137" s="95" t="s">
        <v>80</v>
      </c>
      <c r="J137" s="171"/>
      <c r="K137" s="148"/>
      <c r="O137" s="171"/>
      <c r="P137" s="148"/>
      <c r="T137" s="145"/>
    </row>
    <row r="138" spans="1:20" x14ac:dyDescent="0.25">
      <c r="A138" s="72"/>
      <c r="C138" s="95" t="s">
        <v>79</v>
      </c>
      <c r="E138" s="171"/>
      <c r="F138" s="148"/>
      <c r="H138" s="95" t="s">
        <v>78</v>
      </c>
      <c r="J138" s="171"/>
      <c r="K138" s="148"/>
      <c r="O138" s="171"/>
      <c r="P138" s="148"/>
      <c r="T138" s="145"/>
    </row>
    <row r="139" spans="1:20" x14ac:dyDescent="0.25">
      <c r="A139" s="72"/>
      <c r="E139" s="171"/>
      <c r="F139" s="148"/>
      <c r="J139" s="171"/>
      <c r="K139" s="148"/>
      <c r="O139" s="171"/>
      <c r="P139" s="148"/>
      <c r="T139" s="145"/>
    </row>
    <row r="140" spans="1:20" ht="30" x14ac:dyDescent="0.25">
      <c r="A140" s="72"/>
      <c r="E140" s="171"/>
      <c r="F140" s="148"/>
      <c r="J140" s="171"/>
      <c r="K140" s="148"/>
      <c r="M140" s="95" t="s">
        <v>77</v>
      </c>
      <c r="N140" s="93">
        <v>15</v>
      </c>
      <c r="O140" s="171"/>
      <c r="P140" s="148"/>
      <c r="R140" s="95" t="s">
        <v>77</v>
      </c>
      <c r="S140" s="93">
        <v>10</v>
      </c>
      <c r="T140" s="145"/>
    </row>
    <row r="141" spans="1:20" ht="30" x14ac:dyDescent="0.25">
      <c r="A141" s="72"/>
      <c r="E141" s="171"/>
      <c r="F141" s="148"/>
      <c r="J141" s="171"/>
      <c r="K141" s="148"/>
      <c r="M141" s="95" t="s">
        <v>76</v>
      </c>
      <c r="O141" s="171"/>
      <c r="P141" s="148"/>
      <c r="R141" s="95" t="s">
        <v>76</v>
      </c>
      <c r="T141" s="145"/>
    </row>
    <row r="142" spans="1:20" ht="30" x14ac:dyDescent="0.25">
      <c r="A142" s="72"/>
      <c r="E142" s="171"/>
      <c r="F142" s="148"/>
      <c r="J142" s="171"/>
      <c r="K142" s="148"/>
      <c r="M142" s="95" t="s">
        <v>75</v>
      </c>
      <c r="O142" s="171"/>
      <c r="P142" s="148"/>
      <c r="R142" s="95" t="s">
        <v>75</v>
      </c>
      <c r="T142" s="145"/>
    </row>
    <row r="143" spans="1:20" ht="30" x14ac:dyDescent="0.25">
      <c r="A143" s="72"/>
      <c r="E143" s="171"/>
      <c r="F143" s="148"/>
      <c r="J143" s="171"/>
      <c r="K143" s="148"/>
      <c r="M143" s="95" t="s">
        <v>74</v>
      </c>
      <c r="O143" s="171"/>
      <c r="P143" s="148"/>
      <c r="R143" s="95" t="s">
        <v>74</v>
      </c>
      <c r="T143" s="145"/>
    </row>
    <row r="144" spans="1:20" ht="30" x14ac:dyDescent="0.25">
      <c r="A144" s="72"/>
      <c r="E144" s="171"/>
      <c r="F144" s="148"/>
      <c r="J144" s="171"/>
      <c r="K144" s="148"/>
      <c r="M144" s="95" t="s">
        <v>73</v>
      </c>
      <c r="O144" s="171"/>
      <c r="P144" s="148"/>
      <c r="R144" s="95" t="s">
        <v>73</v>
      </c>
      <c r="T144" s="145"/>
    </row>
    <row r="145" spans="1:20" ht="30" x14ac:dyDescent="0.25">
      <c r="A145" s="72"/>
      <c r="E145" s="171"/>
      <c r="F145" s="148"/>
      <c r="J145" s="171"/>
      <c r="K145" s="148"/>
      <c r="M145" s="95" t="s">
        <v>72</v>
      </c>
      <c r="O145" s="171"/>
      <c r="P145" s="148"/>
      <c r="R145" s="95" t="s">
        <v>72</v>
      </c>
      <c r="T145" s="145"/>
    </row>
    <row r="146" spans="1:20" x14ac:dyDescent="0.25">
      <c r="A146" s="72"/>
      <c r="E146" s="171"/>
      <c r="F146" s="148"/>
      <c r="J146" s="171"/>
      <c r="K146" s="148"/>
      <c r="O146" s="171"/>
      <c r="P146" s="148"/>
      <c r="T146" s="145"/>
    </row>
    <row r="147" spans="1:20" ht="30" x14ac:dyDescent="0.25">
      <c r="A147" s="72"/>
      <c r="E147" s="171"/>
      <c r="F147" s="148"/>
      <c r="J147" s="171"/>
      <c r="K147" s="148"/>
      <c r="M147" s="95" t="s">
        <v>71</v>
      </c>
      <c r="N147" s="93">
        <v>15</v>
      </c>
      <c r="O147" s="171"/>
      <c r="P147" s="148"/>
      <c r="R147" s="95" t="s">
        <v>71</v>
      </c>
      <c r="S147" s="93">
        <v>10</v>
      </c>
      <c r="T147" s="145"/>
    </row>
    <row r="148" spans="1:20" ht="30" x14ac:dyDescent="0.25">
      <c r="A148" s="72"/>
      <c r="E148" s="171"/>
      <c r="F148" s="148"/>
      <c r="J148" s="171"/>
      <c r="K148" s="148"/>
      <c r="M148" s="95" t="s">
        <v>70</v>
      </c>
      <c r="O148" s="171"/>
      <c r="P148" s="148"/>
      <c r="R148" s="95" t="s">
        <v>70</v>
      </c>
      <c r="T148" s="145"/>
    </row>
    <row r="149" spans="1:20" ht="30" x14ac:dyDescent="0.25">
      <c r="A149" s="72"/>
      <c r="E149" s="171"/>
      <c r="F149" s="148"/>
      <c r="J149" s="171"/>
      <c r="K149" s="148"/>
      <c r="M149" s="95" t="s">
        <v>69</v>
      </c>
      <c r="O149" s="171"/>
      <c r="P149" s="148"/>
      <c r="R149" s="95" t="s">
        <v>69</v>
      </c>
      <c r="T149" s="145"/>
    </row>
    <row r="150" spans="1:20" ht="30" x14ac:dyDescent="0.25">
      <c r="A150" s="72"/>
      <c r="E150" s="171"/>
      <c r="F150" s="148"/>
      <c r="J150" s="171"/>
      <c r="K150" s="148"/>
      <c r="M150" s="95" t="s">
        <v>68</v>
      </c>
      <c r="O150" s="171"/>
      <c r="P150" s="148"/>
      <c r="R150" s="95" t="s">
        <v>68</v>
      </c>
      <c r="T150" s="145"/>
    </row>
    <row r="151" spans="1:20" x14ac:dyDescent="0.25">
      <c r="A151" s="72"/>
      <c r="E151" s="171"/>
      <c r="F151" s="148"/>
      <c r="J151" s="171"/>
      <c r="K151" s="148"/>
      <c r="O151" s="171"/>
      <c r="P151" s="148"/>
      <c r="T151" s="145"/>
    </row>
    <row r="152" spans="1:20" ht="30" x14ac:dyDescent="0.25">
      <c r="A152" s="72"/>
      <c r="E152" s="171"/>
      <c r="F152" s="148"/>
      <c r="J152" s="171"/>
      <c r="K152" s="148"/>
      <c r="M152" s="95" t="s">
        <v>67</v>
      </c>
      <c r="N152" s="93">
        <v>10</v>
      </c>
      <c r="O152" s="171"/>
      <c r="P152" s="148"/>
      <c r="R152" s="95" t="s">
        <v>67</v>
      </c>
      <c r="S152" s="93">
        <v>10</v>
      </c>
      <c r="T152" s="145"/>
    </row>
    <row r="153" spans="1:20" x14ac:dyDescent="0.25">
      <c r="A153" s="72"/>
      <c r="E153" s="171"/>
      <c r="F153" s="148"/>
      <c r="J153" s="171"/>
      <c r="K153" s="148"/>
      <c r="M153" s="95" t="s">
        <v>66</v>
      </c>
      <c r="O153" s="171"/>
      <c r="P153" s="148"/>
      <c r="R153" s="95" t="s">
        <v>66</v>
      </c>
      <c r="T153" s="145"/>
    </row>
    <row r="154" spans="1:20" ht="30" x14ac:dyDescent="0.25">
      <c r="A154" s="72"/>
      <c r="E154" s="171"/>
      <c r="F154" s="148"/>
      <c r="J154" s="171"/>
      <c r="K154" s="148"/>
      <c r="M154" s="95" t="s">
        <v>65</v>
      </c>
      <c r="O154" s="171"/>
      <c r="P154" s="148"/>
      <c r="R154" s="95" t="s">
        <v>64</v>
      </c>
      <c r="T154" s="145"/>
    </row>
    <row r="155" spans="1:20" ht="30" x14ac:dyDescent="0.25">
      <c r="A155" s="72"/>
      <c r="E155" s="171"/>
      <c r="F155" s="148"/>
      <c r="J155" s="171"/>
      <c r="K155" s="148"/>
      <c r="M155" s="95" t="s">
        <v>63</v>
      </c>
      <c r="O155" s="171"/>
      <c r="P155" s="148"/>
      <c r="R155" s="95" t="s">
        <v>63</v>
      </c>
      <c r="T155" s="145"/>
    </row>
    <row r="156" spans="1:20" ht="30" x14ac:dyDescent="0.25">
      <c r="A156" s="72"/>
      <c r="E156" s="171"/>
      <c r="F156" s="148"/>
      <c r="J156" s="171"/>
      <c r="K156" s="148"/>
      <c r="M156" s="95" t="s">
        <v>62</v>
      </c>
      <c r="O156" s="171"/>
      <c r="P156" s="148"/>
      <c r="R156" s="95" t="s">
        <v>62</v>
      </c>
      <c r="T156" s="145"/>
    </row>
    <row r="157" spans="1:20" x14ac:dyDescent="0.25">
      <c r="A157" s="72"/>
      <c r="E157" s="171"/>
      <c r="F157" s="148"/>
      <c r="J157" s="171"/>
      <c r="K157" s="148"/>
      <c r="O157" s="171"/>
      <c r="P157" s="148"/>
      <c r="T157" s="145"/>
    </row>
    <row r="158" spans="1:20" x14ac:dyDescent="0.25">
      <c r="A158" s="72"/>
      <c r="E158" s="171"/>
      <c r="F158" s="148"/>
      <c r="J158" s="171"/>
      <c r="K158" s="148"/>
      <c r="O158" s="171"/>
      <c r="P158" s="148"/>
      <c r="T158" s="145"/>
    </row>
    <row r="159" spans="1:20" x14ac:dyDescent="0.25">
      <c r="A159" s="72"/>
      <c r="D159" s="110">
        <f>SUM(D88:D156)</f>
        <v>100</v>
      </c>
      <c r="E159" s="171"/>
      <c r="F159" s="148"/>
      <c r="I159" s="93">
        <f>SUM(I88:I156)</f>
        <v>100</v>
      </c>
      <c r="J159" s="171"/>
      <c r="K159" s="148"/>
      <c r="N159" s="93">
        <f>SUM(N88:N156)</f>
        <v>100</v>
      </c>
      <c r="O159" s="171"/>
      <c r="P159" s="148"/>
      <c r="S159" s="93">
        <f>SUM(S88:S156)</f>
        <v>100</v>
      </c>
      <c r="T159" s="145"/>
    </row>
    <row r="160" spans="1:20" ht="15.75" thickBot="1" x14ac:dyDescent="0.3">
      <c r="A160" s="80"/>
      <c r="B160" s="201"/>
      <c r="C160" s="187"/>
      <c r="D160" s="202"/>
      <c r="E160" s="208"/>
      <c r="F160" s="212"/>
      <c r="G160" s="186"/>
      <c r="H160" s="187"/>
      <c r="I160" s="186"/>
      <c r="J160" s="208"/>
      <c r="K160" s="212"/>
      <c r="L160" s="186"/>
      <c r="M160" s="187"/>
      <c r="N160" s="186"/>
      <c r="O160" s="208"/>
      <c r="P160" s="212"/>
      <c r="Q160" s="186"/>
      <c r="R160" s="187"/>
      <c r="S160" s="186"/>
      <c r="T160" s="215"/>
    </row>
  </sheetData>
  <mergeCells count="57">
    <mergeCell ref="T22:T23"/>
    <mergeCell ref="S32:S35"/>
    <mergeCell ref="S37:S42"/>
    <mergeCell ref="N78:N79"/>
    <mergeCell ref="N83:N85"/>
    <mergeCell ref="S20:S25"/>
    <mergeCell ref="R22:R23"/>
    <mergeCell ref="S45:S49"/>
    <mergeCell ref="S53:S57"/>
    <mergeCell ref="S59:S60"/>
    <mergeCell ref="S78:S79"/>
    <mergeCell ref="S83:S85"/>
    <mergeCell ref="S62:S74"/>
    <mergeCell ref="P3:T3"/>
    <mergeCell ref="R9:R10"/>
    <mergeCell ref="T9:T10"/>
    <mergeCell ref="S6:S12"/>
    <mergeCell ref="S14:S16"/>
    <mergeCell ref="M63:M65"/>
    <mergeCell ref="O63:O65"/>
    <mergeCell ref="N62:N73"/>
    <mergeCell ref="M67:M71"/>
    <mergeCell ref="O67:O71"/>
    <mergeCell ref="M39:M40"/>
    <mergeCell ref="O39:O40"/>
    <mergeCell ref="N44:N49"/>
    <mergeCell ref="N53:N57"/>
    <mergeCell ref="N59:N60"/>
    <mergeCell ref="A66:A67"/>
    <mergeCell ref="I37:I42"/>
    <mergeCell ref="I44:I47"/>
    <mergeCell ref="I59:I60"/>
    <mergeCell ref="I63:I67"/>
    <mergeCell ref="D66:D68"/>
    <mergeCell ref="F33:F34"/>
    <mergeCell ref="D18:D19"/>
    <mergeCell ref="D14:D16"/>
    <mergeCell ref="D6:D9"/>
    <mergeCell ref="D21:D25"/>
    <mergeCell ref="D27:D30"/>
    <mergeCell ref="D32:D34"/>
    <mergeCell ref="A1:S1"/>
    <mergeCell ref="A87:T87"/>
    <mergeCell ref="B119:B124"/>
    <mergeCell ref="G119:G124"/>
    <mergeCell ref="B126:B129"/>
    <mergeCell ref="G126:G129"/>
    <mergeCell ref="A3:E3"/>
    <mergeCell ref="K3:O3"/>
    <mergeCell ref="N20:N21"/>
    <mergeCell ref="N32:N35"/>
    <mergeCell ref="N37:N42"/>
    <mergeCell ref="D44:D46"/>
    <mergeCell ref="F3:J3"/>
    <mergeCell ref="I19:I21"/>
    <mergeCell ref="I32:I35"/>
    <mergeCell ref="F38:F40"/>
  </mergeCell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AFE98-53C4-45B9-8633-A88199D46696}">
  <dimension ref="A1:O55"/>
  <sheetViews>
    <sheetView view="pageLayout" topLeftCell="A13" zoomScale="85" zoomScaleNormal="100" zoomScalePageLayoutView="85" workbookViewId="0">
      <selection activeCell="I12" sqref="I12"/>
    </sheetView>
  </sheetViews>
  <sheetFormatPr baseColWidth="10" defaultColWidth="11.42578125" defaultRowHeight="15" x14ac:dyDescent="0.25"/>
  <cols>
    <col min="1" max="1" width="1.5703125" customWidth="1"/>
    <col min="2" max="2" width="13.85546875" customWidth="1"/>
    <col min="3" max="3" width="4.7109375" customWidth="1"/>
    <col min="4" max="4" width="16.28515625" customWidth="1"/>
    <col min="5" max="5" width="13.28515625" customWidth="1"/>
    <col min="6" max="6" width="13" customWidth="1"/>
    <col min="7" max="7" width="12.7109375" customWidth="1"/>
    <col min="8" max="8" width="4.85546875" customWidth="1"/>
    <col min="9" max="9" width="16.7109375" customWidth="1"/>
  </cols>
  <sheetData>
    <row r="1" spans="1:9" ht="15" customHeight="1" x14ac:dyDescent="0.25">
      <c r="A1" s="884" t="s">
        <v>443</v>
      </c>
      <c r="B1" s="885"/>
      <c r="C1" s="885"/>
      <c r="D1" s="885"/>
      <c r="E1" s="886"/>
      <c r="F1" s="890">
        <f>Kompetenzraster!R5</f>
        <v>45518</v>
      </c>
      <c r="G1" s="891"/>
      <c r="H1" s="892"/>
      <c r="I1" s="896">
        <v>1</v>
      </c>
    </row>
    <row r="2" spans="1:9" ht="15" customHeight="1" x14ac:dyDescent="0.25">
      <c r="A2" s="887"/>
      <c r="B2" s="888"/>
      <c r="C2" s="888"/>
      <c r="D2" s="888"/>
      <c r="E2" s="889"/>
      <c r="F2" s="893"/>
      <c r="G2" s="894"/>
      <c r="H2" s="895"/>
      <c r="I2" s="896"/>
    </row>
    <row r="3" spans="1:9" ht="15.75" customHeight="1" x14ac:dyDescent="0.25">
      <c r="A3" s="255"/>
      <c r="B3" s="303"/>
      <c r="C3" s="303"/>
      <c r="D3" s="303"/>
      <c r="E3" s="303"/>
      <c r="F3" s="301"/>
      <c r="G3" s="301"/>
      <c r="H3" s="301"/>
      <c r="I3" s="301"/>
    </row>
    <row r="4" spans="1:9" ht="15.75" customHeight="1" x14ac:dyDescent="0.25">
      <c r="A4" s="897" t="s">
        <v>442</v>
      </c>
      <c r="B4" s="897"/>
      <c r="C4" s="303"/>
      <c r="D4" s="303"/>
      <c r="E4" s="303"/>
      <c r="F4" s="301"/>
      <c r="G4" s="301"/>
      <c r="H4" s="301"/>
      <c r="I4" s="301"/>
    </row>
    <row r="5" spans="1:9" ht="14.25" customHeight="1" x14ac:dyDescent="0.25">
      <c r="A5" s="915" t="s">
        <v>445</v>
      </c>
      <c r="B5" s="916"/>
      <c r="C5" s="905" t="s">
        <v>450</v>
      </c>
      <c r="D5" s="906"/>
      <c r="E5" s="906"/>
      <c r="F5" s="906"/>
      <c r="G5" s="906"/>
      <c r="H5" s="907"/>
      <c r="I5" s="898">
        <v>0.01</v>
      </c>
    </row>
    <row r="6" spans="1:9" ht="14.25" customHeight="1" x14ac:dyDescent="0.25">
      <c r="A6" s="917"/>
      <c r="B6" s="918"/>
      <c r="C6" s="908"/>
      <c r="D6" s="909"/>
      <c r="E6" s="909"/>
      <c r="F6" s="909"/>
      <c r="G6" s="909"/>
      <c r="H6" s="910"/>
      <c r="I6" s="898"/>
    </row>
    <row r="7" spans="1:9" ht="14.25" customHeight="1" x14ac:dyDescent="0.25">
      <c r="A7" s="911" t="s">
        <v>446</v>
      </c>
      <c r="B7" s="912"/>
      <c r="C7" s="899" t="s">
        <v>444</v>
      </c>
      <c r="D7" s="900"/>
      <c r="E7" s="900"/>
      <c r="F7" s="900"/>
      <c r="G7" s="900"/>
      <c r="H7" s="901"/>
      <c r="I7" s="919">
        <v>0.02</v>
      </c>
    </row>
    <row r="8" spans="1:9" ht="14.25" customHeight="1" x14ac:dyDescent="0.25">
      <c r="A8" s="913"/>
      <c r="B8" s="914"/>
      <c r="C8" s="902"/>
      <c r="D8" s="903"/>
      <c r="E8" s="903"/>
      <c r="F8" s="903"/>
      <c r="G8" s="903"/>
      <c r="H8" s="904"/>
      <c r="I8" s="920"/>
    </row>
    <row r="9" spans="1:9" ht="15.75" customHeight="1" x14ac:dyDescent="0.25">
      <c r="A9" s="255"/>
      <c r="B9" s="302"/>
      <c r="C9" s="302"/>
      <c r="D9" s="302"/>
      <c r="E9" s="302"/>
      <c r="F9" s="302"/>
      <c r="G9" s="302"/>
      <c r="H9" s="302"/>
      <c r="I9" s="301"/>
    </row>
    <row r="10" spans="1:9" ht="15.75" customHeight="1" x14ac:dyDescent="0.25">
      <c r="A10" s="300" t="s">
        <v>441</v>
      </c>
      <c r="B10" s="299"/>
      <c r="C10" s="299"/>
      <c r="D10" s="299"/>
      <c r="E10" s="299"/>
      <c r="F10" s="299"/>
      <c r="G10" s="299"/>
      <c r="H10" s="299"/>
      <c r="I10" s="298"/>
    </row>
    <row r="11" spans="1:9" ht="15.75" customHeight="1" x14ac:dyDescent="0.25">
      <c r="A11" s="312"/>
      <c r="B11" s="255" t="s">
        <v>447</v>
      </c>
      <c r="C11" s="255"/>
      <c r="D11" s="255"/>
      <c r="E11" s="255"/>
      <c r="F11" s="255"/>
      <c r="G11" s="255"/>
      <c r="H11" s="255"/>
      <c r="I11" s="266"/>
    </row>
    <row r="12" spans="1:9" ht="15.75" customHeight="1" x14ac:dyDescent="0.25">
      <c r="A12" s="314"/>
      <c r="B12" s="255" t="s">
        <v>451</v>
      </c>
      <c r="C12" s="255"/>
      <c r="D12" s="255"/>
      <c r="E12" s="255"/>
      <c r="F12" s="255"/>
      <c r="G12" s="255"/>
      <c r="H12" s="255"/>
      <c r="I12" s="266"/>
    </row>
    <row r="13" spans="1:9" ht="15.75" customHeight="1" x14ac:dyDescent="0.25">
      <c r="A13" s="315"/>
      <c r="B13" s="255" t="s">
        <v>463</v>
      </c>
      <c r="C13" s="255"/>
      <c r="D13" s="255"/>
      <c r="E13" s="255"/>
      <c r="F13" s="255"/>
      <c r="G13" s="255"/>
      <c r="H13" s="255"/>
      <c r="I13" s="266"/>
    </row>
    <row r="14" spans="1:9" ht="15.75" customHeight="1" x14ac:dyDescent="0.25">
      <c r="A14" s="316"/>
      <c r="B14" s="278" t="s">
        <v>464</v>
      </c>
      <c r="C14" s="278"/>
      <c r="D14" s="278"/>
      <c r="E14" s="278"/>
      <c r="F14" s="278"/>
      <c r="G14" s="278"/>
      <c r="H14" s="278"/>
      <c r="I14" s="277"/>
    </row>
    <row r="15" spans="1:9" ht="6.95" customHeight="1" thickBot="1" x14ac:dyDescent="0.3">
      <c r="A15" s="255"/>
      <c r="B15" s="297"/>
      <c r="C15" s="297"/>
      <c r="D15" s="297"/>
      <c r="E15" s="297"/>
      <c r="F15" s="297"/>
      <c r="G15" s="297"/>
      <c r="H15" s="255"/>
      <c r="I15" s="255"/>
    </row>
    <row r="16" spans="1:9" ht="15.75" customHeight="1" x14ac:dyDescent="0.25">
      <c r="A16" s="876" t="s">
        <v>440</v>
      </c>
      <c r="B16" s="877"/>
      <c r="C16" s="877" t="s">
        <v>439</v>
      </c>
      <c r="D16" s="877" t="s">
        <v>438</v>
      </c>
      <c r="E16" s="877"/>
      <c r="F16" s="877"/>
      <c r="G16" s="877"/>
      <c r="H16" s="880" t="s">
        <v>437</v>
      </c>
      <c r="I16" s="882" t="s">
        <v>436</v>
      </c>
    </row>
    <row r="17" spans="1:15" x14ac:dyDescent="0.25">
      <c r="A17" s="878"/>
      <c r="B17" s="879"/>
      <c r="C17" s="879"/>
      <c r="D17" s="879"/>
      <c r="E17" s="879"/>
      <c r="F17" s="879"/>
      <c r="G17" s="879"/>
      <c r="H17" s="881"/>
      <c r="I17" s="883"/>
    </row>
    <row r="18" spans="1:15" ht="9.75" customHeight="1" x14ac:dyDescent="0.25">
      <c r="A18" s="856"/>
      <c r="B18" s="857"/>
      <c r="C18" s="857"/>
      <c r="D18" s="857"/>
      <c r="E18" s="857"/>
      <c r="F18" s="857"/>
      <c r="G18" s="857"/>
      <c r="H18" s="857"/>
      <c r="I18" s="858"/>
    </row>
    <row r="19" spans="1:15" x14ac:dyDescent="0.25">
      <c r="A19" s="313"/>
      <c r="B19" s="309" t="s">
        <v>435</v>
      </c>
      <c r="C19" s="310" t="s">
        <v>433</v>
      </c>
      <c r="D19" s="267" t="s">
        <v>448</v>
      </c>
      <c r="E19" s="255"/>
      <c r="F19" s="255"/>
      <c r="G19" s="294"/>
      <c r="H19" s="282" t="s">
        <v>424</v>
      </c>
      <c r="I19" s="311"/>
    </row>
    <row r="20" spans="1:15" x14ac:dyDescent="0.25">
      <c r="A20" s="313"/>
      <c r="B20" s="304" t="s">
        <v>458</v>
      </c>
      <c r="C20" s="283" t="s">
        <v>429</v>
      </c>
      <c r="D20" s="267" t="s">
        <v>449</v>
      </c>
      <c r="E20" s="255"/>
      <c r="F20" s="255"/>
      <c r="G20" s="266"/>
      <c r="H20" s="282" t="s">
        <v>425</v>
      </c>
      <c r="I20" s="264"/>
      <c r="K20" s="255"/>
      <c r="L20" s="255"/>
      <c r="M20" s="255"/>
      <c r="N20" s="296"/>
    </row>
    <row r="21" spans="1:15" x14ac:dyDescent="0.25">
      <c r="A21" s="313"/>
      <c r="B21" s="306"/>
      <c r="C21" s="283"/>
      <c r="D21" s="295"/>
      <c r="E21" s="255"/>
      <c r="F21" s="255"/>
      <c r="G21" s="294"/>
      <c r="H21" s="282"/>
      <c r="I21" s="264"/>
      <c r="K21" s="255"/>
      <c r="L21" s="255"/>
      <c r="M21" s="255"/>
      <c r="N21" s="255"/>
    </row>
    <row r="22" spans="1:15" x14ac:dyDescent="0.25">
      <c r="A22" s="313"/>
      <c r="B22" s="307"/>
      <c r="C22" s="280"/>
      <c r="D22" s="267"/>
      <c r="E22" s="255"/>
      <c r="F22" s="255"/>
      <c r="G22" s="266"/>
      <c r="H22" s="276"/>
      <c r="I22" s="275"/>
      <c r="K22" s="255"/>
      <c r="L22" s="255"/>
      <c r="M22" s="255"/>
      <c r="N22" s="255"/>
    </row>
    <row r="23" spans="1:15" x14ac:dyDescent="0.25">
      <c r="A23" s="313"/>
      <c r="B23" s="305" t="s">
        <v>432</v>
      </c>
      <c r="C23" s="273" t="s">
        <v>426</v>
      </c>
      <c r="D23" s="287" t="s">
        <v>452</v>
      </c>
      <c r="E23" s="287"/>
      <c r="F23" s="287"/>
      <c r="G23" s="293"/>
      <c r="H23" s="272" t="s">
        <v>424</v>
      </c>
      <c r="I23" s="284"/>
      <c r="K23" s="255"/>
      <c r="L23" s="255"/>
      <c r="M23" s="255"/>
      <c r="N23" s="255"/>
    </row>
    <row r="24" spans="1:15" x14ac:dyDescent="0.25">
      <c r="A24" s="313"/>
      <c r="B24" s="304" t="s">
        <v>459</v>
      </c>
      <c r="C24" s="268"/>
      <c r="D24" s="255" t="s">
        <v>470</v>
      </c>
      <c r="E24" s="255"/>
      <c r="F24" s="255"/>
      <c r="G24" s="255"/>
      <c r="H24" s="265"/>
      <c r="I24" s="264"/>
      <c r="K24" s="255"/>
      <c r="L24" s="255"/>
      <c r="M24" s="255"/>
      <c r="N24" s="255"/>
    </row>
    <row r="25" spans="1:15" x14ac:dyDescent="0.25">
      <c r="A25" s="313"/>
      <c r="B25" s="306"/>
      <c r="C25" s="268" t="s">
        <v>430</v>
      </c>
      <c r="D25" s="255" t="s">
        <v>453</v>
      </c>
      <c r="E25" s="255"/>
      <c r="F25" s="255"/>
      <c r="G25" s="255"/>
      <c r="H25" s="265" t="s">
        <v>424</v>
      </c>
      <c r="I25" s="264"/>
      <c r="K25" s="255"/>
      <c r="L25" s="255"/>
      <c r="M25" s="255"/>
      <c r="N25" s="255"/>
    </row>
    <row r="26" spans="1:15" x14ac:dyDescent="0.25">
      <c r="A26" s="313"/>
      <c r="B26" s="307"/>
      <c r="C26" s="292"/>
      <c r="D26" s="278" t="s">
        <v>472</v>
      </c>
      <c r="E26" s="278"/>
      <c r="F26" s="278"/>
      <c r="G26" s="278"/>
      <c r="H26" s="291"/>
      <c r="I26" s="275"/>
      <c r="K26" s="255"/>
      <c r="L26" s="255"/>
      <c r="M26" s="255"/>
      <c r="N26" s="255"/>
    </row>
    <row r="27" spans="1:15" x14ac:dyDescent="0.25">
      <c r="A27" s="313"/>
      <c r="B27" s="308" t="s">
        <v>431</v>
      </c>
      <c r="C27" s="273" t="s">
        <v>430</v>
      </c>
      <c r="D27" s="267" t="s">
        <v>465</v>
      </c>
      <c r="E27" s="255"/>
      <c r="F27" s="255"/>
      <c r="G27" s="266"/>
      <c r="H27" s="272" t="s">
        <v>424</v>
      </c>
      <c r="I27" s="271" t="s">
        <v>467</v>
      </c>
      <c r="K27" s="255"/>
      <c r="L27" s="255"/>
      <c r="M27" s="255"/>
      <c r="N27" s="255"/>
    </row>
    <row r="28" spans="1:15" x14ac:dyDescent="0.25">
      <c r="A28" s="313"/>
      <c r="B28" s="304" t="s">
        <v>460</v>
      </c>
      <c r="C28" s="268" t="s">
        <v>426</v>
      </c>
      <c r="D28" s="267" t="s">
        <v>466</v>
      </c>
      <c r="E28" s="255"/>
      <c r="F28" s="255"/>
      <c r="G28" s="266"/>
      <c r="H28" s="265" t="s">
        <v>424</v>
      </c>
      <c r="I28" s="320" t="s">
        <v>468</v>
      </c>
    </row>
    <row r="29" spans="1:15" x14ac:dyDescent="0.25">
      <c r="A29" s="313"/>
      <c r="B29" s="306"/>
      <c r="C29" s="268"/>
      <c r="D29" s="267"/>
      <c r="E29" s="255"/>
      <c r="F29" s="255"/>
      <c r="G29" s="266"/>
      <c r="H29" s="265"/>
      <c r="I29" s="320" t="s">
        <v>469</v>
      </c>
    </row>
    <row r="30" spans="1:15" ht="15" customHeight="1" x14ac:dyDescent="0.25">
      <c r="A30" s="314"/>
      <c r="B30" s="254"/>
      <c r="C30" s="265"/>
      <c r="D30" s="267"/>
      <c r="E30" s="255"/>
      <c r="F30" s="255"/>
      <c r="G30" s="266"/>
      <c r="H30" s="265"/>
      <c r="I30" s="320" t="s">
        <v>471</v>
      </c>
    </row>
    <row r="31" spans="1:15" ht="14.25" customHeight="1" x14ac:dyDescent="0.25">
      <c r="A31" s="859" t="s">
        <v>428</v>
      </c>
      <c r="B31" s="860"/>
      <c r="C31" s="860"/>
      <c r="D31" s="860"/>
      <c r="E31" s="860"/>
      <c r="F31" s="860"/>
      <c r="G31" s="860"/>
      <c r="H31" s="860"/>
      <c r="I31" s="861"/>
      <c r="K31" s="255"/>
      <c r="L31" s="255"/>
      <c r="M31" s="255"/>
      <c r="N31" s="255"/>
      <c r="O31" s="255"/>
    </row>
    <row r="32" spans="1:15" ht="14.25" customHeight="1" x14ac:dyDescent="0.25">
      <c r="A32" s="862"/>
      <c r="B32" s="863"/>
      <c r="C32" s="863"/>
      <c r="D32" s="863"/>
      <c r="E32" s="863"/>
      <c r="F32" s="863"/>
      <c r="G32" s="863"/>
      <c r="H32" s="863"/>
      <c r="I32" s="864"/>
      <c r="K32" s="255"/>
      <c r="L32" s="255"/>
      <c r="M32" s="255"/>
      <c r="N32" s="255"/>
      <c r="O32" s="255"/>
    </row>
    <row r="33" spans="1:15" ht="9.75" customHeight="1" x14ac:dyDescent="0.25">
      <c r="A33" s="865"/>
      <c r="B33" s="836"/>
      <c r="C33" s="836"/>
      <c r="D33" s="836"/>
      <c r="E33" s="836"/>
      <c r="F33" s="836"/>
      <c r="G33" s="836"/>
      <c r="H33" s="836"/>
      <c r="I33" s="866"/>
      <c r="K33" s="255"/>
      <c r="L33" s="255"/>
      <c r="M33" s="255"/>
      <c r="N33" s="255"/>
      <c r="O33" s="255"/>
    </row>
    <row r="34" spans="1:15" ht="15.75" customHeight="1" x14ac:dyDescent="0.25">
      <c r="A34" s="317"/>
      <c r="B34" s="290" t="s">
        <v>427</v>
      </c>
      <c r="C34" s="289" t="s">
        <v>429</v>
      </c>
      <c r="D34" s="288" t="s">
        <v>454</v>
      </c>
      <c r="E34" s="287"/>
      <c r="F34" s="287"/>
      <c r="G34" s="286"/>
      <c r="H34" s="285"/>
      <c r="I34" s="271" t="s">
        <v>475</v>
      </c>
      <c r="K34" s="255"/>
      <c r="L34" s="255"/>
      <c r="M34" s="255"/>
      <c r="N34" s="255"/>
      <c r="O34" s="255"/>
    </row>
    <row r="35" spans="1:15" x14ac:dyDescent="0.25">
      <c r="A35" s="317"/>
      <c r="B35" s="319" t="s">
        <v>461</v>
      </c>
      <c r="C35" s="283" t="s">
        <v>433</v>
      </c>
      <c r="D35" s="267" t="s">
        <v>473</v>
      </c>
      <c r="E35" s="255"/>
      <c r="F35" s="255"/>
      <c r="G35" s="266"/>
      <c r="H35" s="282"/>
      <c r="I35" s="320" t="s">
        <v>474</v>
      </c>
      <c r="K35" s="255"/>
      <c r="L35" s="255"/>
      <c r="M35" s="255"/>
      <c r="N35" s="255"/>
      <c r="O35" s="255"/>
    </row>
    <row r="36" spans="1:15" ht="15.75" customHeight="1" x14ac:dyDescent="0.25">
      <c r="A36" s="317"/>
      <c r="B36" s="269"/>
      <c r="C36" s="283"/>
      <c r="D36" s="267"/>
      <c r="E36" s="255"/>
      <c r="F36" s="255"/>
      <c r="G36" s="266"/>
      <c r="H36" s="282"/>
      <c r="I36" s="264"/>
      <c r="K36" s="255"/>
      <c r="L36" s="255"/>
      <c r="M36" s="255"/>
      <c r="N36" s="255"/>
      <c r="O36" s="255"/>
    </row>
    <row r="37" spans="1:15" ht="15.75" customHeight="1" x14ac:dyDescent="0.25">
      <c r="A37" s="317"/>
      <c r="B37" s="281"/>
      <c r="C37" s="280"/>
      <c r="D37" s="279"/>
      <c r="E37" s="278"/>
      <c r="F37" s="278"/>
      <c r="G37" s="277"/>
      <c r="H37" s="276"/>
      <c r="I37" s="275"/>
    </row>
    <row r="38" spans="1:15" x14ac:dyDescent="0.25">
      <c r="A38" s="317"/>
      <c r="B38" s="274" t="s">
        <v>423</v>
      </c>
      <c r="C38" s="273" t="s">
        <v>429</v>
      </c>
      <c r="D38" s="267" t="s">
        <v>455</v>
      </c>
      <c r="E38" s="255"/>
      <c r="F38" s="255"/>
      <c r="G38" s="266"/>
      <c r="H38" s="272"/>
      <c r="I38" s="271"/>
    </row>
    <row r="39" spans="1:15" ht="15.75" customHeight="1" x14ac:dyDescent="0.25">
      <c r="A39" s="317"/>
      <c r="B39" s="270" t="s">
        <v>462</v>
      </c>
      <c r="C39" s="268" t="s">
        <v>426</v>
      </c>
      <c r="D39" s="267" t="s">
        <v>456</v>
      </c>
      <c r="E39" s="255"/>
      <c r="F39" s="255"/>
      <c r="G39" s="266"/>
      <c r="H39" s="265"/>
      <c r="I39" s="264"/>
    </row>
    <row r="40" spans="1:15" ht="15.75" customHeight="1" x14ac:dyDescent="0.25">
      <c r="A40" s="317"/>
      <c r="B40" s="269"/>
      <c r="C40" s="268" t="s">
        <v>434</v>
      </c>
      <c r="D40" s="267" t="s">
        <v>457</v>
      </c>
      <c r="E40" s="255"/>
      <c r="F40" s="255"/>
      <c r="G40" s="266"/>
      <c r="H40" s="265"/>
      <c r="I40" s="264"/>
    </row>
    <row r="41" spans="1:15" ht="15.75" customHeight="1" thickBot="1" x14ac:dyDescent="0.3">
      <c r="A41" s="318"/>
      <c r="B41" s="263"/>
      <c r="C41" s="259"/>
      <c r="D41" s="262"/>
      <c r="E41" s="261"/>
      <c r="F41" s="261"/>
      <c r="G41" s="260"/>
      <c r="H41" s="259"/>
      <c r="I41" s="258"/>
    </row>
    <row r="42" spans="1:15" ht="6.95" customHeight="1" x14ac:dyDescent="0.25">
      <c r="A42" s="255"/>
      <c r="B42" s="257"/>
      <c r="C42" s="256"/>
      <c r="D42" s="255"/>
      <c r="E42" s="255"/>
      <c r="F42" s="255"/>
      <c r="G42" s="255"/>
      <c r="H42" s="255"/>
      <c r="I42" s="255"/>
    </row>
    <row r="43" spans="1:15" ht="15.75" customHeight="1" x14ac:dyDescent="0.25">
      <c r="A43" s="867" t="s">
        <v>422</v>
      </c>
      <c r="B43" s="868"/>
      <c r="C43" s="868"/>
      <c r="D43" s="869"/>
      <c r="E43" s="867" t="s">
        <v>421</v>
      </c>
      <c r="F43" s="868"/>
      <c r="G43" s="867" t="s">
        <v>420</v>
      </c>
      <c r="H43" s="868"/>
      <c r="I43" s="869"/>
    </row>
    <row r="44" spans="1:15" ht="15.75" customHeight="1" x14ac:dyDescent="0.25">
      <c r="A44" s="870"/>
      <c r="B44" s="871"/>
      <c r="C44" s="871"/>
      <c r="D44" s="872"/>
      <c r="E44" s="870"/>
      <c r="F44" s="871"/>
      <c r="G44" s="873"/>
      <c r="H44" s="874"/>
      <c r="I44" s="875"/>
    </row>
    <row r="45" spans="1:15" ht="15.75" customHeight="1" x14ac:dyDescent="0.25">
      <c r="A45" s="845"/>
      <c r="B45" s="846"/>
      <c r="C45" s="846"/>
      <c r="D45" s="847"/>
      <c r="E45" s="848" t="s">
        <v>419</v>
      </c>
      <c r="F45" s="849"/>
      <c r="G45" s="850"/>
      <c r="H45" s="851"/>
      <c r="I45" s="852"/>
    </row>
    <row r="46" spans="1:15" ht="15.75" customHeight="1" x14ac:dyDescent="0.25">
      <c r="A46" s="853"/>
      <c r="B46" s="854"/>
      <c r="C46" s="854"/>
      <c r="D46" s="855"/>
      <c r="E46" s="822"/>
      <c r="F46" s="823"/>
      <c r="G46" s="824"/>
      <c r="H46" s="825"/>
      <c r="I46" s="826"/>
    </row>
    <row r="47" spans="1:15" ht="15.75" customHeight="1" x14ac:dyDescent="0.25">
      <c r="A47" s="819"/>
      <c r="B47" s="820"/>
      <c r="C47" s="820"/>
      <c r="D47" s="821"/>
      <c r="E47" s="822"/>
      <c r="F47" s="823"/>
      <c r="G47" s="824"/>
      <c r="H47" s="825"/>
      <c r="I47" s="826"/>
    </row>
    <row r="48" spans="1:15" ht="15.75" customHeight="1" x14ac:dyDescent="0.25">
      <c r="A48" s="835"/>
      <c r="B48" s="836"/>
      <c r="C48" s="836"/>
      <c r="D48" s="837"/>
      <c r="E48" s="838"/>
      <c r="F48" s="823"/>
      <c r="G48" s="839"/>
      <c r="H48" s="840"/>
      <c r="I48" s="841"/>
    </row>
    <row r="49" spans="1:9" ht="15.75" customHeight="1" x14ac:dyDescent="0.25">
      <c r="A49" s="835"/>
      <c r="B49" s="836"/>
      <c r="C49" s="836"/>
      <c r="D49" s="837"/>
      <c r="E49" s="838"/>
      <c r="F49" s="823"/>
      <c r="G49" s="842"/>
      <c r="H49" s="843"/>
      <c r="I49" s="844"/>
    </row>
    <row r="50" spans="1:9" ht="15.75" customHeight="1" x14ac:dyDescent="0.25">
      <c r="A50" s="827"/>
      <c r="B50" s="828"/>
      <c r="C50" s="828"/>
      <c r="D50" s="829"/>
      <c r="E50" s="830"/>
      <c r="F50" s="831"/>
      <c r="G50" s="832"/>
      <c r="H50" s="833"/>
      <c r="I50" s="834"/>
    </row>
    <row r="51" spans="1:9" ht="15.75" customHeight="1" x14ac:dyDescent="0.25"/>
    <row r="52" spans="1:9" ht="15.75" customHeight="1" x14ac:dyDescent="0.25"/>
    <row r="53" spans="1:9" ht="15.75" customHeight="1" x14ac:dyDescent="0.25"/>
    <row r="54" spans="1:9" ht="15.75" customHeight="1" x14ac:dyDescent="0.25"/>
    <row r="55" spans="1:9" ht="15.75" customHeight="1" x14ac:dyDescent="0.25"/>
  </sheetData>
  <mergeCells count="39">
    <mergeCell ref="C7:H8"/>
    <mergeCell ref="C5:H6"/>
    <mergeCell ref="A7:B8"/>
    <mergeCell ref="A5:B6"/>
    <mergeCell ref="I7:I8"/>
    <mergeCell ref="A1:E2"/>
    <mergeCell ref="F1:H2"/>
    <mergeCell ref="I1:I2"/>
    <mergeCell ref="A4:B4"/>
    <mergeCell ref="I5:I6"/>
    <mergeCell ref="A16:B17"/>
    <mergeCell ref="C16:C17"/>
    <mergeCell ref="D16:G17"/>
    <mergeCell ref="H16:H17"/>
    <mergeCell ref="I16:I17"/>
    <mergeCell ref="A18:I18"/>
    <mergeCell ref="A31:I32"/>
    <mergeCell ref="A33:I33"/>
    <mergeCell ref="A43:D44"/>
    <mergeCell ref="E43:F44"/>
    <mergeCell ref="G43:I44"/>
    <mergeCell ref="A45:D45"/>
    <mergeCell ref="E45:F45"/>
    <mergeCell ref="G45:I45"/>
    <mergeCell ref="A46:D46"/>
    <mergeCell ref="E46:F46"/>
    <mergeCell ref="G46:I46"/>
    <mergeCell ref="A47:D47"/>
    <mergeCell ref="E47:F47"/>
    <mergeCell ref="G47:I47"/>
    <mergeCell ref="A50:D50"/>
    <mergeCell ref="E50:F50"/>
    <mergeCell ref="G50:I50"/>
    <mergeCell ref="A48:D48"/>
    <mergeCell ref="E48:F48"/>
    <mergeCell ref="G48:I48"/>
    <mergeCell ref="A49:D49"/>
    <mergeCell ref="E49:F49"/>
    <mergeCell ref="G49:I49"/>
  </mergeCells>
  <hyperlinks>
    <hyperlink ref="I27" r:id="rId1" xr:uid="{1BFEF179-CC1F-4498-8C83-3D9200711E11}"/>
    <hyperlink ref="I28" r:id="rId2" xr:uid="{5E11017C-DDEA-4822-B1C4-400D4F07EE5F}"/>
    <hyperlink ref="I29" r:id="rId3" xr:uid="{4A50095A-9CF9-42FD-8236-92D6717D5293}"/>
    <hyperlink ref="I30" r:id="rId4" xr:uid="{B5009FD7-5C58-470F-B200-FFB5EDB6EB19}"/>
    <hyperlink ref="I35" r:id="rId5" xr:uid="{5A76D42F-38E0-4532-B03F-5DCD71A5DC07}"/>
    <hyperlink ref="I34" r:id="rId6" xr:uid="{8DD5EFA5-334F-47CA-BB39-B0BB130A8AE9}"/>
  </hyperlinks>
  <pageMargins left="0.25" right="0.25" top="0.75" bottom="0.75" header="0.3" footer="0.3"/>
  <pageSetup paperSize="9" orientation="portrait" r:id="rId7"/>
  <headerFooter>
    <oddHeader>&amp;LGBS SG&amp;CSSPb23-25&amp;RBKU</oddHeader>
    <oddFooter>&amp;R&amp;"Century Gothic,Standard"&amp;9ART &amp;D</oddFooter>
  </headerFooter>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88C7F-A917-4EF2-A0A7-1AFF26B717F5}">
  <dimension ref="A1:O55"/>
  <sheetViews>
    <sheetView view="pageLayout" topLeftCell="A48" zoomScale="130" zoomScaleNormal="100" zoomScalePageLayoutView="130" workbookViewId="0">
      <selection activeCell="I28" sqref="I28"/>
    </sheetView>
  </sheetViews>
  <sheetFormatPr baseColWidth="10" defaultColWidth="11.42578125" defaultRowHeight="15" x14ac:dyDescent="0.25"/>
  <cols>
    <col min="1" max="1" width="1.5703125" customWidth="1"/>
    <col min="2" max="2" width="13.85546875" customWidth="1"/>
    <col min="3" max="3" width="4.7109375" customWidth="1"/>
    <col min="4" max="4" width="16.28515625" customWidth="1"/>
    <col min="5" max="5" width="13.28515625" customWidth="1"/>
    <col min="6" max="6" width="13" customWidth="1"/>
    <col min="7" max="7" width="12.7109375" customWidth="1"/>
    <col min="8" max="8" width="4.85546875" customWidth="1"/>
    <col min="9" max="9" width="16.7109375" customWidth="1"/>
  </cols>
  <sheetData>
    <row r="1" spans="1:9" ht="15" customHeight="1" x14ac:dyDescent="0.25">
      <c r="A1" s="884" t="s">
        <v>443</v>
      </c>
      <c r="B1" s="885"/>
      <c r="C1" s="885"/>
      <c r="D1" s="885"/>
      <c r="E1" s="886"/>
      <c r="F1" s="890">
        <f>Kompetenzraster!R7</f>
        <v>45525</v>
      </c>
      <c r="G1" s="891"/>
      <c r="H1" s="892"/>
      <c r="I1" s="896">
        <v>2</v>
      </c>
    </row>
    <row r="2" spans="1:9" ht="15" customHeight="1" x14ac:dyDescent="0.25">
      <c r="A2" s="887"/>
      <c r="B2" s="888"/>
      <c r="C2" s="888"/>
      <c r="D2" s="888"/>
      <c r="E2" s="889"/>
      <c r="F2" s="893"/>
      <c r="G2" s="894"/>
      <c r="H2" s="895"/>
      <c r="I2" s="896"/>
    </row>
    <row r="3" spans="1:9" ht="15.75" customHeight="1" x14ac:dyDescent="0.25">
      <c r="A3" s="255"/>
      <c r="B3" s="303"/>
      <c r="C3" s="303"/>
      <c r="D3" s="303"/>
      <c r="E3" s="303"/>
      <c r="F3" s="301"/>
      <c r="G3" s="301"/>
      <c r="H3" s="301"/>
      <c r="I3" s="301"/>
    </row>
    <row r="4" spans="1:9" ht="15.75" customHeight="1" x14ac:dyDescent="0.25">
      <c r="A4" s="897" t="s">
        <v>442</v>
      </c>
      <c r="B4" s="897"/>
      <c r="C4" s="303"/>
      <c r="D4" s="303"/>
      <c r="E4" s="303"/>
      <c r="F4" s="301"/>
      <c r="G4" s="301"/>
      <c r="H4" s="301"/>
      <c r="I4" s="301"/>
    </row>
    <row r="5" spans="1:9" ht="14.25" customHeight="1" x14ac:dyDescent="0.25">
      <c r="A5" s="915" t="s">
        <v>445</v>
      </c>
      <c r="B5" s="916"/>
      <c r="C5" s="905" t="s">
        <v>450</v>
      </c>
      <c r="D5" s="906"/>
      <c r="E5" s="906"/>
      <c r="F5" s="906"/>
      <c r="G5" s="906"/>
      <c r="H5" s="907"/>
      <c r="I5" s="898">
        <v>0.01</v>
      </c>
    </row>
    <row r="6" spans="1:9" ht="14.25" customHeight="1" x14ac:dyDescent="0.25">
      <c r="A6" s="917"/>
      <c r="B6" s="918"/>
      <c r="C6" s="908"/>
      <c r="D6" s="909"/>
      <c r="E6" s="909"/>
      <c r="F6" s="909"/>
      <c r="G6" s="909"/>
      <c r="H6" s="910"/>
      <c r="I6" s="898"/>
    </row>
    <row r="7" spans="1:9" ht="14.25" customHeight="1" x14ac:dyDescent="0.25">
      <c r="A7" s="911" t="s">
        <v>446</v>
      </c>
      <c r="B7" s="912"/>
      <c r="C7" s="899" t="s">
        <v>444</v>
      </c>
      <c r="D7" s="900"/>
      <c r="E7" s="900"/>
      <c r="F7" s="900"/>
      <c r="G7" s="900"/>
      <c r="H7" s="901"/>
      <c r="I7" s="919">
        <v>0.02</v>
      </c>
    </row>
    <row r="8" spans="1:9" ht="14.25" customHeight="1" x14ac:dyDescent="0.25">
      <c r="A8" s="913"/>
      <c r="B8" s="914"/>
      <c r="C8" s="902"/>
      <c r="D8" s="903"/>
      <c r="E8" s="903"/>
      <c r="F8" s="903"/>
      <c r="G8" s="903"/>
      <c r="H8" s="904"/>
      <c r="I8" s="920"/>
    </row>
    <row r="9" spans="1:9" ht="15.75" customHeight="1" x14ac:dyDescent="0.25">
      <c r="A9" s="255"/>
      <c r="B9" s="302"/>
      <c r="C9" s="302"/>
      <c r="D9" s="302"/>
      <c r="E9" s="302"/>
      <c r="F9" s="302"/>
      <c r="G9" s="302"/>
      <c r="H9" s="302"/>
      <c r="I9" s="301"/>
    </row>
    <row r="10" spans="1:9" ht="15.75" customHeight="1" x14ac:dyDescent="0.25">
      <c r="A10" s="300" t="s">
        <v>441</v>
      </c>
      <c r="B10" s="299"/>
      <c r="C10" s="299"/>
      <c r="D10" s="299"/>
      <c r="E10" s="299"/>
      <c r="F10" s="299"/>
      <c r="G10" s="299"/>
      <c r="H10" s="299"/>
      <c r="I10" s="298"/>
    </row>
    <row r="11" spans="1:9" ht="15.75" customHeight="1" x14ac:dyDescent="0.25">
      <c r="A11" s="312"/>
      <c r="B11" s="255" t="s">
        <v>447</v>
      </c>
      <c r="C11" s="255"/>
      <c r="D11" s="255"/>
      <c r="E11" s="255"/>
      <c r="F11" s="255"/>
      <c r="G11" s="255"/>
      <c r="H11" s="255"/>
      <c r="I11" s="266"/>
    </row>
    <row r="12" spans="1:9" ht="15.75" customHeight="1" x14ac:dyDescent="0.25">
      <c r="A12" s="314"/>
      <c r="B12" s="255" t="s">
        <v>451</v>
      </c>
      <c r="C12" s="255"/>
      <c r="D12" s="255"/>
      <c r="E12" s="255"/>
      <c r="F12" s="255"/>
      <c r="G12" s="255"/>
      <c r="H12" s="255"/>
      <c r="I12" s="266"/>
    </row>
    <row r="13" spans="1:9" ht="15.75" customHeight="1" x14ac:dyDescent="0.25">
      <c r="A13" s="315"/>
      <c r="B13" s="255" t="s">
        <v>463</v>
      </c>
      <c r="C13" s="255"/>
      <c r="D13" s="255"/>
      <c r="E13" s="255"/>
      <c r="F13" s="255"/>
      <c r="G13" s="255"/>
      <c r="H13" s="255"/>
      <c r="I13" s="266"/>
    </row>
    <row r="14" spans="1:9" ht="15.75" customHeight="1" x14ac:dyDescent="0.25">
      <c r="A14" s="316"/>
      <c r="B14" s="278" t="s">
        <v>464</v>
      </c>
      <c r="C14" s="278"/>
      <c r="D14" s="278"/>
      <c r="E14" s="278"/>
      <c r="F14" s="278"/>
      <c r="G14" s="278"/>
      <c r="H14" s="278"/>
      <c r="I14" s="277"/>
    </row>
    <row r="15" spans="1:9" ht="6.95" customHeight="1" thickBot="1" x14ac:dyDescent="0.3">
      <c r="A15" s="255"/>
      <c r="B15" s="297"/>
      <c r="C15" s="297"/>
      <c r="D15" s="297"/>
      <c r="E15" s="297"/>
      <c r="F15" s="297"/>
      <c r="G15" s="297"/>
      <c r="H15" s="255"/>
      <c r="I15" s="255"/>
    </row>
    <row r="16" spans="1:9" ht="15.75" customHeight="1" x14ac:dyDescent="0.25">
      <c r="A16" s="876" t="s">
        <v>440</v>
      </c>
      <c r="B16" s="877"/>
      <c r="C16" s="877" t="s">
        <v>439</v>
      </c>
      <c r="D16" s="877" t="s">
        <v>438</v>
      </c>
      <c r="E16" s="877"/>
      <c r="F16" s="877"/>
      <c r="G16" s="877"/>
      <c r="H16" s="880" t="s">
        <v>437</v>
      </c>
      <c r="I16" s="882" t="s">
        <v>436</v>
      </c>
    </row>
    <row r="17" spans="1:15" x14ac:dyDescent="0.25">
      <c r="A17" s="878"/>
      <c r="B17" s="879"/>
      <c r="C17" s="879"/>
      <c r="D17" s="879"/>
      <c r="E17" s="879"/>
      <c r="F17" s="879"/>
      <c r="G17" s="879"/>
      <c r="H17" s="881"/>
      <c r="I17" s="883"/>
    </row>
    <row r="18" spans="1:15" ht="9.75" customHeight="1" x14ac:dyDescent="0.25">
      <c r="A18" s="856"/>
      <c r="B18" s="857"/>
      <c r="C18" s="857"/>
      <c r="D18" s="857"/>
      <c r="E18" s="857"/>
      <c r="F18" s="857"/>
      <c r="G18" s="857"/>
      <c r="H18" s="857"/>
      <c r="I18" s="858"/>
    </row>
    <row r="19" spans="1:15" x14ac:dyDescent="0.25">
      <c r="A19" s="313"/>
      <c r="B19" s="309" t="s">
        <v>435</v>
      </c>
      <c r="C19" s="310" t="s">
        <v>434</v>
      </c>
      <c r="D19" s="267" t="s">
        <v>493</v>
      </c>
      <c r="E19" s="255"/>
      <c r="F19" s="255"/>
      <c r="G19" s="294"/>
      <c r="H19" s="282" t="s">
        <v>424</v>
      </c>
      <c r="I19" s="353"/>
    </row>
    <row r="20" spans="1:15" x14ac:dyDescent="0.25">
      <c r="A20" s="313"/>
      <c r="B20" s="304" t="s">
        <v>458</v>
      </c>
      <c r="C20" s="283" t="s">
        <v>495</v>
      </c>
      <c r="D20" s="267" t="s">
        <v>494</v>
      </c>
      <c r="E20" s="255"/>
      <c r="F20" s="255"/>
      <c r="G20" s="266"/>
      <c r="H20" s="282" t="s">
        <v>425</v>
      </c>
      <c r="I20" s="350"/>
      <c r="K20" s="255"/>
      <c r="L20" s="255"/>
      <c r="M20" s="255"/>
      <c r="N20" s="296"/>
    </row>
    <row r="21" spans="1:15" x14ac:dyDescent="0.25">
      <c r="A21" s="313"/>
      <c r="B21" s="306"/>
      <c r="C21" s="283" t="s">
        <v>433</v>
      </c>
      <c r="D21" s="295" t="s">
        <v>496</v>
      </c>
      <c r="E21" s="255"/>
      <c r="F21" s="255"/>
      <c r="G21" s="294"/>
      <c r="H21" s="282" t="s">
        <v>497</v>
      </c>
      <c r="I21" s="351" t="s">
        <v>498</v>
      </c>
      <c r="K21" s="255"/>
      <c r="L21" s="255"/>
      <c r="M21" s="255"/>
      <c r="N21" s="255"/>
    </row>
    <row r="22" spans="1:15" x14ac:dyDescent="0.25">
      <c r="A22" s="313"/>
      <c r="B22" s="307"/>
      <c r="C22" s="280"/>
      <c r="D22" s="267"/>
      <c r="E22" s="255"/>
      <c r="F22" s="255"/>
      <c r="G22" s="266"/>
      <c r="H22" s="276"/>
      <c r="I22" s="352"/>
      <c r="K22" s="255"/>
      <c r="L22" s="255"/>
      <c r="M22" s="255"/>
      <c r="N22" s="255"/>
    </row>
    <row r="23" spans="1:15" x14ac:dyDescent="0.25">
      <c r="A23" s="313"/>
      <c r="B23" s="305" t="s">
        <v>432</v>
      </c>
      <c r="C23" s="273" t="s">
        <v>433</v>
      </c>
      <c r="D23" s="287" t="s">
        <v>499</v>
      </c>
      <c r="E23" s="287"/>
      <c r="F23" s="287"/>
      <c r="G23" s="293"/>
      <c r="H23" s="347" t="s">
        <v>424</v>
      </c>
      <c r="I23" s="349"/>
      <c r="K23" s="255"/>
      <c r="L23" s="255"/>
      <c r="M23" s="255"/>
      <c r="N23" s="255"/>
    </row>
    <row r="24" spans="1:15" x14ac:dyDescent="0.25">
      <c r="A24" s="313"/>
      <c r="B24" s="304" t="s">
        <v>459</v>
      </c>
      <c r="C24" s="268"/>
      <c r="D24" s="255"/>
      <c r="E24" s="255"/>
      <c r="F24" s="255"/>
      <c r="G24" s="255"/>
      <c r="H24" s="310" t="s">
        <v>497</v>
      </c>
      <c r="I24" s="350"/>
      <c r="K24" s="255"/>
      <c r="L24" s="255"/>
      <c r="M24" s="255"/>
      <c r="N24" s="255"/>
    </row>
    <row r="25" spans="1:15" x14ac:dyDescent="0.25">
      <c r="A25" s="313"/>
      <c r="B25" s="306"/>
      <c r="C25" s="268" t="s">
        <v>429</v>
      </c>
      <c r="D25" s="255" t="s">
        <v>465</v>
      </c>
      <c r="E25" s="255"/>
      <c r="F25" s="255"/>
      <c r="G25" s="255"/>
      <c r="H25" s="310"/>
      <c r="I25" s="351" t="s">
        <v>467</v>
      </c>
      <c r="K25" s="255"/>
      <c r="L25" s="255"/>
      <c r="M25" s="255"/>
      <c r="N25" s="255"/>
    </row>
    <row r="26" spans="1:15" x14ac:dyDescent="0.25">
      <c r="A26" s="313"/>
      <c r="B26" s="307"/>
      <c r="C26" s="292"/>
      <c r="D26" s="278"/>
      <c r="E26" s="278"/>
      <c r="F26" s="278"/>
      <c r="G26" s="278"/>
      <c r="H26" s="348"/>
      <c r="I26" s="352"/>
      <c r="K26" s="255"/>
      <c r="L26" s="255"/>
      <c r="M26" s="255"/>
      <c r="N26" s="255"/>
    </row>
    <row r="27" spans="1:15" x14ac:dyDescent="0.25">
      <c r="A27" s="313"/>
      <c r="B27" s="308" t="s">
        <v>431</v>
      </c>
      <c r="C27" s="273" t="s">
        <v>500</v>
      </c>
      <c r="D27" s="267" t="s">
        <v>466</v>
      </c>
      <c r="E27" s="255"/>
      <c r="F27" s="255"/>
      <c r="G27" s="266"/>
      <c r="H27" s="272" t="s">
        <v>424</v>
      </c>
      <c r="I27" s="354"/>
      <c r="K27" s="255"/>
      <c r="L27" s="255"/>
      <c r="M27" s="255"/>
      <c r="N27" s="255"/>
    </row>
    <row r="28" spans="1:15" x14ac:dyDescent="0.25">
      <c r="A28" s="313"/>
      <c r="B28" s="304" t="s">
        <v>460</v>
      </c>
      <c r="C28" s="268"/>
      <c r="D28" s="267"/>
      <c r="E28" s="255"/>
      <c r="F28" s="255"/>
      <c r="G28" s="266"/>
      <c r="H28" s="265"/>
      <c r="I28" s="351" t="s">
        <v>468</v>
      </c>
    </row>
    <row r="29" spans="1:15" x14ac:dyDescent="0.25">
      <c r="A29" s="313"/>
      <c r="B29" s="306"/>
      <c r="C29" s="268"/>
      <c r="D29" s="267"/>
      <c r="E29" s="255"/>
      <c r="F29" s="255"/>
      <c r="G29" s="266"/>
      <c r="H29" s="265"/>
      <c r="I29" s="351" t="s">
        <v>469</v>
      </c>
    </row>
    <row r="30" spans="1:15" ht="15" customHeight="1" x14ac:dyDescent="0.25">
      <c r="A30" s="314"/>
      <c r="B30" s="254"/>
      <c r="C30" s="265"/>
      <c r="D30" s="267"/>
      <c r="E30" s="255"/>
      <c r="F30" s="255"/>
      <c r="G30" s="266"/>
      <c r="H30" s="265"/>
      <c r="I30" s="355" t="s">
        <v>471</v>
      </c>
    </row>
    <row r="31" spans="1:15" ht="14.25" customHeight="1" x14ac:dyDescent="0.25">
      <c r="A31" s="927" t="s">
        <v>428</v>
      </c>
      <c r="B31" s="860"/>
      <c r="C31" s="860"/>
      <c r="D31" s="860"/>
      <c r="E31" s="860"/>
      <c r="F31" s="860"/>
      <c r="G31" s="860"/>
      <c r="H31" s="860"/>
      <c r="I31" s="928"/>
      <c r="K31" s="255"/>
      <c r="L31" s="255"/>
      <c r="M31" s="255"/>
      <c r="N31" s="255"/>
      <c r="O31" s="255"/>
    </row>
    <row r="32" spans="1:15" ht="14.25" customHeight="1" x14ac:dyDescent="0.25">
      <c r="A32" s="929"/>
      <c r="B32" s="863"/>
      <c r="C32" s="863"/>
      <c r="D32" s="863"/>
      <c r="E32" s="863"/>
      <c r="F32" s="863"/>
      <c r="G32" s="863"/>
      <c r="H32" s="863"/>
      <c r="I32" s="930"/>
      <c r="K32" s="255"/>
      <c r="L32" s="255"/>
      <c r="M32" s="255"/>
      <c r="N32" s="255"/>
      <c r="O32" s="255"/>
    </row>
    <row r="33" spans="1:15" ht="9.75" customHeight="1" x14ac:dyDescent="0.25">
      <c r="A33" s="931"/>
      <c r="B33" s="932"/>
      <c r="C33" s="932"/>
      <c r="D33" s="932"/>
      <c r="E33" s="932"/>
      <c r="F33" s="932"/>
      <c r="G33" s="932"/>
      <c r="H33" s="932"/>
      <c r="I33" s="933"/>
      <c r="K33" s="255"/>
      <c r="L33" s="255"/>
      <c r="M33" s="255"/>
      <c r="N33" s="255"/>
      <c r="O33" s="255"/>
    </row>
    <row r="34" spans="1:15" ht="15.75" customHeight="1" x14ac:dyDescent="0.25">
      <c r="A34" s="356"/>
      <c r="B34" s="290" t="s">
        <v>427</v>
      </c>
      <c r="C34" s="283" t="s">
        <v>495</v>
      </c>
      <c r="D34" s="267" t="s">
        <v>501</v>
      </c>
      <c r="E34" s="255"/>
      <c r="F34" s="255"/>
      <c r="G34" s="266"/>
      <c r="H34" s="282"/>
      <c r="I34" s="351" t="s">
        <v>475</v>
      </c>
      <c r="K34" s="255"/>
      <c r="L34" s="255"/>
      <c r="M34" s="255"/>
      <c r="N34" s="255"/>
      <c r="O34" s="255"/>
    </row>
    <row r="35" spans="1:15" x14ac:dyDescent="0.25">
      <c r="A35" s="356"/>
      <c r="B35" s="319" t="s">
        <v>461</v>
      </c>
      <c r="C35" s="283" t="s">
        <v>433</v>
      </c>
      <c r="D35" s="267" t="s">
        <v>473</v>
      </c>
      <c r="E35" s="255"/>
      <c r="F35" s="255"/>
      <c r="G35" s="266"/>
      <c r="H35" s="282"/>
      <c r="I35" s="351" t="s">
        <v>474</v>
      </c>
      <c r="K35" s="255"/>
      <c r="L35" s="255"/>
      <c r="M35" s="255"/>
      <c r="N35" s="255"/>
      <c r="O35" s="255"/>
    </row>
    <row r="36" spans="1:15" ht="15.75" customHeight="1" x14ac:dyDescent="0.25">
      <c r="A36" s="356"/>
      <c r="B36" s="269"/>
      <c r="C36" s="283"/>
      <c r="D36" s="267"/>
      <c r="E36" s="255"/>
      <c r="F36" s="255"/>
      <c r="G36" s="266"/>
      <c r="H36" s="282"/>
      <c r="I36" s="350"/>
      <c r="K36" s="255"/>
      <c r="L36" s="255"/>
      <c r="M36" s="255"/>
      <c r="N36" s="255"/>
      <c r="O36" s="255"/>
    </row>
    <row r="37" spans="1:15" ht="15.75" customHeight="1" x14ac:dyDescent="0.25">
      <c r="A37" s="356"/>
      <c r="B37" s="281"/>
      <c r="C37" s="280"/>
      <c r="D37" s="279"/>
      <c r="E37" s="278"/>
      <c r="F37" s="278"/>
      <c r="G37" s="277"/>
      <c r="H37" s="276"/>
      <c r="I37" s="352"/>
    </row>
    <row r="38" spans="1:15" x14ac:dyDescent="0.25">
      <c r="A38" s="356"/>
      <c r="B38" s="274" t="s">
        <v>423</v>
      </c>
      <c r="C38" s="273" t="s">
        <v>429</v>
      </c>
      <c r="D38" s="267" t="s">
        <v>455</v>
      </c>
      <c r="E38" s="255"/>
      <c r="F38" s="255"/>
      <c r="G38" s="266"/>
      <c r="H38" s="272"/>
      <c r="I38" s="354"/>
    </row>
    <row r="39" spans="1:15" ht="15.75" customHeight="1" x14ac:dyDescent="0.25">
      <c r="A39" s="356"/>
      <c r="B39" s="270" t="s">
        <v>462</v>
      </c>
      <c r="C39" s="268" t="s">
        <v>426</v>
      </c>
      <c r="D39" s="267" t="s">
        <v>456</v>
      </c>
      <c r="E39" s="255"/>
      <c r="F39" s="255"/>
      <c r="G39" s="266"/>
      <c r="H39" s="265"/>
      <c r="I39" s="350"/>
    </row>
    <row r="40" spans="1:15" ht="15.75" customHeight="1" x14ac:dyDescent="0.25">
      <c r="A40" s="356"/>
      <c r="B40" s="269"/>
      <c r="C40" s="268" t="s">
        <v>434</v>
      </c>
      <c r="D40" s="267" t="s">
        <v>457</v>
      </c>
      <c r="E40" s="255"/>
      <c r="F40" s="255"/>
      <c r="G40" s="266"/>
      <c r="H40" s="265"/>
      <c r="I40" s="350"/>
    </row>
    <row r="41" spans="1:15" ht="15.75" customHeight="1" x14ac:dyDescent="0.25">
      <c r="A41" s="357"/>
      <c r="B41" s="358"/>
      <c r="C41" s="291"/>
      <c r="D41" s="279"/>
      <c r="E41" s="278"/>
      <c r="F41" s="278"/>
      <c r="G41" s="277"/>
      <c r="H41" s="291"/>
      <c r="I41" s="352"/>
    </row>
    <row r="42" spans="1:15" ht="6.95" customHeight="1" x14ac:dyDescent="0.25">
      <c r="A42" s="255"/>
      <c r="B42" s="257"/>
      <c r="C42" s="256"/>
      <c r="D42" s="255"/>
      <c r="E42" s="255"/>
      <c r="F42" s="255"/>
      <c r="G42" s="255"/>
      <c r="H42" s="255"/>
      <c r="I42" s="255"/>
    </row>
    <row r="43" spans="1:15" ht="15.75" customHeight="1" x14ac:dyDescent="0.25">
      <c r="A43" s="867" t="s">
        <v>422</v>
      </c>
      <c r="B43" s="868"/>
      <c r="C43" s="868"/>
      <c r="D43" s="869"/>
      <c r="E43" s="867" t="s">
        <v>421</v>
      </c>
      <c r="F43" s="868"/>
      <c r="G43" s="867" t="s">
        <v>420</v>
      </c>
      <c r="H43" s="868"/>
      <c r="I43" s="869"/>
    </row>
    <row r="44" spans="1:15" ht="15.75" customHeight="1" x14ac:dyDescent="0.25">
      <c r="A44" s="870"/>
      <c r="B44" s="871"/>
      <c r="C44" s="871"/>
      <c r="D44" s="872"/>
      <c r="E44" s="870"/>
      <c r="F44" s="871"/>
      <c r="G44" s="873"/>
      <c r="H44" s="874"/>
      <c r="I44" s="875"/>
    </row>
    <row r="45" spans="1:15" ht="15.75" customHeight="1" x14ac:dyDescent="0.25">
      <c r="A45" s="924" t="s">
        <v>502</v>
      </c>
      <c r="B45" s="925"/>
      <c r="C45" s="925"/>
      <c r="D45" s="926"/>
      <c r="E45" s="848" t="s">
        <v>419</v>
      </c>
      <c r="F45" s="849"/>
      <c r="G45" s="850"/>
      <c r="H45" s="851"/>
      <c r="I45" s="852"/>
    </row>
    <row r="46" spans="1:15" ht="15.75" customHeight="1" x14ac:dyDescent="0.25">
      <c r="A46" s="853"/>
      <c r="B46" s="854"/>
      <c r="C46" s="854"/>
      <c r="D46" s="855"/>
      <c r="E46" s="822"/>
      <c r="F46" s="823"/>
      <c r="G46" s="824"/>
      <c r="H46" s="825"/>
      <c r="I46" s="826"/>
    </row>
    <row r="47" spans="1:15" ht="15.75" customHeight="1" x14ac:dyDescent="0.25">
      <c r="A47" s="819"/>
      <c r="B47" s="820"/>
      <c r="C47" s="820"/>
      <c r="D47" s="821"/>
      <c r="E47" s="822"/>
      <c r="F47" s="823"/>
      <c r="G47" s="824"/>
      <c r="H47" s="825"/>
      <c r="I47" s="826"/>
    </row>
    <row r="48" spans="1:15" ht="15.75" customHeight="1" x14ac:dyDescent="0.25">
      <c r="A48" s="921" t="s">
        <v>503</v>
      </c>
      <c r="B48" s="922"/>
      <c r="C48" s="922"/>
      <c r="D48" s="923"/>
      <c r="E48" s="838"/>
      <c r="F48" s="823"/>
      <c r="G48" s="839"/>
      <c r="H48" s="840"/>
      <c r="I48" s="841"/>
    </row>
    <row r="49" spans="1:9" ht="15.75" customHeight="1" x14ac:dyDescent="0.25">
      <c r="A49" s="835"/>
      <c r="B49" s="836"/>
      <c r="C49" s="836"/>
      <c r="D49" s="837"/>
      <c r="E49" s="838"/>
      <c r="F49" s="823"/>
      <c r="G49" s="842"/>
      <c r="H49" s="843"/>
      <c r="I49" s="844"/>
    </row>
    <row r="50" spans="1:9" ht="15.75" customHeight="1" x14ac:dyDescent="0.25">
      <c r="A50" s="827"/>
      <c r="B50" s="828"/>
      <c r="C50" s="828"/>
      <c r="D50" s="829"/>
      <c r="E50" s="830"/>
      <c r="F50" s="831"/>
      <c r="G50" s="832"/>
      <c r="H50" s="833"/>
      <c r="I50" s="834"/>
    </row>
    <row r="51" spans="1:9" ht="15.75" customHeight="1" x14ac:dyDescent="0.25"/>
    <row r="52" spans="1:9" ht="15.75" customHeight="1" x14ac:dyDescent="0.25"/>
    <row r="53" spans="1:9" ht="15.75" customHeight="1" x14ac:dyDescent="0.25"/>
    <row r="54" spans="1:9" ht="15.75" customHeight="1" x14ac:dyDescent="0.25"/>
    <row r="55" spans="1:9" ht="15.75" customHeight="1" x14ac:dyDescent="0.25"/>
  </sheetData>
  <mergeCells count="39">
    <mergeCell ref="A1:E2"/>
    <mergeCell ref="F1:H2"/>
    <mergeCell ref="I1:I2"/>
    <mergeCell ref="A4:B4"/>
    <mergeCell ref="A5:B6"/>
    <mergeCell ref="C5:H6"/>
    <mergeCell ref="I5:I6"/>
    <mergeCell ref="A7:B8"/>
    <mergeCell ref="C7:H8"/>
    <mergeCell ref="I7:I8"/>
    <mergeCell ref="A16:B17"/>
    <mergeCell ref="C16:C17"/>
    <mergeCell ref="D16:G17"/>
    <mergeCell ref="H16:H17"/>
    <mergeCell ref="I16:I17"/>
    <mergeCell ref="A18:I18"/>
    <mergeCell ref="A31:I32"/>
    <mergeCell ref="A33:I33"/>
    <mergeCell ref="A43:D44"/>
    <mergeCell ref="E43:F44"/>
    <mergeCell ref="G43:I44"/>
    <mergeCell ref="A45:D45"/>
    <mergeCell ref="E45:F45"/>
    <mergeCell ref="G45:I45"/>
    <mergeCell ref="A46:D46"/>
    <mergeCell ref="E46:F46"/>
    <mergeCell ref="G46:I46"/>
    <mergeCell ref="A47:D47"/>
    <mergeCell ref="E47:F47"/>
    <mergeCell ref="G47:I47"/>
    <mergeCell ref="A48:D48"/>
    <mergeCell ref="E48:F48"/>
    <mergeCell ref="G48:I48"/>
    <mergeCell ref="A49:D49"/>
    <mergeCell ref="E49:F49"/>
    <mergeCell ref="G49:I49"/>
    <mergeCell ref="A50:D50"/>
    <mergeCell ref="E50:F50"/>
    <mergeCell ref="G50:I50"/>
  </mergeCells>
  <hyperlinks>
    <hyperlink ref="I28" r:id="rId1" xr:uid="{4413ACC7-6A1A-43A6-9A54-DC3AA0071800}"/>
    <hyperlink ref="I29" r:id="rId2" xr:uid="{6303013F-FF42-4435-B760-7E716B892C65}"/>
    <hyperlink ref="I30" r:id="rId3" xr:uid="{575BA62C-DEA8-44BD-91A9-8F335432EEA2}"/>
    <hyperlink ref="I35" r:id="rId4" xr:uid="{A055C0E5-CC8A-4BD3-A456-678B49BAA43E}"/>
    <hyperlink ref="I34" r:id="rId5" xr:uid="{F1148774-2596-43FB-9EF1-D574DADFC961}"/>
    <hyperlink ref="I25" r:id="rId6" xr:uid="{C8BF70CA-AD0A-483D-95F7-14C6CD6B2681}"/>
    <hyperlink ref="I21" r:id="rId7" xr:uid="{1F971A9B-276A-4589-8533-ACC6D501D5A8}"/>
  </hyperlinks>
  <pageMargins left="0.25" right="0.25" top="0.75" bottom="0.75" header="0.3" footer="0.3"/>
  <pageSetup paperSize="9" orientation="portrait" r:id="rId8"/>
  <headerFooter>
    <oddHeader>&amp;LGBS SG&amp;CSSPb23-25&amp;RBKU</oddHeader>
    <oddFooter>&amp;R&amp;"Century Gothic,Standard"&amp;9ART &amp;D</oddFooter>
  </headerFooter>
  <drawing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0857D-386D-4BE8-9743-B0BC03840623}">
  <dimension ref="A1:O55"/>
  <sheetViews>
    <sheetView view="pageLayout" topLeftCell="A13" zoomScale="70" zoomScaleNormal="100" zoomScalePageLayoutView="70" workbookViewId="0">
      <selection activeCell="I12" sqref="I12"/>
    </sheetView>
  </sheetViews>
  <sheetFormatPr baseColWidth="10" defaultColWidth="11.42578125" defaultRowHeight="15" x14ac:dyDescent="0.25"/>
  <cols>
    <col min="1" max="1" width="1.5703125" customWidth="1"/>
    <col min="2" max="2" width="13.85546875" customWidth="1"/>
    <col min="3" max="3" width="4.7109375" customWidth="1"/>
    <col min="4" max="4" width="16.28515625" customWidth="1"/>
    <col min="5" max="5" width="13.28515625" customWidth="1"/>
    <col min="6" max="6" width="13" customWidth="1"/>
    <col min="7" max="7" width="12.7109375" customWidth="1"/>
    <col min="8" max="8" width="4.85546875" customWidth="1"/>
    <col min="9" max="9" width="16.7109375" customWidth="1"/>
  </cols>
  <sheetData>
    <row r="1" spans="1:9" ht="15" customHeight="1" x14ac:dyDescent="0.25">
      <c r="A1" s="884" t="s">
        <v>443</v>
      </c>
      <c r="B1" s="885"/>
      <c r="C1" s="885"/>
      <c r="D1" s="885"/>
      <c r="E1" s="886"/>
      <c r="F1" s="890">
        <f>Kompetenzraster!R9</f>
        <v>45532</v>
      </c>
      <c r="G1" s="891"/>
      <c r="H1" s="892"/>
      <c r="I1" s="896">
        <v>3</v>
      </c>
    </row>
    <row r="2" spans="1:9" ht="15" customHeight="1" x14ac:dyDescent="0.25">
      <c r="A2" s="887"/>
      <c r="B2" s="888"/>
      <c r="C2" s="888"/>
      <c r="D2" s="888"/>
      <c r="E2" s="889"/>
      <c r="F2" s="893"/>
      <c r="G2" s="894"/>
      <c r="H2" s="895"/>
      <c r="I2" s="896"/>
    </row>
    <row r="3" spans="1:9" ht="15.75" customHeight="1" x14ac:dyDescent="0.25">
      <c r="A3" s="255"/>
      <c r="B3" s="303"/>
      <c r="C3" s="303"/>
      <c r="D3" s="303"/>
      <c r="E3" s="303"/>
      <c r="F3" s="301"/>
      <c r="G3" s="301"/>
      <c r="H3" s="301"/>
      <c r="I3" s="301"/>
    </row>
    <row r="4" spans="1:9" ht="15.75" customHeight="1" x14ac:dyDescent="0.25">
      <c r="A4" s="897" t="s">
        <v>442</v>
      </c>
      <c r="B4" s="897"/>
      <c r="C4" s="303"/>
      <c r="D4" s="303"/>
      <c r="E4" s="303"/>
      <c r="F4" s="301"/>
      <c r="G4" s="301"/>
      <c r="H4" s="301"/>
      <c r="I4" s="301"/>
    </row>
    <row r="5" spans="1:9" ht="14.25" customHeight="1" x14ac:dyDescent="0.25">
      <c r="A5" s="915" t="s">
        <v>445</v>
      </c>
      <c r="B5" s="916"/>
      <c r="C5" s="905" t="s">
        <v>522</v>
      </c>
      <c r="D5" s="906"/>
      <c r="E5" s="906"/>
      <c r="F5" s="906"/>
      <c r="G5" s="906"/>
      <c r="H5" s="907"/>
      <c r="I5" s="898">
        <v>3.4</v>
      </c>
    </row>
    <row r="6" spans="1:9" ht="14.25" customHeight="1" x14ac:dyDescent="0.25">
      <c r="A6" s="917"/>
      <c r="B6" s="918"/>
      <c r="C6" s="908"/>
      <c r="D6" s="909"/>
      <c r="E6" s="909"/>
      <c r="F6" s="909"/>
      <c r="G6" s="909"/>
      <c r="H6" s="910"/>
      <c r="I6" s="898"/>
    </row>
    <row r="7" spans="1:9" ht="14.25" customHeight="1" x14ac:dyDescent="0.25">
      <c r="A7" s="911" t="s">
        <v>446</v>
      </c>
      <c r="B7" s="912"/>
      <c r="C7" s="899" t="s">
        <v>521</v>
      </c>
      <c r="D7" s="900"/>
      <c r="E7" s="900"/>
      <c r="F7" s="900"/>
      <c r="G7" s="900"/>
      <c r="H7" s="901"/>
      <c r="I7" s="919">
        <v>3.1</v>
      </c>
    </row>
    <row r="8" spans="1:9" ht="14.25" customHeight="1" x14ac:dyDescent="0.25">
      <c r="A8" s="913"/>
      <c r="B8" s="914"/>
      <c r="C8" s="902"/>
      <c r="D8" s="903"/>
      <c r="E8" s="903"/>
      <c r="F8" s="903"/>
      <c r="G8" s="903"/>
      <c r="H8" s="904"/>
      <c r="I8" s="920"/>
    </row>
    <row r="9" spans="1:9" ht="15.75" customHeight="1" x14ac:dyDescent="0.25">
      <c r="A9" s="255"/>
      <c r="B9" s="302"/>
      <c r="C9" s="302"/>
      <c r="D9" s="302"/>
      <c r="E9" s="302"/>
      <c r="F9" s="302"/>
      <c r="G9" s="302"/>
      <c r="H9" s="302"/>
      <c r="I9" s="301"/>
    </row>
    <row r="10" spans="1:9" ht="15.75" customHeight="1" x14ac:dyDescent="0.25">
      <c r="A10" s="300" t="s">
        <v>441</v>
      </c>
      <c r="B10" s="299"/>
      <c r="C10" s="299"/>
      <c r="D10" s="299"/>
      <c r="E10" s="299"/>
      <c r="F10" s="299"/>
      <c r="G10" s="299"/>
      <c r="H10" s="299"/>
      <c r="I10" s="298"/>
    </row>
    <row r="11" spans="1:9" ht="15.75" customHeight="1" x14ac:dyDescent="0.25">
      <c r="A11" s="312"/>
      <c r="B11" s="255" t="s">
        <v>504</v>
      </c>
      <c r="C11" s="255"/>
      <c r="D11" s="255"/>
      <c r="E11" s="255"/>
      <c r="F11" s="255"/>
      <c r="G11" s="255"/>
      <c r="H11" s="255"/>
      <c r="I11" s="266"/>
    </row>
    <row r="12" spans="1:9" ht="15.75" customHeight="1" x14ac:dyDescent="0.25">
      <c r="A12" s="314"/>
      <c r="B12" s="255"/>
      <c r="C12" s="255"/>
      <c r="D12" s="255"/>
      <c r="E12" s="255"/>
      <c r="F12" s="255"/>
      <c r="G12" s="255"/>
      <c r="H12" s="255"/>
      <c r="I12" s="266"/>
    </row>
    <row r="13" spans="1:9" ht="15.75" customHeight="1" x14ac:dyDescent="0.25">
      <c r="A13" s="315"/>
      <c r="B13" s="255" t="s">
        <v>463</v>
      </c>
      <c r="C13" s="255"/>
      <c r="D13" s="255"/>
      <c r="E13" s="255"/>
      <c r="F13" s="255"/>
      <c r="G13" s="255"/>
      <c r="H13" s="255"/>
      <c r="I13" s="266"/>
    </row>
    <row r="14" spans="1:9" ht="15.75" customHeight="1" x14ac:dyDescent="0.25">
      <c r="A14" s="316"/>
      <c r="B14" s="278" t="s">
        <v>464</v>
      </c>
      <c r="C14" s="278"/>
      <c r="D14" s="278"/>
      <c r="E14" s="278"/>
      <c r="F14" s="278"/>
      <c r="G14" s="278"/>
      <c r="H14" s="278"/>
      <c r="I14" s="277"/>
    </row>
    <row r="15" spans="1:9" ht="6.95" customHeight="1" thickBot="1" x14ac:dyDescent="0.3">
      <c r="A15" s="255"/>
      <c r="B15" s="297"/>
      <c r="C15" s="297"/>
      <c r="D15" s="297"/>
      <c r="E15" s="297"/>
      <c r="F15" s="297"/>
      <c r="G15" s="297"/>
      <c r="H15" s="255"/>
      <c r="I15" s="255"/>
    </row>
    <row r="16" spans="1:9" ht="15.75" customHeight="1" x14ac:dyDescent="0.25">
      <c r="A16" s="876" t="s">
        <v>440</v>
      </c>
      <c r="B16" s="877"/>
      <c r="C16" s="877" t="s">
        <v>439</v>
      </c>
      <c r="D16" s="877" t="s">
        <v>438</v>
      </c>
      <c r="E16" s="877"/>
      <c r="F16" s="877"/>
      <c r="G16" s="877"/>
      <c r="H16" s="880" t="s">
        <v>437</v>
      </c>
      <c r="I16" s="882" t="s">
        <v>436</v>
      </c>
    </row>
    <row r="17" spans="1:15" x14ac:dyDescent="0.25">
      <c r="A17" s="878"/>
      <c r="B17" s="879"/>
      <c r="C17" s="879"/>
      <c r="D17" s="879"/>
      <c r="E17" s="879"/>
      <c r="F17" s="879"/>
      <c r="G17" s="879"/>
      <c r="H17" s="881"/>
      <c r="I17" s="883"/>
    </row>
    <row r="18" spans="1:15" ht="9.75" customHeight="1" x14ac:dyDescent="0.25">
      <c r="A18" s="856"/>
      <c r="B18" s="857"/>
      <c r="C18" s="857"/>
      <c r="D18" s="857"/>
      <c r="E18" s="857"/>
      <c r="F18" s="857"/>
      <c r="G18" s="857"/>
      <c r="H18" s="857"/>
      <c r="I18" s="858"/>
    </row>
    <row r="19" spans="1:15" x14ac:dyDescent="0.25">
      <c r="A19" s="313"/>
      <c r="B19" s="309" t="s">
        <v>435</v>
      </c>
      <c r="C19" s="310" t="s">
        <v>434</v>
      </c>
      <c r="D19" s="267" t="s">
        <v>493</v>
      </c>
      <c r="E19" s="255"/>
      <c r="F19" s="255"/>
      <c r="G19" s="294"/>
      <c r="H19" s="282" t="s">
        <v>424</v>
      </c>
      <c r="I19" s="353"/>
    </row>
    <row r="20" spans="1:15" x14ac:dyDescent="0.25">
      <c r="A20" s="313"/>
      <c r="B20" s="304" t="s">
        <v>458</v>
      </c>
      <c r="C20" s="283" t="s">
        <v>495</v>
      </c>
      <c r="D20" s="267" t="s">
        <v>505</v>
      </c>
      <c r="E20" s="255"/>
      <c r="F20" s="255"/>
      <c r="G20" s="266"/>
      <c r="H20" s="282" t="s">
        <v>425</v>
      </c>
      <c r="I20" s="350"/>
      <c r="K20" s="255"/>
      <c r="L20" s="255"/>
      <c r="M20" s="255"/>
      <c r="N20" s="296"/>
    </row>
    <row r="21" spans="1:15" x14ac:dyDescent="0.25">
      <c r="A21" s="313"/>
      <c r="B21" s="306"/>
      <c r="C21" s="283" t="s">
        <v>433</v>
      </c>
      <c r="D21" s="295" t="s">
        <v>506</v>
      </c>
      <c r="E21" s="255"/>
      <c r="F21" s="255"/>
      <c r="G21" s="294"/>
      <c r="H21" s="282" t="s">
        <v>507</v>
      </c>
      <c r="I21" s="351"/>
      <c r="K21" s="255"/>
      <c r="L21" s="255"/>
      <c r="M21" s="255"/>
      <c r="N21" s="255"/>
    </row>
    <row r="22" spans="1:15" x14ac:dyDescent="0.25">
      <c r="A22" s="313"/>
      <c r="B22" s="307"/>
      <c r="C22" s="280"/>
      <c r="D22" s="267"/>
      <c r="E22" s="255"/>
      <c r="F22" s="255"/>
      <c r="G22" s="266"/>
      <c r="H22" s="276"/>
      <c r="I22" s="352"/>
      <c r="K22" s="255"/>
      <c r="L22" s="255"/>
      <c r="M22" s="255"/>
      <c r="N22" s="255"/>
    </row>
    <row r="23" spans="1:15" x14ac:dyDescent="0.25">
      <c r="A23" s="313"/>
      <c r="B23" s="305" t="s">
        <v>432</v>
      </c>
      <c r="C23" s="273" t="s">
        <v>495</v>
      </c>
      <c r="D23" s="287" t="s">
        <v>508</v>
      </c>
      <c r="E23" s="287"/>
      <c r="F23" s="287"/>
      <c r="G23" s="293"/>
      <c r="H23" s="347" t="s">
        <v>424</v>
      </c>
      <c r="I23" s="349"/>
      <c r="K23" s="255"/>
      <c r="L23" s="255"/>
      <c r="M23" s="255"/>
      <c r="N23" s="255"/>
    </row>
    <row r="24" spans="1:15" x14ac:dyDescent="0.25">
      <c r="A24" s="313"/>
      <c r="B24" s="304" t="s">
        <v>459</v>
      </c>
      <c r="C24" s="268" t="s">
        <v>495</v>
      </c>
      <c r="D24" s="255" t="s">
        <v>509</v>
      </c>
      <c r="E24" s="255"/>
      <c r="F24" s="255"/>
      <c r="G24" s="255"/>
      <c r="H24" s="310" t="s">
        <v>424</v>
      </c>
      <c r="I24" s="350"/>
      <c r="K24" s="255"/>
      <c r="L24" s="255"/>
      <c r="M24" s="255"/>
      <c r="N24" s="255"/>
    </row>
    <row r="25" spans="1:15" x14ac:dyDescent="0.25">
      <c r="A25" s="313"/>
      <c r="B25" s="306"/>
      <c r="C25" s="268" t="s">
        <v>495</v>
      </c>
      <c r="D25" s="255" t="s">
        <v>510</v>
      </c>
      <c r="E25" s="255"/>
      <c r="F25" s="255"/>
      <c r="G25" s="255"/>
      <c r="H25" s="310" t="s">
        <v>424</v>
      </c>
      <c r="I25" s="351"/>
      <c r="K25" s="255"/>
      <c r="L25" s="255"/>
      <c r="M25" s="255"/>
      <c r="N25" s="255"/>
    </row>
    <row r="26" spans="1:15" x14ac:dyDescent="0.25">
      <c r="A26" s="313"/>
      <c r="B26" s="307"/>
      <c r="C26" s="292" t="s">
        <v>429</v>
      </c>
      <c r="D26" s="278" t="s">
        <v>511</v>
      </c>
      <c r="E26" s="278"/>
      <c r="F26" s="278"/>
      <c r="G26" s="278"/>
      <c r="H26" s="348" t="s">
        <v>424</v>
      </c>
      <c r="I26" s="350"/>
      <c r="K26" s="255"/>
      <c r="L26" s="255"/>
      <c r="M26" s="255"/>
      <c r="N26" s="255"/>
    </row>
    <row r="27" spans="1:15" x14ac:dyDescent="0.25">
      <c r="A27" s="313"/>
      <c r="B27" s="308" t="s">
        <v>431</v>
      </c>
      <c r="C27" s="273" t="s">
        <v>429</v>
      </c>
      <c r="D27" s="267" t="s">
        <v>466</v>
      </c>
      <c r="E27" s="255"/>
      <c r="F27" s="255"/>
      <c r="G27" s="266"/>
      <c r="H27" s="347" t="s">
        <v>425</v>
      </c>
      <c r="I27" s="354" t="s">
        <v>471</v>
      </c>
      <c r="K27" s="255"/>
      <c r="L27" s="255"/>
      <c r="M27" s="255"/>
      <c r="N27" s="255"/>
    </row>
    <row r="28" spans="1:15" x14ac:dyDescent="0.25">
      <c r="A28" s="313"/>
      <c r="B28" s="304" t="s">
        <v>460</v>
      </c>
      <c r="C28" s="268" t="s">
        <v>433</v>
      </c>
      <c r="D28" s="267" t="s">
        <v>512</v>
      </c>
      <c r="E28" s="255"/>
      <c r="F28" s="255"/>
      <c r="G28" s="266"/>
      <c r="H28" s="310" t="s">
        <v>497</v>
      </c>
      <c r="I28" s="351"/>
    </row>
    <row r="29" spans="1:15" x14ac:dyDescent="0.25">
      <c r="A29" s="313"/>
      <c r="B29" s="306"/>
      <c r="C29" s="268"/>
      <c r="D29" s="267"/>
      <c r="E29" s="255"/>
      <c r="F29" s="255"/>
      <c r="G29" s="266"/>
      <c r="H29" s="310"/>
      <c r="I29" s="351"/>
    </row>
    <row r="30" spans="1:15" ht="15" customHeight="1" x14ac:dyDescent="0.25">
      <c r="A30" s="314"/>
      <c r="B30" s="254"/>
      <c r="C30" s="265"/>
      <c r="D30" s="267"/>
      <c r="E30" s="255"/>
      <c r="F30" s="255"/>
      <c r="G30" s="266"/>
      <c r="H30" s="310"/>
      <c r="I30" s="355"/>
    </row>
    <row r="31" spans="1:15" ht="14.25" customHeight="1" x14ac:dyDescent="0.25">
      <c r="A31" s="927" t="s">
        <v>428</v>
      </c>
      <c r="B31" s="860"/>
      <c r="C31" s="860"/>
      <c r="D31" s="860"/>
      <c r="E31" s="860"/>
      <c r="F31" s="860"/>
      <c r="G31" s="860"/>
      <c r="H31" s="860"/>
      <c r="I31" s="934"/>
      <c r="K31" s="255"/>
      <c r="L31" s="255"/>
      <c r="M31" s="255"/>
      <c r="N31" s="255"/>
      <c r="O31" s="255"/>
    </row>
    <row r="32" spans="1:15" ht="14.25" customHeight="1" x14ac:dyDescent="0.25">
      <c r="A32" s="929"/>
      <c r="B32" s="863"/>
      <c r="C32" s="863"/>
      <c r="D32" s="863"/>
      <c r="E32" s="863"/>
      <c r="F32" s="863"/>
      <c r="G32" s="863"/>
      <c r="H32" s="863"/>
      <c r="I32" s="930"/>
      <c r="K32" s="255"/>
      <c r="L32" s="255"/>
      <c r="M32" s="255"/>
      <c r="N32" s="255"/>
      <c r="O32" s="255"/>
    </row>
    <row r="33" spans="1:15" ht="9.75" customHeight="1" x14ac:dyDescent="0.25">
      <c r="A33" s="931"/>
      <c r="B33" s="932"/>
      <c r="C33" s="932"/>
      <c r="D33" s="932"/>
      <c r="E33" s="932"/>
      <c r="F33" s="932"/>
      <c r="G33" s="932"/>
      <c r="H33" s="932"/>
      <c r="I33" s="933"/>
      <c r="K33" s="255"/>
      <c r="L33" s="255"/>
      <c r="M33" s="255"/>
      <c r="N33" s="255"/>
      <c r="O33" s="255"/>
    </row>
    <row r="34" spans="1:15" ht="15.75" customHeight="1" x14ac:dyDescent="0.25">
      <c r="A34" s="356"/>
      <c r="B34" s="290" t="s">
        <v>427</v>
      </c>
      <c r="C34" s="283" t="s">
        <v>495</v>
      </c>
      <c r="D34" s="267" t="s">
        <v>513</v>
      </c>
      <c r="E34" s="255"/>
      <c r="F34" s="255"/>
      <c r="G34" s="266"/>
      <c r="H34" s="282" t="s">
        <v>424</v>
      </c>
      <c r="I34" s="351" t="s">
        <v>474</v>
      </c>
      <c r="K34" s="255"/>
      <c r="L34" s="255"/>
      <c r="M34" s="255"/>
      <c r="N34" s="255"/>
      <c r="O34" s="255"/>
    </row>
    <row r="35" spans="1:15" x14ac:dyDescent="0.25">
      <c r="A35" s="356"/>
      <c r="B35" s="319" t="s">
        <v>461</v>
      </c>
      <c r="C35" s="283" t="s">
        <v>430</v>
      </c>
      <c r="D35" s="267" t="s">
        <v>514</v>
      </c>
      <c r="E35" s="255"/>
      <c r="F35" s="255"/>
      <c r="G35" s="266"/>
      <c r="H35" s="282" t="s">
        <v>425</v>
      </c>
      <c r="I35" s="351"/>
      <c r="K35" s="255"/>
      <c r="L35" s="255"/>
      <c r="M35" s="255"/>
      <c r="N35" s="255"/>
      <c r="O35" s="255"/>
    </row>
    <row r="36" spans="1:15" ht="15.75" customHeight="1" x14ac:dyDescent="0.25">
      <c r="A36" s="356"/>
      <c r="B36" s="269"/>
      <c r="C36" s="283" t="s">
        <v>429</v>
      </c>
      <c r="D36" s="267" t="s">
        <v>515</v>
      </c>
      <c r="E36" s="255"/>
      <c r="F36" s="255"/>
      <c r="G36" s="266"/>
      <c r="H36" s="282" t="s">
        <v>497</v>
      </c>
      <c r="I36" s="350"/>
      <c r="K36" s="255"/>
      <c r="L36" s="255"/>
      <c r="M36" s="255"/>
      <c r="N36" s="255"/>
      <c r="O36" s="255"/>
    </row>
    <row r="37" spans="1:15" ht="15.75" customHeight="1" x14ac:dyDescent="0.25">
      <c r="A37" s="356"/>
      <c r="B37" s="281"/>
      <c r="C37" s="280"/>
      <c r="D37" s="279"/>
      <c r="E37" s="278"/>
      <c r="F37" s="278"/>
      <c r="G37" s="277"/>
      <c r="H37" s="276"/>
      <c r="I37" s="352"/>
    </row>
    <row r="38" spans="1:15" x14ac:dyDescent="0.25">
      <c r="A38" s="356"/>
      <c r="B38" s="274" t="s">
        <v>423</v>
      </c>
      <c r="C38" s="273" t="s">
        <v>429</v>
      </c>
      <c r="D38" s="267" t="s">
        <v>516</v>
      </c>
      <c r="E38" s="255"/>
      <c r="F38" s="255"/>
      <c r="G38" s="266"/>
      <c r="H38" s="272" t="s">
        <v>497</v>
      </c>
      <c r="I38" s="354"/>
    </row>
    <row r="39" spans="1:15" ht="15.75" customHeight="1" x14ac:dyDescent="0.25">
      <c r="A39" s="356"/>
      <c r="B39" s="270" t="s">
        <v>462</v>
      </c>
      <c r="C39" s="268" t="s">
        <v>426</v>
      </c>
      <c r="D39" s="267" t="s">
        <v>517</v>
      </c>
      <c r="E39" s="255"/>
      <c r="F39" s="255"/>
      <c r="G39" s="266"/>
      <c r="H39" s="265" t="s">
        <v>497</v>
      </c>
      <c r="I39" s="350"/>
    </row>
    <row r="40" spans="1:15" ht="15.75" customHeight="1" x14ac:dyDescent="0.25">
      <c r="A40" s="356"/>
      <c r="B40" s="269"/>
      <c r="C40" s="268" t="s">
        <v>434</v>
      </c>
      <c r="D40" s="267" t="s">
        <v>457</v>
      </c>
      <c r="E40" s="255"/>
      <c r="F40" s="255"/>
      <c r="G40" s="266"/>
      <c r="H40" s="265" t="s">
        <v>424</v>
      </c>
      <c r="I40" s="350"/>
    </row>
    <row r="41" spans="1:15" ht="15.75" customHeight="1" x14ac:dyDescent="0.25">
      <c r="A41" s="357"/>
      <c r="B41" s="358"/>
      <c r="C41" s="291"/>
      <c r="D41" s="279"/>
      <c r="E41" s="278"/>
      <c r="F41" s="278"/>
      <c r="G41" s="277"/>
      <c r="H41" s="291"/>
      <c r="I41" s="352"/>
    </row>
    <row r="42" spans="1:15" ht="6.95" customHeight="1" x14ac:dyDescent="0.25">
      <c r="A42" s="255"/>
      <c r="B42" s="257"/>
      <c r="C42" s="256"/>
      <c r="D42" s="255"/>
      <c r="E42" s="255"/>
      <c r="F42" s="255"/>
      <c r="G42" s="255"/>
      <c r="H42" s="255"/>
      <c r="I42" s="255"/>
    </row>
    <row r="43" spans="1:15" ht="15.75" customHeight="1" x14ac:dyDescent="0.25">
      <c r="A43" s="867" t="s">
        <v>422</v>
      </c>
      <c r="B43" s="868"/>
      <c r="C43" s="868"/>
      <c r="D43" s="869"/>
      <c r="E43" s="867" t="s">
        <v>421</v>
      </c>
      <c r="F43" s="868"/>
      <c r="G43" s="867" t="s">
        <v>420</v>
      </c>
      <c r="H43" s="868"/>
      <c r="I43" s="869"/>
    </row>
    <row r="44" spans="1:15" ht="15.75" customHeight="1" x14ac:dyDescent="0.25">
      <c r="A44" s="870"/>
      <c r="B44" s="871"/>
      <c r="C44" s="871"/>
      <c r="D44" s="872"/>
      <c r="E44" s="870"/>
      <c r="F44" s="871"/>
      <c r="G44" s="873"/>
      <c r="H44" s="874"/>
      <c r="I44" s="875"/>
    </row>
    <row r="45" spans="1:15" ht="15.75" customHeight="1" x14ac:dyDescent="0.25">
      <c r="A45" s="935" t="s">
        <v>518</v>
      </c>
      <c r="B45" s="925"/>
      <c r="C45" s="925"/>
      <c r="D45" s="926"/>
      <c r="E45" s="848" t="s">
        <v>419</v>
      </c>
      <c r="F45" s="849"/>
      <c r="G45" s="850" t="s">
        <v>523</v>
      </c>
      <c r="H45" s="851"/>
      <c r="I45" s="852"/>
    </row>
    <row r="46" spans="1:15" ht="15.75" customHeight="1" x14ac:dyDescent="0.25">
      <c r="A46" s="853" t="s">
        <v>519</v>
      </c>
      <c r="B46" s="854"/>
      <c r="C46" s="854"/>
      <c r="D46" s="855"/>
      <c r="E46" s="822"/>
      <c r="F46" s="823"/>
      <c r="G46" s="824"/>
      <c r="H46" s="825"/>
      <c r="I46" s="826"/>
    </row>
    <row r="47" spans="1:15" ht="15.75" customHeight="1" x14ac:dyDescent="0.25">
      <c r="A47" s="819"/>
      <c r="B47" s="820"/>
      <c r="C47" s="820"/>
      <c r="D47" s="821"/>
      <c r="E47" s="822"/>
      <c r="F47" s="823"/>
      <c r="G47" s="824"/>
      <c r="H47" s="825"/>
      <c r="I47" s="826"/>
    </row>
    <row r="48" spans="1:15" ht="15.75" customHeight="1" x14ac:dyDescent="0.25">
      <c r="A48" s="921" t="s">
        <v>520</v>
      </c>
      <c r="B48" s="922"/>
      <c r="C48" s="922"/>
      <c r="D48" s="923"/>
      <c r="E48" s="838"/>
      <c r="F48" s="823"/>
      <c r="G48" s="839" t="s">
        <v>524</v>
      </c>
      <c r="H48" s="840"/>
      <c r="I48" s="841"/>
    </row>
    <row r="49" spans="1:9" ht="15.75" customHeight="1" x14ac:dyDescent="0.25">
      <c r="A49" s="835"/>
      <c r="B49" s="836"/>
      <c r="C49" s="836"/>
      <c r="D49" s="837"/>
      <c r="E49" s="838"/>
      <c r="F49" s="823"/>
      <c r="G49" s="842"/>
      <c r="H49" s="843"/>
      <c r="I49" s="844"/>
    </row>
    <row r="50" spans="1:9" ht="15.75" customHeight="1" x14ac:dyDescent="0.25">
      <c r="A50" s="827"/>
      <c r="B50" s="828"/>
      <c r="C50" s="828"/>
      <c r="D50" s="829"/>
      <c r="E50" s="830"/>
      <c r="F50" s="831"/>
      <c r="G50" s="832"/>
      <c r="H50" s="833"/>
      <c r="I50" s="834"/>
    </row>
    <row r="51" spans="1:9" ht="15.75" customHeight="1" x14ac:dyDescent="0.25"/>
    <row r="52" spans="1:9" ht="15.75" customHeight="1" x14ac:dyDescent="0.25"/>
    <row r="53" spans="1:9" ht="15.75" customHeight="1" x14ac:dyDescent="0.25"/>
    <row r="54" spans="1:9" ht="15.75" customHeight="1" x14ac:dyDescent="0.25"/>
    <row r="55" spans="1:9" ht="15.75" customHeight="1" x14ac:dyDescent="0.25"/>
  </sheetData>
  <mergeCells count="39">
    <mergeCell ref="A49:D49"/>
    <mergeCell ref="E49:F49"/>
    <mergeCell ref="G49:I49"/>
    <mergeCell ref="A50:D50"/>
    <mergeCell ref="E50:F50"/>
    <mergeCell ref="G50:I50"/>
    <mergeCell ref="A47:D47"/>
    <mergeCell ref="E47:F47"/>
    <mergeCell ref="G47:I47"/>
    <mergeCell ref="A48:D48"/>
    <mergeCell ref="E48:F48"/>
    <mergeCell ref="G48:I48"/>
    <mergeCell ref="A45:D45"/>
    <mergeCell ref="E45:F45"/>
    <mergeCell ref="G45:I45"/>
    <mergeCell ref="A46:D46"/>
    <mergeCell ref="E46:F46"/>
    <mergeCell ref="G46:I46"/>
    <mergeCell ref="A18:I18"/>
    <mergeCell ref="A31:I32"/>
    <mergeCell ref="A33:I33"/>
    <mergeCell ref="A43:D44"/>
    <mergeCell ref="E43:F44"/>
    <mergeCell ref="G43:I44"/>
    <mergeCell ref="A7:B8"/>
    <mergeCell ref="C7:H8"/>
    <mergeCell ref="I7:I8"/>
    <mergeCell ref="A16:B17"/>
    <mergeCell ref="C16:C17"/>
    <mergeCell ref="D16:G17"/>
    <mergeCell ref="H16:H17"/>
    <mergeCell ref="I16:I17"/>
    <mergeCell ref="A1:E2"/>
    <mergeCell ref="F1:H2"/>
    <mergeCell ref="I1:I2"/>
    <mergeCell ref="A4:B4"/>
    <mergeCell ref="A5:B6"/>
    <mergeCell ref="C5:H6"/>
    <mergeCell ref="I5:I6"/>
  </mergeCells>
  <hyperlinks>
    <hyperlink ref="I27" r:id="rId1" xr:uid="{562A6D0B-B7CF-4AE4-917C-422F719BF04F}"/>
    <hyperlink ref="I34" r:id="rId2" xr:uid="{EE3E3EAC-B1E6-4270-8881-D8A5A46628F2}"/>
  </hyperlinks>
  <pageMargins left="0.25" right="0.25" top="0.75" bottom="0.75" header="0.3" footer="0.3"/>
  <pageSetup paperSize="9" orientation="portrait" r:id="rId3"/>
  <headerFooter>
    <oddHeader>&amp;LGBS SG&amp;CSSPb23-25&amp;RBKU</oddHeader>
    <oddFooter>&amp;R&amp;"Century Gothic,Standard"&amp;9ART &amp;D</oddFooter>
  </headerFooter>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AE5E2-5712-4D06-B6CD-360D083FF8DD}">
  <dimension ref="A1:O55"/>
  <sheetViews>
    <sheetView view="pageLayout" topLeftCell="A13" zoomScaleNormal="100" workbookViewId="0">
      <selection activeCell="I12" sqref="I12"/>
    </sheetView>
  </sheetViews>
  <sheetFormatPr baseColWidth="10" defaultColWidth="11.42578125" defaultRowHeight="15" x14ac:dyDescent="0.25"/>
  <cols>
    <col min="1" max="1" width="1.5703125" customWidth="1"/>
    <col min="2" max="2" width="13.85546875" customWidth="1"/>
    <col min="3" max="3" width="4.7109375" customWidth="1"/>
    <col min="4" max="4" width="16.28515625" customWidth="1"/>
    <col min="5" max="5" width="13.28515625" customWidth="1"/>
    <col min="6" max="6" width="13" customWidth="1"/>
    <col min="7" max="7" width="12.7109375" customWidth="1"/>
    <col min="8" max="8" width="4.85546875" customWidth="1"/>
    <col min="9" max="9" width="16.7109375" customWidth="1"/>
  </cols>
  <sheetData>
    <row r="1" spans="1:9" ht="15" customHeight="1" x14ac:dyDescent="0.25">
      <c r="A1" s="884" t="s">
        <v>443</v>
      </c>
      <c r="B1" s="885"/>
      <c r="C1" s="885"/>
      <c r="D1" s="885"/>
      <c r="E1" s="886"/>
      <c r="F1" s="890">
        <f>Kompetenzraster!R11</f>
        <v>45539</v>
      </c>
      <c r="G1" s="891"/>
      <c r="H1" s="892"/>
      <c r="I1" s="896">
        <v>4</v>
      </c>
    </row>
    <row r="2" spans="1:9" ht="15" customHeight="1" x14ac:dyDescent="0.25">
      <c r="A2" s="887"/>
      <c r="B2" s="888"/>
      <c r="C2" s="888"/>
      <c r="D2" s="888"/>
      <c r="E2" s="889"/>
      <c r="F2" s="893"/>
      <c r="G2" s="894"/>
      <c r="H2" s="895"/>
      <c r="I2" s="896"/>
    </row>
    <row r="3" spans="1:9" ht="15.75" customHeight="1" x14ac:dyDescent="0.25">
      <c r="A3" s="255"/>
      <c r="B3" s="303"/>
      <c r="C3" s="303"/>
      <c r="D3" s="303"/>
      <c r="E3" s="303"/>
      <c r="F3" s="301"/>
      <c r="G3" s="301"/>
      <c r="H3" s="301"/>
      <c r="I3" s="301"/>
    </row>
    <row r="4" spans="1:9" ht="15.75" customHeight="1" x14ac:dyDescent="0.25">
      <c r="A4" s="897" t="s">
        <v>442</v>
      </c>
      <c r="B4" s="897"/>
      <c r="C4" s="303"/>
      <c r="D4" s="303"/>
      <c r="E4" s="303"/>
      <c r="F4" s="301"/>
      <c r="G4" s="301"/>
      <c r="H4" s="301"/>
      <c r="I4" s="301"/>
    </row>
    <row r="5" spans="1:9" ht="14.25" customHeight="1" x14ac:dyDescent="0.25">
      <c r="A5" s="915" t="s">
        <v>445</v>
      </c>
      <c r="B5" s="916"/>
      <c r="C5" s="905" t="s">
        <v>450</v>
      </c>
      <c r="D5" s="906"/>
      <c r="E5" s="906"/>
      <c r="F5" s="906"/>
      <c r="G5" s="906"/>
      <c r="H5" s="907"/>
      <c r="I5" s="898">
        <v>3.4</v>
      </c>
    </row>
    <row r="6" spans="1:9" ht="14.25" customHeight="1" x14ac:dyDescent="0.25">
      <c r="A6" s="917"/>
      <c r="B6" s="918"/>
      <c r="C6" s="908"/>
      <c r="D6" s="909"/>
      <c r="E6" s="909"/>
      <c r="F6" s="909"/>
      <c r="G6" s="909"/>
      <c r="H6" s="910"/>
      <c r="I6" s="898"/>
    </row>
    <row r="7" spans="1:9" ht="14.25" customHeight="1" x14ac:dyDescent="0.25">
      <c r="A7" s="911" t="s">
        <v>446</v>
      </c>
      <c r="B7" s="912"/>
      <c r="C7" s="899" t="s">
        <v>444</v>
      </c>
      <c r="D7" s="900"/>
      <c r="E7" s="900"/>
      <c r="F7" s="900"/>
      <c r="G7" s="900"/>
      <c r="H7" s="901"/>
      <c r="I7" s="919">
        <v>3.1</v>
      </c>
    </row>
    <row r="8" spans="1:9" ht="14.25" customHeight="1" x14ac:dyDescent="0.25">
      <c r="A8" s="913"/>
      <c r="B8" s="914"/>
      <c r="C8" s="902"/>
      <c r="D8" s="903"/>
      <c r="E8" s="903"/>
      <c r="F8" s="903"/>
      <c r="G8" s="903"/>
      <c r="H8" s="904"/>
      <c r="I8" s="920"/>
    </row>
    <row r="9" spans="1:9" ht="15.75" customHeight="1" x14ac:dyDescent="0.25">
      <c r="A9" s="255"/>
      <c r="B9" s="302"/>
      <c r="C9" s="302"/>
      <c r="D9" s="302"/>
      <c r="E9" s="302"/>
      <c r="F9" s="302"/>
      <c r="G9" s="302"/>
      <c r="H9" s="302"/>
      <c r="I9" s="301"/>
    </row>
    <row r="10" spans="1:9" ht="15.75" customHeight="1" x14ac:dyDescent="0.25">
      <c r="A10" s="300" t="s">
        <v>441</v>
      </c>
      <c r="B10" s="299"/>
      <c r="C10" s="299"/>
      <c r="D10" s="299"/>
      <c r="E10" s="299"/>
      <c r="F10" s="299"/>
      <c r="G10" s="299"/>
      <c r="H10" s="299"/>
      <c r="I10" s="298"/>
    </row>
    <row r="11" spans="1:9" ht="15.75" customHeight="1" x14ac:dyDescent="0.25">
      <c r="A11" s="312"/>
      <c r="B11" s="255" t="s">
        <v>504</v>
      </c>
      <c r="C11" s="255"/>
      <c r="D11" s="255"/>
      <c r="E11" s="255"/>
      <c r="F11" s="255"/>
      <c r="G11" s="255"/>
      <c r="H11" s="255"/>
      <c r="I11" s="266"/>
    </row>
    <row r="12" spans="1:9" ht="15.75" customHeight="1" x14ac:dyDescent="0.25">
      <c r="A12" s="314"/>
      <c r="B12" s="255"/>
      <c r="C12" s="255"/>
      <c r="D12" s="255"/>
      <c r="E12" s="255"/>
      <c r="F12" s="255"/>
      <c r="G12" s="255"/>
      <c r="H12" s="255"/>
      <c r="I12" s="266"/>
    </row>
    <row r="13" spans="1:9" ht="15.75" customHeight="1" x14ac:dyDescent="0.25">
      <c r="A13" s="315"/>
      <c r="B13" s="255" t="s">
        <v>463</v>
      </c>
      <c r="C13" s="255"/>
      <c r="D13" s="255"/>
      <c r="E13" s="255"/>
      <c r="F13" s="255"/>
      <c r="G13" s="255"/>
      <c r="H13" s="255"/>
      <c r="I13" s="266"/>
    </row>
    <row r="14" spans="1:9" ht="15.75" customHeight="1" x14ac:dyDescent="0.25">
      <c r="A14" s="316"/>
      <c r="B14" s="278" t="s">
        <v>464</v>
      </c>
      <c r="C14" s="278"/>
      <c r="D14" s="278"/>
      <c r="E14" s="278"/>
      <c r="F14" s="278"/>
      <c r="G14" s="278"/>
      <c r="H14" s="278"/>
      <c r="I14" s="277"/>
    </row>
    <row r="15" spans="1:9" ht="6.95" customHeight="1" thickBot="1" x14ac:dyDescent="0.3">
      <c r="A15" s="255"/>
      <c r="B15" s="297"/>
      <c r="C15" s="297"/>
      <c r="D15" s="297"/>
      <c r="E15" s="297"/>
      <c r="F15" s="297"/>
      <c r="G15" s="297"/>
      <c r="H15" s="255"/>
      <c r="I15" s="255"/>
    </row>
    <row r="16" spans="1:9" ht="15.75" customHeight="1" x14ac:dyDescent="0.25">
      <c r="A16" s="876" t="s">
        <v>440</v>
      </c>
      <c r="B16" s="877"/>
      <c r="C16" s="877" t="s">
        <v>439</v>
      </c>
      <c r="D16" s="877" t="s">
        <v>438</v>
      </c>
      <c r="E16" s="877"/>
      <c r="F16" s="877"/>
      <c r="G16" s="877"/>
      <c r="H16" s="880" t="s">
        <v>437</v>
      </c>
      <c r="I16" s="882" t="s">
        <v>436</v>
      </c>
    </row>
    <row r="17" spans="1:15" x14ac:dyDescent="0.25">
      <c r="A17" s="878"/>
      <c r="B17" s="879"/>
      <c r="C17" s="879"/>
      <c r="D17" s="879"/>
      <c r="E17" s="879"/>
      <c r="F17" s="879"/>
      <c r="G17" s="879"/>
      <c r="H17" s="881"/>
      <c r="I17" s="883"/>
    </row>
    <row r="18" spans="1:15" ht="9.75" customHeight="1" x14ac:dyDescent="0.25">
      <c r="A18" s="856"/>
      <c r="B18" s="857"/>
      <c r="C18" s="857"/>
      <c r="D18" s="857"/>
      <c r="E18" s="857"/>
      <c r="F18" s="857"/>
      <c r="G18" s="857"/>
      <c r="H18" s="857"/>
      <c r="I18" s="858"/>
    </row>
    <row r="19" spans="1:15" x14ac:dyDescent="0.25">
      <c r="A19" s="313"/>
      <c r="B19" s="309" t="s">
        <v>435</v>
      </c>
      <c r="C19" s="310" t="s">
        <v>434</v>
      </c>
      <c r="D19" s="267" t="s">
        <v>493</v>
      </c>
      <c r="E19" s="255"/>
      <c r="F19" s="255"/>
      <c r="G19" s="294"/>
      <c r="H19" s="282" t="s">
        <v>424</v>
      </c>
      <c r="I19" s="353"/>
    </row>
    <row r="20" spans="1:15" x14ac:dyDescent="0.25">
      <c r="A20" s="313"/>
      <c r="B20" s="304" t="s">
        <v>458</v>
      </c>
      <c r="C20" s="283" t="s">
        <v>429</v>
      </c>
      <c r="D20" s="267" t="s">
        <v>525</v>
      </c>
      <c r="E20" s="255"/>
      <c r="F20" s="255"/>
      <c r="G20" s="266"/>
      <c r="H20" s="282" t="s">
        <v>424</v>
      </c>
      <c r="I20" s="350"/>
      <c r="K20" s="255"/>
      <c r="L20" s="255"/>
      <c r="M20" s="255"/>
      <c r="N20" s="296"/>
    </row>
    <row r="21" spans="1:15" x14ac:dyDescent="0.25">
      <c r="A21" s="313"/>
      <c r="B21" s="306"/>
      <c r="C21" s="283" t="s">
        <v>426</v>
      </c>
      <c r="D21" s="295" t="s">
        <v>527</v>
      </c>
      <c r="E21" s="255"/>
      <c r="F21" s="255"/>
      <c r="G21" s="294"/>
      <c r="H21" s="282" t="s">
        <v>497</v>
      </c>
      <c r="I21" s="351" t="s">
        <v>526</v>
      </c>
      <c r="K21" s="255"/>
      <c r="L21" s="255"/>
      <c r="M21" s="255"/>
      <c r="N21" s="255"/>
    </row>
    <row r="22" spans="1:15" x14ac:dyDescent="0.25">
      <c r="A22" s="313"/>
      <c r="B22" s="307"/>
      <c r="C22" s="280"/>
      <c r="D22" s="267"/>
      <c r="E22" s="255"/>
      <c r="F22" s="255"/>
      <c r="G22" s="266"/>
      <c r="H22" s="276"/>
      <c r="I22" s="352"/>
      <c r="K22" s="255"/>
      <c r="L22" s="255"/>
      <c r="M22" s="255"/>
      <c r="N22" s="255"/>
    </row>
    <row r="23" spans="1:15" x14ac:dyDescent="0.25">
      <c r="A23" s="313"/>
      <c r="B23" s="305" t="s">
        <v>432</v>
      </c>
      <c r="C23" s="273" t="s">
        <v>426</v>
      </c>
      <c r="D23" s="287" t="s">
        <v>528</v>
      </c>
      <c r="E23" s="287"/>
      <c r="F23" s="287"/>
      <c r="G23" s="293"/>
      <c r="H23" s="347" t="s">
        <v>507</v>
      </c>
      <c r="I23" s="349"/>
      <c r="K23" s="255"/>
      <c r="L23" s="255"/>
      <c r="M23" s="255"/>
      <c r="N23" s="255"/>
    </row>
    <row r="24" spans="1:15" x14ac:dyDescent="0.25">
      <c r="A24" s="313"/>
      <c r="B24" s="304" t="s">
        <v>459</v>
      </c>
      <c r="C24" s="268" t="s">
        <v>430</v>
      </c>
      <c r="D24" s="255" t="s">
        <v>529</v>
      </c>
      <c r="E24" s="255"/>
      <c r="F24" s="255"/>
      <c r="G24" s="255"/>
      <c r="H24" s="310" t="s">
        <v>497</v>
      </c>
      <c r="I24" s="350"/>
      <c r="K24" s="255"/>
      <c r="L24" s="255"/>
      <c r="M24" s="255"/>
      <c r="N24" s="255"/>
    </row>
    <row r="25" spans="1:15" x14ac:dyDescent="0.25">
      <c r="A25" s="313"/>
      <c r="B25" s="306"/>
      <c r="C25" s="268"/>
      <c r="D25" s="255"/>
      <c r="E25" s="255"/>
      <c r="F25" s="255"/>
      <c r="G25" s="255"/>
      <c r="H25" s="310"/>
      <c r="I25" s="351"/>
      <c r="K25" s="255"/>
      <c r="L25" s="255"/>
      <c r="M25" s="255"/>
      <c r="N25" s="255"/>
    </row>
    <row r="26" spans="1:15" x14ac:dyDescent="0.25">
      <c r="A26" s="313"/>
      <c r="B26" s="307"/>
      <c r="C26" s="292"/>
      <c r="D26" s="278"/>
      <c r="E26" s="278"/>
      <c r="F26" s="278"/>
      <c r="G26" s="278"/>
      <c r="H26" s="348"/>
      <c r="I26" s="352"/>
      <c r="K26" s="255"/>
      <c r="L26" s="255"/>
      <c r="M26" s="255"/>
      <c r="N26" s="255"/>
    </row>
    <row r="27" spans="1:15" x14ac:dyDescent="0.25">
      <c r="A27" s="313"/>
      <c r="B27" s="308" t="s">
        <v>431</v>
      </c>
      <c r="C27" s="273" t="s">
        <v>426</v>
      </c>
      <c r="D27" s="267" t="s">
        <v>530</v>
      </c>
      <c r="E27" s="255"/>
      <c r="F27" s="255"/>
      <c r="G27" s="266"/>
      <c r="H27" s="272" t="s">
        <v>497</v>
      </c>
      <c r="I27" s="354"/>
      <c r="K27" s="255"/>
      <c r="L27" s="255"/>
      <c r="M27" s="255"/>
      <c r="N27" s="255"/>
    </row>
    <row r="28" spans="1:15" x14ac:dyDescent="0.25">
      <c r="A28" s="313"/>
      <c r="B28" s="304" t="s">
        <v>460</v>
      </c>
      <c r="C28" s="268" t="s">
        <v>495</v>
      </c>
      <c r="D28" s="267" t="s">
        <v>531</v>
      </c>
      <c r="E28" s="255"/>
      <c r="F28" s="255"/>
      <c r="G28" s="266"/>
      <c r="H28" s="265" t="s">
        <v>497</v>
      </c>
      <c r="I28" s="351"/>
    </row>
    <row r="29" spans="1:15" x14ac:dyDescent="0.25">
      <c r="A29" s="313"/>
      <c r="B29" s="306"/>
      <c r="C29" s="268" t="s">
        <v>495</v>
      </c>
      <c r="D29" s="267" t="s">
        <v>532</v>
      </c>
      <c r="E29" s="255"/>
      <c r="F29" s="255"/>
      <c r="G29" s="266"/>
      <c r="H29" s="265" t="s">
        <v>424</v>
      </c>
      <c r="I29" s="351"/>
    </row>
    <row r="30" spans="1:15" ht="15" customHeight="1" x14ac:dyDescent="0.25">
      <c r="A30" s="314"/>
      <c r="B30" s="254"/>
      <c r="C30" s="265"/>
      <c r="D30" s="267"/>
      <c r="E30" s="255"/>
      <c r="F30" s="255"/>
      <c r="G30" s="266"/>
      <c r="H30" s="265"/>
      <c r="I30" s="355"/>
    </row>
    <row r="31" spans="1:15" ht="14.25" customHeight="1" x14ac:dyDescent="0.25">
      <c r="A31" s="927" t="s">
        <v>428</v>
      </c>
      <c r="B31" s="860"/>
      <c r="C31" s="860"/>
      <c r="D31" s="860"/>
      <c r="E31" s="860"/>
      <c r="F31" s="860"/>
      <c r="G31" s="860"/>
      <c r="H31" s="860"/>
      <c r="I31" s="928"/>
      <c r="K31" s="255"/>
      <c r="L31" s="255"/>
      <c r="M31" s="255"/>
      <c r="N31" s="255"/>
      <c r="O31" s="255"/>
    </row>
    <row r="32" spans="1:15" ht="14.25" customHeight="1" x14ac:dyDescent="0.25">
      <c r="A32" s="929"/>
      <c r="B32" s="863"/>
      <c r="C32" s="863"/>
      <c r="D32" s="863"/>
      <c r="E32" s="863"/>
      <c r="F32" s="863"/>
      <c r="G32" s="863"/>
      <c r="H32" s="863"/>
      <c r="I32" s="930"/>
      <c r="K32" s="255"/>
      <c r="L32" s="255"/>
      <c r="M32" s="255"/>
      <c r="N32" s="255"/>
      <c r="O32" s="255"/>
    </row>
    <row r="33" spans="1:15" ht="9.75" customHeight="1" x14ac:dyDescent="0.25">
      <c r="A33" s="931"/>
      <c r="B33" s="932"/>
      <c r="C33" s="932"/>
      <c r="D33" s="932"/>
      <c r="E33" s="932"/>
      <c r="F33" s="932"/>
      <c r="G33" s="932"/>
      <c r="H33" s="932"/>
      <c r="I33" s="933"/>
      <c r="K33" s="255"/>
      <c r="L33" s="255"/>
      <c r="M33" s="255"/>
      <c r="N33" s="255"/>
      <c r="O33" s="255"/>
    </row>
    <row r="34" spans="1:15" ht="15.75" customHeight="1" x14ac:dyDescent="0.25">
      <c r="A34" s="356"/>
      <c r="B34" s="290" t="s">
        <v>427</v>
      </c>
      <c r="C34" s="283" t="s">
        <v>495</v>
      </c>
      <c r="D34" s="267" t="s">
        <v>533</v>
      </c>
      <c r="E34" s="255"/>
      <c r="F34" s="255"/>
      <c r="G34" s="266"/>
      <c r="H34" s="282" t="s">
        <v>424</v>
      </c>
      <c r="I34" s="351"/>
      <c r="K34" s="255"/>
      <c r="L34" s="255"/>
      <c r="M34" s="255"/>
      <c r="N34" s="255"/>
      <c r="O34" s="255"/>
    </row>
    <row r="35" spans="1:15" x14ac:dyDescent="0.25">
      <c r="A35" s="356"/>
      <c r="B35" s="319" t="s">
        <v>461</v>
      </c>
      <c r="C35" s="283" t="s">
        <v>534</v>
      </c>
      <c r="D35" s="267" t="s">
        <v>535</v>
      </c>
      <c r="E35" s="255"/>
      <c r="F35" s="255"/>
      <c r="G35" s="266"/>
      <c r="H35" s="282" t="s">
        <v>497</v>
      </c>
      <c r="I35" s="351"/>
      <c r="K35" s="255"/>
      <c r="L35" s="255"/>
      <c r="M35" s="255"/>
      <c r="N35" s="255"/>
      <c r="O35" s="255"/>
    </row>
    <row r="36" spans="1:15" ht="15.75" customHeight="1" x14ac:dyDescent="0.25">
      <c r="A36" s="356"/>
      <c r="B36" s="269"/>
      <c r="C36" s="283"/>
      <c r="D36" s="267"/>
      <c r="E36" s="255"/>
      <c r="F36" s="255"/>
      <c r="G36" s="266"/>
      <c r="H36" s="282"/>
      <c r="I36" s="350"/>
      <c r="K36" s="255"/>
      <c r="L36" s="255"/>
      <c r="M36" s="255"/>
      <c r="N36" s="255"/>
      <c r="O36" s="255"/>
    </row>
    <row r="37" spans="1:15" ht="15.75" customHeight="1" x14ac:dyDescent="0.25">
      <c r="A37" s="356"/>
      <c r="B37" s="281"/>
      <c r="C37" s="280"/>
      <c r="D37" s="279"/>
      <c r="E37" s="278"/>
      <c r="F37" s="278"/>
      <c r="G37" s="277"/>
      <c r="H37" s="276"/>
      <c r="I37" s="352"/>
    </row>
    <row r="38" spans="1:15" x14ac:dyDescent="0.25">
      <c r="A38" s="356"/>
      <c r="B38" s="274" t="s">
        <v>423</v>
      </c>
      <c r="C38" s="273" t="s">
        <v>495</v>
      </c>
      <c r="D38" s="267" t="s">
        <v>536</v>
      </c>
      <c r="E38" s="255"/>
      <c r="F38" s="255"/>
      <c r="G38" s="266"/>
      <c r="H38" s="272"/>
      <c r="I38" s="354"/>
    </row>
    <row r="39" spans="1:15" ht="15.75" customHeight="1" x14ac:dyDescent="0.25">
      <c r="A39" s="356"/>
      <c r="B39" s="270" t="s">
        <v>462</v>
      </c>
      <c r="C39" s="268" t="s">
        <v>426</v>
      </c>
      <c r="D39" s="267" t="s">
        <v>537</v>
      </c>
      <c r="E39" s="255"/>
      <c r="F39" s="255"/>
      <c r="G39" s="266"/>
      <c r="H39" s="265"/>
      <c r="I39" s="350"/>
    </row>
    <row r="40" spans="1:15" ht="15.75" customHeight="1" x14ac:dyDescent="0.25">
      <c r="A40" s="356"/>
      <c r="B40" s="269"/>
      <c r="C40" s="268"/>
      <c r="D40" s="267"/>
      <c r="E40" s="255"/>
      <c r="F40" s="255"/>
      <c r="G40" s="266"/>
      <c r="H40" s="265"/>
      <c r="I40" s="350"/>
    </row>
    <row r="41" spans="1:15" ht="15.75" customHeight="1" x14ac:dyDescent="0.25">
      <c r="A41" s="357"/>
      <c r="B41" s="358"/>
      <c r="C41" s="291"/>
      <c r="D41" s="279"/>
      <c r="E41" s="278"/>
      <c r="F41" s="278"/>
      <c r="G41" s="277"/>
      <c r="H41" s="291"/>
      <c r="I41" s="352"/>
    </row>
    <row r="42" spans="1:15" ht="6.95" customHeight="1" x14ac:dyDescent="0.25">
      <c r="A42" s="255"/>
      <c r="B42" s="257"/>
      <c r="C42" s="256"/>
      <c r="D42" s="255"/>
      <c r="E42" s="255"/>
      <c r="F42" s="255"/>
      <c r="G42" s="255"/>
      <c r="H42" s="255"/>
      <c r="I42" s="255"/>
    </row>
    <row r="43" spans="1:15" ht="15.75" customHeight="1" x14ac:dyDescent="0.25">
      <c r="A43" s="867" t="s">
        <v>422</v>
      </c>
      <c r="B43" s="868"/>
      <c r="C43" s="868"/>
      <c r="D43" s="869"/>
      <c r="E43" s="867" t="s">
        <v>421</v>
      </c>
      <c r="F43" s="868"/>
      <c r="G43" s="867" t="s">
        <v>420</v>
      </c>
      <c r="H43" s="868"/>
      <c r="I43" s="869"/>
    </row>
    <row r="44" spans="1:15" ht="15.75" customHeight="1" x14ac:dyDescent="0.25">
      <c r="A44" s="870"/>
      <c r="B44" s="871"/>
      <c r="C44" s="871"/>
      <c r="D44" s="872"/>
      <c r="E44" s="870"/>
      <c r="F44" s="871"/>
      <c r="G44" s="873"/>
      <c r="H44" s="874"/>
      <c r="I44" s="875"/>
    </row>
    <row r="45" spans="1:15" ht="15.75" customHeight="1" x14ac:dyDescent="0.25">
      <c r="A45" s="935" t="s">
        <v>539</v>
      </c>
      <c r="B45" s="925"/>
      <c r="C45" s="925"/>
      <c r="D45" s="926"/>
      <c r="E45" s="848" t="s">
        <v>419</v>
      </c>
      <c r="F45" s="849"/>
      <c r="G45" s="936" t="s">
        <v>540</v>
      </c>
      <c r="H45" s="937"/>
      <c r="I45" s="938"/>
    </row>
    <row r="46" spans="1:15" ht="15.75" customHeight="1" x14ac:dyDescent="0.25">
      <c r="A46" s="853"/>
      <c r="B46" s="854"/>
      <c r="C46" s="854"/>
      <c r="D46" s="855"/>
      <c r="E46" s="822"/>
      <c r="F46" s="823"/>
      <c r="G46" s="824"/>
      <c r="H46" s="825"/>
      <c r="I46" s="826"/>
    </row>
    <row r="47" spans="1:15" ht="15.75" customHeight="1" x14ac:dyDescent="0.25">
      <c r="A47" s="819"/>
      <c r="B47" s="820"/>
      <c r="C47" s="820"/>
      <c r="D47" s="821"/>
      <c r="E47" s="822"/>
      <c r="F47" s="823"/>
      <c r="G47" s="824"/>
      <c r="H47" s="825"/>
      <c r="I47" s="826"/>
    </row>
    <row r="48" spans="1:15" ht="15.75" customHeight="1" x14ac:dyDescent="0.25">
      <c r="A48" s="921" t="s">
        <v>538</v>
      </c>
      <c r="B48" s="922"/>
      <c r="C48" s="922"/>
      <c r="D48" s="923"/>
      <c r="E48" s="838"/>
      <c r="F48" s="823"/>
      <c r="G48" s="839"/>
      <c r="H48" s="840"/>
      <c r="I48" s="841"/>
    </row>
    <row r="49" spans="1:9" ht="15.75" customHeight="1" x14ac:dyDescent="0.25">
      <c r="A49" s="835"/>
      <c r="B49" s="836"/>
      <c r="C49" s="836"/>
      <c r="D49" s="837"/>
      <c r="E49" s="838"/>
      <c r="F49" s="823"/>
      <c r="G49" s="842"/>
      <c r="H49" s="843"/>
      <c r="I49" s="844"/>
    </row>
    <row r="50" spans="1:9" ht="15.75" customHeight="1" x14ac:dyDescent="0.25">
      <c r="A50" s="827"/>
      <c r="B50" s="828"/>
      <c r="C50" s="828"/>
      <c r="D50" s="829"/>
      <c r="E50" s="830"/>
      <c r="F50" s="831"/>
      <c r="G50" s="832"/>
      <c r="H50" s="833"/>
      <c r="I50" s="834"/>
    </row>
    <row r="51" spans="1:9" ht="15.75" customHeight="1" x14ac:dyDescent="0.25"/>
    <row r="52" spans="1:9" ht="15.75" customHeight="1" x14ac:dyDescent="0.25"/>
    <row r="53" spans="1:9" ht="15.75" customHeight="1" x14ac:dyDescent="0.25"/>
    <row r="54" spans="1:9" ht="15.75" customHeight="1" x14ac:dyDescent="0.25"/>
    <row r="55" spans="1:9" ht="15.75" customHeight="1" x14ac:dyDescent="0.25"/>
  </sheetData>
  <mergeCells count="39">
    <mergeCell ref="A1:E2"/>
    <mergeCell ref="F1:H2"/>
    <mergeCell ref="I1:I2"/>
    <mergeCell ref="A4:B4"/>
    <mergeCell ref="A5:B6"/>
    <mergeCell ref="C5:H6"/>
    <mergeCell ref="I5:I6"/>
    <mergeCell ref="A7:B8"/>
    <mergeCell ref="C7:H8"/>
    <mergeCell ref="I7:I8"/>
    <mergeCell ref="A16:B17"/>
    <mergeCell ref="C16:C17"/>
    <mergeCell ref="D16:G17"/>
    <mergeCell ref="H16:H17"/>
    <mergeCell ref="I16:I17"/>
    <mergeCell ref="A18:I18"/>
    <mergeCell ref="A31:I32"/>
    <mergeCell ref="A33:I33"/>
    <mergeCell ref="A43:D44"/>
    <mergeCell ref="E43:F44"/>
    <mergeCell ref="G43:I44"/>
    <mergeCell ref="A45:D45"/>
    <mergeCell ref="E45:F45"/>
    <mergeCell ref="G45:I45"/>
    <mergeCell ref="A46:D46"/>
    <mergeCell ref="E46:F46"/>
    <mergeCell ref="G46:I46"/>
    <mergeCell ref="A47:D47"/>
    <mergeCell ref="E47:F47"/>
    <mergeCell ref="G47:I47"/>
    <mergeCell ref="A48:D48"/>
    <mergeCell ref="E48:F48"/>
    <mergeCell ref="G48:I48"/>
    <mergeCell ref="A49:D49"/>
    <mergeCell ref="E49:F49"/>
    <mergeCell ref="G49:I49"/>
    <mergeCell ref="A50:D50"/>
    <mergeCell ref="E50:F50"/>
    <mergeCell ref="G50:I50"/>
  </mergeCells>
  <hyperlinks>
    <hyperlink ref="I21" r:id="rId1" xr:uid="{7DFCD32A-7DB7-4685-9993-0B6CE07552CF}"/>
  </hyperlinks>
  <pageMargins left="0.25" right="0.25" top="0.75" bottom="0.75" header="0.3" footer="0.3"/>
  <pageSetup paperSize="9" orientation="portrait" r:id="rId2"/>
  <headerFooter>
    <oddHeader>&amp;LGBS SG&amp;CSSPb23-25&amp;RBKU</oddHeader>
    <oddFooter>&amp;R&amp;"Century Gothic,Standard"&amp;9ART &amp;D</oddFooter>
  </headerFooter>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54E32-E9E0-45B2-B806-DE9B51EEC717}">
  <dimension ref="A1:O55"/>
  <sheetViews>
    <sheetView view="pageLayout" topLeftCell="A2" zoomScaleNormal="100" workbookViewId="0">
      <selection activeCell="E46" sqref="E46:F46"/>
    </sheetView>
  </sheetViews>
  <sheetFormatPr baseColWidth="10" defaultColWidth="11.42578125" defaultRowHeight="15" x14ac:dyDescent="0.25"/>
  <cols>
    <col min="1" max="1" width="1.5703125" customWidth="1"/>
    <col min="2" max="2" width="13.85546875" customWidth="1"/>
    <col min="3" max="3" width="4.7109375" customWidth="1"/>
    <col min="4" max="4" width="16.28515625" customWidth="1"/>
    <col min="5" max="5" width="13.28515625" customWidth="1"/>
    <col min="6" max="6" width="13" customWidth="1"/>
    <col min="7" max="7" width="12.7109375" customWidth="1"/>
    <col min="8" max="8" width="4.85546875" customWidth="1"/>
    <col min="9" max="9" width="16.7109375" customWidth="1"/>
  </cols>
  <sheetData>
    <row r="1" spans="1:9" ht="15" customHeight="1" x14ac:dyDescent="0.25">
      <c r="A1" s="884" t="s">
        <v>443</v>
      </c>
      <c r="B1" s="885"/>
      <c r="C1" s="885"/>
      <c r="D1" s="885"/>
      <c r="E1" s="886"/>
      <c r="F1" s="890">
        <f>Kompetenzraster!R13</f>
        <v>45546</v>
      </c>
      <c r="G1" s="891"/>
      <c r="H1" s="892"/>
      <c r="I1" s="896">
        <v>5</v>
      </c>
    </row>
    <row r="2" spans="1:9" ht="15" customHeight="1" x14ac:dyDescent="0.25">
      <c r="A2" s="887"/>
      <c r="B2" s="888"/>
      <c r="C2" s="888"/>
      <c r="D2" s="888"/>
      <c r="E2" s="889"/>
      <c r="F2" s="893"/>
      <c r="G2" s="894"/>
      <c r="H2" s="895"/>
      <c r="I2" s="896"/>
    </row>
    <row r="3" spans="1:9" ht="15.75" customHeight="1" x14ac:dyDescent="0.25">
      <c r="A3" s="255"/>
      <c r="B3" s="303"/>
      <c r="C3" s="303"/>
      <c r="D3" s="303"/>
      <c r="E3" s="303"/>
      <c r="F3" s="301"/>
      <c r="G3" s="301"/>
      <c r="H3" s="301"/>
      <c r="I3" s="301"/>
    </row>
    <row r="4" spans="1:9" ht="15.75" customHeight="1" x14ac:dyDescent="0.25">
      <c r="A4" s="897" t="s">
        <v>442</v>
      </c>
      <c r="B4" s="897"/>
      <c r="C4" s="303"/>
      <c r="D4" s="303"/>
      <c r="E4" s="303"/>
      <c r="F4" s="301"/>
      <c r="G4" s="301"/>
      <c r="H4" s="301"/>
      <c r="I4" s="301"/>
    </row>
    <row r="5" spans="1:9" ht="14.25" customHeight="1" x14ac:dyDescent="0.25">
      <c r="A5" s="915" t="s">
        <v>445</v>
      </c>
      <c r="B5" s="916"/>
      <c r="C5" s="905" t="s">
        <v>450</v>
      </c>
      <c r="D5" s="906"/>
      <c r="E5" s="906"/>
      <c r="F5" s="906"/>
      <c r="G5" s="906"/>
      <c r="H5" s="907"/>
      <c r="I5" s="898">
        <v>3.4</v>
      </c>
    </row>
    <row r="6" spans="1:9" ht="14.25" customHeight="1" x14ac:dyDescent="0.25">
      <c r="A6" s="917"/>
      <c r="B6" s="918"/>
      <c r="C6" s="908"/>
      <c r="D6" s="909"/>
      <c r="E6" s="909"/>
      <c r="F6" s="909"/>
      <c r="G6" s="909"/>
      <c r="H6" s="910"/>
      <c r="I6" s="898"/>
    </row>
    <row r="7" spans="1:9" ht="14.25" customHeight="1" x14ac:dyDescent="0.25">
      <c r="A7" s="911" t="s">
        <v>446</v>
      </c>
      <c r="B7" s="912"/>
      <c r="C7" s="899" t="s">
        <v>444</v>
      </c>
      <c r="D7" s="900"/>
      <c r="E7" s="900"/>
      <c r="F7" s="900"/>
      <c r="G7" s="900"/>
      <c r="H7" s="901"/>
      <c r="I7" s="919">
        <v>3.1</v>
      </c>
    </row>
    <row r="8" spans="1:9" ht="14.25" customHeight="1" x14ac:dyDescent="0.25">
      <c r="A8" s="913"/>
      <c r="B8" s="914"/>
      <c r="C8" s="902"/>
      <c r="D8" s="903"/>
      <c r="E8" s="903"/>
      <c r="F8" s="903"/>
      <c r="G8" s="903"/>
      <c r="H8" s="904"/>
      <c r="I8" s="920"/>
    </row>
    <row r="9" spans="1:9" ht="15.75" customHeight="1" x14ac:dyDescent="0.25">
      <c r="A9" s="255"/>
      <c r="B9" s="302"/>
      <c r="C9" s="302"/>
      <c r="D9" s="302"/>
      <c r="E9" s="302"/>
      <c r="F9" s="302"/>
      <c r="G9" s="302"/>
      <c r="H9" s="302"/>
      <c r="I9" s="301"/>
    </row>
    <row r="10" spans="1:9" ht="15.75" customHeight="1" x14ac:dyDescent="0.25">
      <c r="A10" s="300" t="s">
        <v>441</v>
      </c>
      <c r="B10" s="299"/>
      <c r="C10" s="299"/>
      <c r="D10" s="299"/>
      <c r="E10" s="299"/>
      <c r="F10" s="299"/>
      <c r="G10" s="299"/>
      <c r="H10" s="299"/>
      <c r="I10" s="298"/>
    </row>
    <row r="11" spans="1:9" ht="15.75" customHeight="1" x14ac:dyDescent="0.25">
      <c r="A11" s="312"/>
      <c r="B11" s="255" t="s">
        <v>504</v>
      </c>
      <c r="C11" s="255"/>
      <c r="D11" s="255"/>
      <c r="E11" s="255"/>
      <c r="F11" s="255"/>
      <c r="G11" s="255"/>
      <c r="H11" s="255"/>
      <c r="I11" s="266"/>
    </row>
    <row r="12" spans="1:9" ht="15.75" customHeight="1" x14ac:dyDescent="0.25">
      <c r="A12" s="314"/>
      <c r="B12" s="255"/>
      <c r="C12" s="255"/>
      <c r="D12" s="255"/>
      <c r="E12" s="255"/>
      <c r="F12" s="255"/>
      <c r="G12" s="255"/>
      <c r="H12" s="255"/>
      <c r="I12" s="266"/>
    </row>
    <row r="13" spans="1:9" ht="15.75" customHeight="1" x14ac:dyDescent="0.25">
      <c r="A13" s="315"/>
      <c r="B13" s="255" t="s">
        <v>463</v>
      </c>
      <c r="C13" s="255"/>
      <c r="D13" s="255"/>
      <c r="E13" s="255"/>
      <c r="F13" s="255"/>
      <c r="G13" s="255"/>
      <c r="H13" s="255"/>
      <c r="I13" s="266"/>
    </row>
    <row r="14" spans="1:9" ht="15.75" customHeight="1" x14ac:dyDescent="0.25">
      <c r="A14" s="316"/>
      <c r="B14" s="278" t="s">
        <v>464</v>
      </c>
      <c r="C14" s="278"/>
      <c r="D14" s="278"/>
      <c r="E14" s="278"/>
      <c r="F14" s="278"/>
      <c r="G14" s="278"/>
      <c r="H14" s="278"/>
      <c r="I14" s="277"/>
    </row>
    <row r="15" spans="1:9" ht="6.95" customHeight="1" thickBot="1" x14ac:dyDescent="0.3">
      <c r="A15" s="255"/>
      <c r="B15" s="297"/>
      <c r="C15" s="297"/>
      <c r="D15" s="297"/>
      <c r="E15" s="297"/>
      <c r="F15" s="297"/>
      <c r="G15" s="297"/>
      <c r="H15" s="255"/>
      <c r="I15" s="255"/>
    </row>
    <row r="16" spans="1:9" ht="15.75" customHeight="1" x14ac:dyDescent="0.25">
      <c r="A16" s="876" t="s">
        <v>440</v>
      </c>
      <c r="B16" s="877"/>
      <c r="C16" s="877" t="s">
        <v>439</v>
      </c>
      <c r="D16" s="877" t="s">
        <v>438</v>
      </c>
      <c r="E16" s="877"/>
      <c r="F16" s="877"/>
      <c r="G16" s="877"/>
      <c r="H16" s="880" t="s">
        <v>437</v>
      </c>
      <c r="I16" s="882" t="s">
        <v>436</v>
      </c>
    </row>
    <row r="17" spans="1:15" x14ac:dyDescent="0.25">
      <c r="A17" s="878"/>
      <c r="B17" s="879"/>
      <c r="C17" s="879"/>
      <c r="D17" s="879"/>
      <c r="E17" s="879"/>
      <c r="F17" s="879"/>
      <c r="G17" s="879"/>
      <c r="H17" s="881"/>
      <c r="I17" s="883"/>
    </row>
    <row r="18" spans="1:15" ht="9.75" customHeight="1" x14ac:dyDescent="0.25">
      <c r="A18" s="856"/>
      <c r="B18" s="857"/>
      <c r="C18" s="857"/>
      <c r="D18" s="857"/>
      <c r="E18" s="857"/>
      <c r="F18" s="857"/>
      <c r="G18" s="857"/>
      <c r="H18" s="857"/>
      <c r="I18" s="858"/>
    </row>
    <row r="19" spans="1:15" x14ac:dyDescent="0.25">
      <c r="A19" s="313"/>
      <c r="B19" s="309" t="s">
        <v>435</v>
      </c>
      <c r="C19" s="310" t="s">
        <v>434</v>
      </c>
      <c r="D19" s="267" t="s">
        <v>493</v>
      </c>
      <c r="E19" s="255"/>
      <c r="F19" s="255"/>
      <c r="G19" s="294"/>
      <c r="H19" s="282" t="s">
        <v>424</v>
      </c>
      <c r="I19" s="353"/>
    </row>
    <row r="20" spans="1:15" x14ac:dyDescent="0.25">
      <c r="A20" s="313"/>
      <c r="B20" s="304" t="s">
        <v>458</v>
      </c>
      <c r="C20" s="359" t="s">
        <v>545</v>
      </c>
      <c r="D20" s="373" t="s">
        <v>542</v>
      </c>
      <c r="E20" s="361"/>
      <c r="F20" s="361"/>
      <c r="G20" s="362"/>
      <c r="H20" s="363" t="s">
        <v>497</v>
      </c>
      <c r="I20" s="350" t="s">
        <v>543</v>
      </c>
      <c r="K20" s="255"/>
      <c r="L20" s="255"/>
      <c r="M20" s="255"/>
      <c r="N20" s="296"/>
    </row>
    <row r="21" spans="1:15" x14ac:dyDescent="0.25">
      <c r="A21" s="313"/>
      <c r="B21" s="306"/>
      <c r="C21" s="359"/>
      <c r="D21" s="945" t="s">
        <v>546</v>
      </c>
      <c r="E21" s="946"/>
      <c r="F21" s="946"/>
      <c r="G21" s="947"/>
      <c r="H21" s="363"/>
      <c r="I21" s="372" t="s">
        <v>544</v>
      </c>
      <c r="K21" s="255"/>
      <c r="L21" s="255"/>
      <c r="M21" s="255"/>
      <c r="N21" s="255"/>
    </row>
    <row r="22" spans="1:15" x14ac:dyDescent="0.25">
      <c r="A22" s="313"/>
      <c r="B22" s="307"/>
      <c r="C22" s="364"/>
      <c r="D22" s="360"/>
      <c r="E22" s="361"/>
      <c r="F22" s="361"/>
      <c r="G22" s="362"/>
      <c r="H22" s="365"/>
      <c r="I22" s="352"/>
      <c r="K22" s="255"/>
      <c r="L22" s="255"/>
      <c r="M22" s="255"/>
      <c r="N22" s="255"/>
    </row>
    <row r="23" spans="1:15" x14ac:dyDescent="0.25">
      <c r="A23" s="313"/>
      <c r="B23" s="305" t="s">
        <v>432</v>
      </c>
      <c r="C23" s="366" t="s">
        <v>430</v>
      </c>
      <c r="D23" s="367"/>
      <c r="E23" s="367"/>
      <c r="F23" s="367"/>
      <c r="G23" s="368"/>
      <c r="H23" s="369"/>
      <c r="I23" s="349"/>
      <c r="K23" s="255"/>
      <c r="L23" s="255"/>
      <c r="M23" s="255"/>
      <c r="N23" s="255"/>
    </row>
    <row r="24" spans="1:15" x14ac:dyDescent="0.25">
      <c r="A24" s="313"/>
      <c r="B24" s="304" t="s">
        <v>459</v>
      </c>
      <c r="C24" s="370"/>
      <c r="D24" s="361"/>
      <c r="E24" s="361"/>
      <c r="F24" s="361"/>
      <c r="G24" s="361"/>
      <c r="H24" s="371"/>
      <c r="I24" s="350"/>
      <c r="K24" s="255"/>
      <c r="L24" s="255"/>
      <c r="M24" s="255"/>
      <c r="N24" s="255"/>
    </row>
    <row r="25" spans="1:15" x14ac:dyDescent="0.25">
      <c r="A25" s="313"/>
      <c r="B25" s="306"/>
      <c r="C25" s="268" t="s">
        <v>495</v>
      </c>
      <c r="D25" s="255" t="s">
        <v>547</v>
      </c>
      <c r="E25" s="255"/>
      <c r="F25" s="255"/>
      <c r="G25" s="255"/>
      <c r="H25" s="310" t="s">
        <v>424</v>
      </c>
      <c r="I25" s="351"/>
      <c r="K25" s="255"/>
      <c r="L25" s="255"/>
      <c r="M25" s="255"/>
      <c r="N25" s="255"/>
    </row>
    <row r="26" spans="1:15" x14ac:dyDescent="0.25">
      <c r="A26" s="313"/>
      <c r="B26" s="307"/>
      <c r="C26" s="292" t="s">
        <v>495</v>
      </c>
      <c r="D26" s="278" t="s">
        <v>548</v>
      </c>
      <c r="E26" s="278"/>
      <c r="F26" s="278"/>
      <c r="G26" s="278"/>
      <c r="H26" s="348"/>
      <c r="I26" s="352"/>
      <c r="K26" s="255"/>
      <c r="L26" s="255"/>
      <c r="M26" s="255"/>
      <c r="N26" s="255"/>
    </row>
    <row r="27" spans="1:15" x14ac:dyDescent="0.25">
      <c r="A27" s="313"/>
      <c r="B27" s="308" t="s">
        <v>431</v>
      </c>
      <c r="C27" s="273" t="s">
        <v>500</v>
      </c>
      <c r="D27" s="267" t="s">
        <v>550</v>
      </c>
      <c r="E27" s="255"/>
      <c r="F27" s="255"/>
      <c r="G27" s="266"/>
      <c r="H27" s="272" t="s">
        <v>497</v>
      </c>
      <c r="I27" s="354"/>
      <c r="K27" s="255"/>
      <c r="L27" s="255"/>
      <c r="M27" s="255"/>
      <c r="N27" s="255"/>
    </row>
    <row r="28" spans="1:15" x14ac:dyDescent="0.25">
      <c r="A28" s="313"/>
      <c r="B28" s="304" t="s">
        <v>460</v>
      </c>
      <c r="C28" s="268"/>
      <c r="D28" s="267" t="s">
        <v>551</v>
      </c>
      <c r="E28" s="255"/>
      <c r="F28" s="255"/>
      <c r="G28" s="266"/>
      <c r="H28" s="265" t="s">
        <v>424</v>
      </c>
      <c r="I28" s="351"/>
    </row>
    <row r="29" spans="1:15" x14ac:dyDescent="0.25">
      <c r="A29" s="313"/>
      <c r="B29" s="306"/>
      <c r="C29" s="268"/>
      <c r="D29" s="267"/>
      <c r="E29" s="255"/>
      <c r="F29" s="255"/>
      <c r="G29" s="266"/>
      <c r="H29" s="265"/>
      <c r="I29" s="351"/>
    </row>
    <row r="30" spans="1:15" ht="15" customHeight="1" x14ac:dyDescent="0.25">
      <c r="A30" s="314"/>
      <c r="B30" s="254"/>
      <c r="C30" s="265"/>
      <c r="D30" s="267"/>
      <c r="E30" s="255"/>
      <c r="F30" s="255"/>
      <c r="G30" s="266"/>
      <c r="H30" s="265"/>
      <c r="I30" s="355"/>
    </row>
    <row r="31" spans="1:15" ht="14.25" customHeight="1" x14ac:dyDescent="0.25">
      <c r="A31" s="927" t="s">
        <v>428</v>
      </c>
      <c r="B31" s="860"/>
      <c r="C31" s="860"/>
      <c r="D31" s="860"/>
      <c r="E31" s="860"/>
      <c r="F31" s="860"/>
      <c r="G31" s="860"/>
      <c r="H31" s="860"/>
      <c r="I31" s="928"/>
      <c r="K31" s="255"/>
      <c r="L31" s="255"/>
      <c r="M31" s="255"/>
      <c r="N31" s="255"/>
      <c r="O31" s="255"/>
    </row>
    <row r="32" spans="1:15" ht="14.25" customHeight="1" x14ac:dyDescent="0.25">
      <c r="A32" s="929"/>
      <c r="B32" s="863"/>
      <c r="C32" s="863"/>
      <c r="D32" s="863"/>
      <c r="E32" s="863"/>
      <c r="F32" s="863"/>
      <c r="G32" s="863"/>
      <c r="H32" s="863"/>
      <c r="I32" s="930"/>
      <c r="K32" s="255"/>
      <c r="L32" s="255"/>
      <c r="M32" s="255"/>
      <c r="N32" s="255"/>
      <c r="O32" s="255"/>
    </row>
    <row r="33" spans="1:15" ht="9.75" customHeight="1" x14ac:dyDescent="0.25">
      <c r="A33" s="931"/>
      <c r="B33" s="932"/>
      <c r="C33" s="932"/>
      <c r="D33" s="932"/>
      <c r="E33" s="932"/>
      <c r="F33" s="932"/>
      <c r="G33" s="932"/>
      <c r="H33" s="932"/>
      <c r="I33" s="933"/>
      <c r="K33" s="255"/>
      <c r="L33" s="255"/>
      <c r="M33" s="255"/>
      <c r="N33" s="255"/>
      <c r="O33" s="255"/>
    </row>
    <row r="34" spans="1:15" ht="15.75" customHeight="1" x14ac:dyDescent="0.25">
      <c r="A34" s="356"/>
      <c r="B34" s="290" t="s">
        <v>427</v>
      </c>
      <c r="C34" s="283" t="s">
        <v>495</v>
      </c>
      <c r="D34" s="267" t="s">
        <v>549</v>
      </c>
      <c r="E34" s="255"/>
      <c r="F34" s="255"/>
      <c r="G34" s="266"/>
      <c r="H34" s="282" t="s">
        <v>424</v>
      </c>
      <c r="I34" s="351"/>
      <c r="K34" s="255"/>
      <c r="L34" s="255"/>
      <c r="M34" s="255"/>
      <c r="N34" s="255"/>
      <c r="O34" s="255"/>
    </row>
    <row r="35" spans="1:15" x14ac:dyDescent="0.25">
      <c r="A35" s="356"/>
      <c r="B35" s="319" t="s">
        <v>461</v>
      </c>
      <c r="C35" s="283" t="s">
        <v>534</v>
      </c>
      <c r="D35" s="267" t="s">
        <v>535</v>
      </c>
      <c r="E35" s="255"/>
      <c r="F35" s="255"/>
      <c r="G35" s="266"/>
      <c r="H35" s="282" t="s">
        <v>497</v>
      </c>
      <c r="I35" s="351"/>
      <c r="K35" s="255"/>
      <c r="L35" s="255"/>
      <c r="M35" s="255"/>
      <c r="N35" s="255"/>
      <c r="O35" s="255"/>
    </row>
    <row r="36" spans="1:15" ht="15.75" customHeight="1" x14ac:dyDescent="0.25">
      <c r="A36" s="356"/>
      <c r="B36" s="269"/>
      <c r="C36" s="283"/>
      <c r="D36" s="267"/>
      <c r="E36" s="255"/>
      <c r="F36" s="255"/>
      <c r="G36" s="266"/>
      <c r="H36" s="282"/>
      <c r="I36" s="350"/>
      <c r="K36" s="255"/>
      <c r="L36" s="255"/>
      <c r="M36" s="255"/>
      <c r="N36" s="255"/>
      <c r="O36" s="255"/>
    </row>
    <row r="37" spans="1:15" ht="15.75" customHeight="1" x14ac:dyDescent="0.25">
      <c r="A37" s="356"/>
      <c r="B37" s="281"/>
      <c r="C37" s="280"/>
      <c r="D37" s="279"/>
      <c r="E37" s="278"/>
      <c r="F37" s="278"/>
      <c r="G37" s="277"/>
      <c r="H37" s="276"/>
      <c r="I37" s="352"/>
    </row>
    <row r="38" spans="1:15" x14ac:dyDescent="0.25">
      <c r="A38" s="356"/>
      <c r="B38" s="274" t="s">
        <v>423</v>
      </c>
      <c r="C38" s="273" t="s">
        <v>495</v>
      </c>
      <c r="D38" s="267" t="s">
        <v>536</v>
      </c>
      <c r="E38" s="255"/>
      <c r="F38" s="255"/>
      <c r="G38" s="266"/>
      <c r="H38" s="272"/>
      <c r="I38" s="354"/>
    </row>
    <row r="39" spans="1:15" ht="15.75" customHeight="1" x14ac:dyDescent="0.25">
      <c r="A39" s="356"/>
      <c r="B39" s="270" t="s">
        <v>462</v>
      </c>
      <c r="C39" s="268" t="s">
        <v>426</v>
      </c>
      <c r="D39" s="267" t="s">
        <v>537</v>
      </c>
      <c r="E39" s="255"/>
      <c r="F39" s="255"/>
      <c r="G39" s="266"/>
      <c r="H39" s="265"/>
      <c r="I39" s="350"/>
    </row>
    <row r="40" spans="1:15" ht="15.75" customHeight="1" x14ac:dyDescent="0.25">
      <c r="A40" s="356"/>
      <c r="B40" s="269"/>
      <c r="C40" s="268"/>
      <c r="D40" s="267"/>
      <c r="E40" s="255"/>
      <c r="F40" s="255"/>
      <c r="G40" s="266"/>
      <c r="H40" s="265"/>
      <c r="I40" s="350"/>
    </row>
    <row r="41" spans="1:15" ht="15.75" customHeight="1" x14ac:dyDescent="0.25">
      <c r="A41" s="357"/>
      <c r="B41" s="358"/>
      <c r="C41" s="291"/>
      <c r="D41" s="279"/>
      <c r="E41" s="278"/>
      <c r="F41" s="278"/>
      <c r="G41" s="277"/>
      <c r="H41" s="291"/>
      <c r="I41" s="352"/>
    </row>
    <row r="42" spans="1:15" ht="6.95" customHeight="1" x14ac:dyDescent="0.25">
      <c r="A42" s="255"/>
      <c r="B42" s="257"/>
      <c r="C42" s="256"/>
      <c r="D42" s="255"/>
      <c r="E42" s="255"/>
      <c r="F42" s="255"/>
      <c r="G42" s="255"/>
      <c r="H42" s="255"/>
      <c r="I42" s="255"/>
    </row>
    <row r="43" spans="1:15" ht="15.75" customHeight="1" x14ac:dyDescent="0.25">
      <c r="A43" s="867" t="s">
        <v>422</v>
      </c>
      <c r="B43" s="868"/>
      <c r="C43" s="868"/>
      <c r="D43" s="869"/>
      <c r="E43" s="867" t="s">
        <v>421</v>
      </c>
      <c r="F43" s="868"/>
      <c r="G43" s="867" t="s">
        <v>420</v>
      </c>
      <c r="H43" s="868"/>
      <c r="I43" s="869"/>
    </row>
    <row r="44" spans="1:15" ht="15.75" customHeight="1" x14ac:dyDescent="0.25">
      <c r="A44" s="870"/>
      <c r="B44" s="871"/>
      <c r="C44" s="871"/>
      <c r="D44" s="872"/>
      <c r="E44" s="870"/>
      <c r="F44" s="871"/>
      <c r="G44" s="873"/>
      <c r="H44" s="874"/>
      <c r="I44" s="875"/>
    </row>
    <row r="45" spans="1:15" ht="15.75" customHeight="1" x14ac:dyDescent="0.25">
      <c r="A45" s="939" t="s">
        <v>552</v>
      </c>
      <c r="B45" s="940"/>
      <c r="C45" s="940"/>
      <c r="D45" s="941"/>
      <c r="E45" s="848" t="s">
        <v>419</v>
      </c>
      <c r="F45" s="849"/>
      <c r="G45" s="850" t="s">
        <v>555</v>
      </c>
      <c r="H45" s="851"/>
      <c r="I45" s="852"/>
    </row>
    <row r="46" spans="1:15" ht="15.75" customHeight="1" x14ac:dyDescent="0.25">
      <c r="A46" s="942">
        <v>45553</v>
      </c>
      <c r="B46" s="943"/>
      <c r="C46" s="943"/>
      <c r="D46" s="944"/>
      <c r="E46" s="822"/>
      <c r="F46" s="823"/>
      <c r="G46" s="824" t="s">
        <v>556</v>
      </c>
      <c r="H46" s="825"/>
      <c r="I46" s="826"/>
    </row>
    <row r="47" spans="1:15" ht="15.75" customHeight="1" x14ac:dyDescent="0.25">
      <c r="A47" s="819"/>
      <c r="B47" s="820"/>
      <c r="C47" s="820"/>
      <c r="D47" s="821"/>
      <c r="E47" s="822"/>
      <c r="F47" s="823"/>
      <c r="G47" s="824"/>
      <c r="H47" s="825"/>
      <c r="I47" s="826"/>
    </row>
    <row r="48" spans="1:15" ht="15.75" customHeight="1" x14ac:dyDescent="0.25">
      <c r="A48" s="921" t="s">
        <v>553</v>
      </c>
      <c r="B48" s="922"/>
      <c r="C48" s="922"/>
      <c r="D48" s="923"/>
      <c r="E48" s="838"/>
      <c r="F48" s="823"/>
      <c r="G48" s="839" t="s">
        <v>524</v>
      </c>
      <c r="H48" s="840"/>
      <c r="I48" s="841"/>
    </row>
    <row r="49" spans="1:9" ht="15.75" customHeight="1" x14ac:dyDescent="0.25">
      <c r="A49" s="921" t="s">
        <v>554</v>
      </c>
      <c r="B49" s="922"/>
      <c r="C49" s="922"/>
      <c r="D49" s="923"/>
      <c r="E49" s="838"/>
      <c r="F49" s="823"/>
      <c r="G49" s="842"/>
      <c r="H49" s="843"/>
      <c r="I49" s="844"/>
    </row>
    <row r="50" spans="1:9" ht="15.75" customHeight="1" x14ac:dyDescent="0.25">
      <c r="A50" s="827"/>
      <c r="B50" s="828"/>
      <c r="C50" s="828"/>
      <c r="D50" s="829"/>
      <c r="E50" s="830"/>
      <c r="F50" s="831"/>
      <c r="G50" s="832"/>
      <c r="H50" s="833"/>
      <c r="I50" s="834"/>
    </row>
    <row r="51" spans="1:9" ht="15.75" customHeight="1" x14ac:dyDescent="0.25"/>
    <row r="52" spans="1:9" ht="15.75" customHeight="1" x14ac:dyDescent="0.25"/>
    <row r="53" spans="1:9" ht="15.75" customHeight="1" x14ac:dyDescent="0.25"/>
    <row r="54" spans="1:9" ht="15.75" customHeight="1" x14ac:dyDescent="0.25"/>
    <row r="55" spans="1:9" ht="15.75" customHeight="1" x14ac:dyDescent="0.25"/>
  </sheetData>
  <mergeCells count="40">
    <mergeCell ref="A1:E2"/>
    <mergeCell ref="F1:H2"/>
    <mergeCell ref="I1:I2"/>
    <mergeCell ref="A4:B4"/>
    <mergeCell ref="A5:B6"/>
    <mergeCell ref="C5:H6"/>
    <mergeCell ref="I5:I6"/>
    <mergeCell ref="A7:B8"/>
    <mergeCell ref="C7:H8"/>
    <mergeCell ref="I7:I8"/>
    <mergeCell ref="A16:B17"/>
    <mergeCell ref="C16:C17"/>
    <mergeCell ref="D16:G17"/>
    <mergeCell ref="H16:H17"/>
    <mergeCell ref="I16:I17"/>
    <mergeCell ref="A18:I18"/>
    <mergeCell ref="A31:I32"/>
    <mergeCell ref="A33:I33"/>
    <mergeCell ref="A43:D44"/>
    <mergeCell ref="E43:F44"/>
    <mergeCell ref="G43:I44"/>
    <mergeCell ref="D21:G21"/>
    <mergeCell ref="A45:D45"/>
    <mergeCell ref="E45:F45"/>
    <mergeCell ref="G45:I45"/>
    <mergeCell ref="A46:D46"/>
    <mergeCell ref="E46:F46"/>
    <mergeCell ref="G46:I46"/>
    <mergeCell ref="A47:D47"/>
    <mergeCell ref="E47:F47"/>
    <mergeCell ref="G47:I47"/>
    <mergeCell ref="A48:D48"/>
    <mergeCell ref="E48:F48"/>
    <mergeCell ref="G48:I48"/>
    <mergeCell ref="A49:D49"/>
    <mergeCell ref="E49:F49"/>
    <mergeCell ref="G49:I49"/>
    <mergeCell ref="A50:D50"/>
    <mergeCell ref="E50:F50"/>
    <mergeCell ref="G50:I50"/>
  </mergeCells>
  <pageMargins left="0.25" right="0.25" top="0.75" bottom="0.75" header="0.3" footer="0.3"/>
  <pageSetup paperSize="9" orientation="portrait" r:id="rId1"/>
  <headerFooter>
    <oddHeader>&amp;LGBS SG&amp;CSSPb23-25&amp;RBKU</oddHeader>
    <oddFooter>&amp;R&amp;"Century Gothic,Standard"&amp;9ART &amp;D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F70C3-FB43-4456-A951-857526E00E38}">
  <dimension ref="A1:O55"/>
  <sheetViews>
    <sheetView view="pageLayout" zoomScaleNormal="100" workbookViewId="0">
      <selection activeCell="E46" sqref="E46:F46"/>
    </sheetView>
  </sheetViews>
  <sheetFormatPr baseColWidth="10" defaultColWidth="11.42578125" defaultRowHeight="15" x14ac:dyDescent="0.25"/>
  <cols>
    <col min="1" max="1" width="1.5703125" customWidth="1"/>
    <col min="2" max="2" width="13.85546875" customWidth="1"/>
    <col min="3" max="3" width="4.7109375" customWidth="1"/>
    <col min="4" max="4" width="16.28515625" customWidth="1"/>
    <col min="5" max="5" width="13.28515625" customWidth="1"/>
    <col min="6" max="6" width="13" customWidth="1"/>
    <col min="7" max="7" width="12.7109375" customWidth="1"/>
    <col min="8" max="8" width="4.85546875" customWidth="1"/>
    <col min="9" max="9" width="16.7109375" customWidth="1"/>
  </cols>
  <sheetData>
    <row r="1" spans="1:9" ht="15" customHeight="1" x14ac:dyDescent="0.25">
      <c r="A1" s="884" t="s">
        <v>443</v>
      </c>
      <c r="B1" s="885"/>
      <c r="C1" s="885"/>
      <c r="D1" s="885"/>
      <c r="E1" s="886"/>
      <c r="F1" s="890">
        <f>Kompetenzraster!R15</f>
        <v>45553</v>
      </c>
      <c r="G1" s="891"/>
      <c r="H1" s="892"/>
      <c r="I1" s="896">
        <v>6</v>
      </c>
    </row>
    <row r="2" spans="1:9" ht="15" customHeight="1" x14ac:dyDescent="0.25">
      <c r="A2" s="887"/>
      <c r="B2" s="888"/>
      <c r="C2" s="888"/>
      <c r="D2" s="888"/>
      <c r="E2" s="889"/>
      <c r="F2" s="893"/>
      <c r="G2" s="894"/>
      <c r="H2" s="895"/>
      <c r="I2" s="896"/>
    </row>
    <row r="3" spans="1:9" ht="15.75" customHeight="1" x14ac:dyDescent="0.25">
      <c r="A3" s="255"/>
      <c r="B3" s="303"/>
      <c r="C3" s="303"/>
      <c r="D3" s="303"/>
      <c r="E3" s="303"/>
      <c r="F3" s="301"/>
      <c r="G3" s="301"/>
      <c r="H3" s="301"/>
      <c r="I3" s="301"/>
    </row>
    <row r="4" spans="1:9" ht="15.75" customHeight="1" x14ac:dyDescent="0.25">
      <c r="A4" s="897" t="s">
        <v>442</v>
      </c>
      <c r="B4" s="897"/>
      <c r="C4" s="303"/>
      <c r="D4" s="303"/>
      <c r="E4" s="303"/>
      <c r="F4" s="301"/>
      <c r="G4" s="301"/>
      <c r="H4" s="301"/>
      <c r="I4" s="301"/>
    </row>
    <row r="5" spans="1:9" ht="14.25" customHeight="1" x14ac:dyDescent="0.25">
      <c r="A5" s="915" t="s">
        <v>445</v>
      </c>
      <c r="B5" s="916"/>
      <c r="C5" s="905" t="s">
        <v>564</v>
      </c>
      <c r="D5" s="906"/>
      <c r="E5" s="906"/>
      <c r="F5" s="906"/>
      <c r="G5" s="906"/>
      <c r="H5" s="907"/>
      <c r="I5" s="898">
        <v>3.01</v>
      </c>
    </row>
    <row r="6" spans="1:9" ht="14.25" customHeight="1" x14ac:dyDescent="0.25">
      <c r="A6" s="917"/>
      <c r="B6" s="918"/>
      <c r="C6" s="908"/>
      <c r="D6" s="909"/>
      <c r="E6" s="909"/>
      <c r="F6" s="909"/>
      <c r="G6" s="909"/>
      <c r="H6" s="910"/>
      <c r="I6" s="898"/>
    </row>
    <row r="7" spans="1:9" ht="14.25" customHeight="1" x14ac:dyDescent="0.25">
      <c r="A7" s="911" t="s">
        <v>446</v>
      </c>
      <c r="B7" s="912"/>
      <c r="C7" s="899" t="s">
        <v>444</v>
      </c>
      <c r="D7" s="900"/>
      <c r="E7" s="900"/>
      <c r="F7" s="900"/>
      <c r="G7" s="900"/>
      <c r="H7" s="901"/>
      <c r="I7" s="919">
        <v>3.1</v>
      </c>
    </row>
    <row r="8" spans="1:9" ht="14.25" customHeight="1" x14ac:dyDescent="0.25">
      <c r="A8" s="913"/>
      <c r="B8" s="914"/>
      <c r="C8" s="902"/>
      <c r="D8" s="903"/>
      <c r="E8" s="903"/>
      <c r="F8" s="903"/>
      <c r="G8" s="903"/>
      <c r="H8" s="904"/>
      <c r="I8" s="920"/>
    </row>
    <row r="9" spans="1:9" ht="15.75" customHeight="1" x14ac:dyDescent="0.25">
      <c r="A9" s="255"/>
      <c r="B9" s="302"/>
      <c r="C9" s="302"/>
      <c r="D9" s="302"/>
      <c r="E9" s="302"/>
      <c r="F9" s="302"/>
      <c r="G9" s="302"/>
      <c r="H9" s="302"/>
      <c r="I9" s="301"/>
    </row>
    <row r="10" spans="1:9" ht="15.75" customHeight="1" x14ac:dyDescent="0.25">
      <c r="A10" s="300" t="s">
        <v>441</v>
      </c>
      <c r="B10" s="299"/>
      <c r="C10" s="299"/>
      <c r="D10" s="299"/>
      <c r="E10" s="299"/>
      <c r="F10" s="299"/>
      <c r="G10" s="299"/>
      <c r="H10" s="299"/>
      <c r="I10" s="298"/>
    </row>
    <row r="11" spans="1:9" ht="15.75" customHeight="1" x14ac:dyDescent="0.25">
      <c r="A11" s="312"/>
      <c r="B11" s="255" t="s">
        <v>504</v>
      </c>
      <c r="C11" s="255"/>
      <c r="D11" s="255"/>
      <c r="E11" s="255"/>
      <c r="F11" s="255"/>
      <c r="G11" s="255"/>
      <c r="H11" s="255"/>
      <c r="I11" s="266"/>
    </row>
    <row r="12" spans="1:9" ht="15.75" customHeight="1" x14ac:dyDescent="0.25">
      <c r="A12" s="314"/>
      <c r="B12" s="255"/>
      <c r="C12" s="255"/>
      <c r="D12" s="255"/>
      <c r="E12" s="255"/>
      <c r="F12" s="255"/>
      <c r="G12" s="255"/>
      <c r="H12" s="255"/>
      <c r="I12" s="266"/>
    </row>
    <row r="13" spans="1:9" ht="15.75" customHeight="1" x14ac:dyDescent="0.25">
      <c r="A13" s="315"/>
      <c r="B13" s="255" t="s">
        <v>463</v>
      </c>
      <c r="C13" s="255"/>
      <c r="D13" s="255"/>
      <c r="E13" s="255"/>
      <c r="F13" s="255"/>
      <c r="G13" s="255"/>
      <c r="H13" s="255"/>
      <c r="I13" s="266"/>
    </row>
    <row r="14" spans="1:9" ht="15.75" customHeight="1" x14ac:dyDescent="0.25">
      <c r="A14" s="316"/>
      <c r="B14" s="278" t="s">
        <v>464</v>
      </c>
      <c r="C14" s="278"/>
      <c r="D14" s="278"/>
      <c r="E14" s="278"/>
      <c r="F14" s="278"/>
      <c r="G14" s="278"/>
      <c r="H14" s="278"/>
      <c r="I14" s="277"/>
    </row>
    <row r="15" spans="1:9" ht="6.95" customHeight="1" thickBot="1" x14ac:dyDescent="0.3">
      <c r="A15" s="255"/>
      <c r="B15" s="297"/>
      <c r="C15" s="297"/>
      <c r="D15" s="297"/>
      <c r="E15" s="297"/>
      <c r="F15" s="297"/>
      <c r="G15" s="297"/>
      <c r="H15" s="255"/>
      <c r="I15" s="255"/>
    </row>
    <row r="16" spans="1:9" ht="15.75" customHeight="1" x14ac:dyDescent="0.25">
      <c r="A16" s="876" t="s">
        <v>440</v>
      </c>
      <c r="B16" s="877"/>
      <c r="C16" s="877" t="s">
        <v>439</v>
      </c>
      <c r="D16" s="877" t="s">
        <v>438</v>
      </c>
      <c r="E16" s="877"/>
      <c r="F16" s="877"/>
      <c r="G16" s="877"/>
      <c r="H16" s="880" t="s">
        <v>437</v>
      </c>
      <c r="I16" s="882" t="s">
        <v>436</v>
      </c>
    </row>
    <row r="17" spans="1:15" x14ac:dyDescent="0.25">
      <c r="A17" s="878"/>
      <c r="B17" s="879"/>
      <c r="C17" s="879"/>
      <c r="D17" s="879"/>
      <c r="E17" s="879"/>
      <c r="F17" s="879"/>
      <c r="G17" s="879"/>
      <c r="H17" s="881"/>
      <c r="I17" s="883"/>
    </row>
    <row r="18" spans="1:15" ht="9.75" customHeight="1" x14ac:dyDescent="0.25">
      <c r="A18" s="856"/>
      <c r="B18" s="857"/>
      <c r="C18" s="857"/>
      <c r="D18" s="857"/>
      <c r="E18" s="857"/>
      <c r="F18" s="857"/>
      <c r="G18" s="857"/>
      <c r="H18" s="857"/>
      <c r="I18" s="858"/>
    </row>
    <row r="19" spans="1:15" x14ac:dyDescent="0.25">
      <c r="A19" s="313"/>
      <c r="B19" s="309" t="s">
        <v>435</v>
      </c>
      <c r="C19" s="310" t="s">
        <v>434</v>
      </c>
      <c r="D19" s="267" t="s">
        <v>493</v>
      </c>
      <c r="E19" s="255"/>
      <c r="F19" s="255"/>
      <c r="G19" s="294"/>
      <c r="H19" s="282" t="s">
        <v>424</v>
      </c>
      <c r="I19" s="353"/>
    </row>
    <row r="20" spans="1:15" x14ac:dyDescent="0.25">
      <c r="A20" s="313"/>
      <c r="B20" s="304" t="s">
        <v>458</v>
      </c>
      <c r="C20" s="359" t="s">
        <v>545</v>
      </c>
      <c r="D20" s="373" t="s">
        <v>557</v>
      </c>
      <c r="E20" s="361"/>
      <c r="F20" s="361"/>
      <c r="G20" s="362"/>
      <c r="H20" s="363" t="s">
        <v>497</v>
      </c>
      <c r="I20" s="350" t="s">
        <v>543</v>
      </c>
      <c r="K20" s="255"/>
      <c r="L20" s="255"/>
      <c r="M20" s="255"/>
      <c r="N20" s="296"/>
    </row>
    <row r="21" spans="1:15" x14ac:dyDescent="0.25">
      <c r="A21" s="313"/>
      <c r="B21" s="306"/>
      <c r="C21" s="359"/>
      <c r="D21" s="948" t="s">
        <v>558</v>
      </c>
      <c r="E21" s="949"/>
      <c r="F21" s="949"/>
      <c r="G21" s="950"/>
      <c r="H21" s="363"/>
      <c r="I21" s="372" t="s">
        <v>544</v>
      </c>
      <c r="K21" s="255"/>
      <c r="L21" s="255"/>
      <c r="M21" s="255"/>
      <c r="N21" s="255"/>
    </row>
    <row r="22" spans="1:15" x14ac:dyDescent="0.25">
      <c r="A22" s="313"/>
      <c r="B22" s="307"/>
      <c r="C22" s="364"/>
      <c r="D22" s="360"/>
      <c r="E22" s="361"/>
      <c r="F22" s="361"/>
      <c r="G22" s="362"/>
      <c r="H22" s="365"/>
      <c r="I22" s="352"/>
      <c r="K22" s="255"/>
      <c r="L22" s="255"/>
      <c r="M22" s="255"/>
      <c r="N22" s="255"/>
    </row>
    <row r="23" spans="1:15" x14ac:dyDescent="0.25">
      <c r="A23" s="313"/>
      <c r="B23" s="305" t="s">
        <v>432</v>
      </c>
      <c r="C23" s="273" t="s">
        <v>560</v>
      </c>
      <c r="D23" s="287" t="s">
        <v>559</v>
      </c>
      <c r="E23" s="287"/>
      <c r="F23" s="287"/>
      <c r="G23" s="293"/>
      <c r="H23" s="347"/>
      <c r="I23" s="349"/>
      <c r="K23" s="255"/>
      <c r="L23" s="255"/>
      <c r="M23" s="255"/>
      <c r="N23" s="255"/>
    </row>
    <row r="24" spans="1:15" x14ac:dyDescent="0.25">
      <c r="A24" s="313"/>
      <c r="B24" s="304" t="s">
        <v>459</v>
      </c>
      <c r="C24" s="268" t="s">
        <v>495</v>
      </c>
      <c r="D24" s="255" t="s">
        <v>561</v>
      </c>
      <c r="E24" s="255"/>
      <c r="F24" s="255"/>
      <c r="G24" s="255"/>
      <c r="H24" s="310" t="s">
        <v>424</v>
      </c>
      <c r="I24" s="350"/>
      <c r="K24" s="255"/>
      <c r="L24" s="255"/>
      <c r="M24" s="255"/>
      <c r="N24" s="255"/>
    </row>
    <row r="25" spans="1:15" x14ac:dyDescent="0.25">
      <c r="A25" s="313"/>
      <c r="B25" s="306"/>
      <c r="C25" s="268" t="s">
        <v>534</v>
      </c>
      <c r="D25" s="255" t="s">
        <v>562</v>
      </c>
      <c r="E25" s="255"/>
      <c r="F25" s="255"/>
      <c r="G25" s="255"/>
      <c r="H25" s="310" t="s">
        <v>497</v>
      </c>
      <c r="I25" s="351"/>
      <c r="K25" s="255"/>
      <c r="L25" s="255"/>
      <c r="M25" s="255"/>
      <c r="N25" s="255"/>
    </row>
    <row r="26" spans="1:15" x14ac:dyDescent="0.25">
      <c r="A26" s="313"/>
      <c r="B26" s="307"/>
      <c r="C26" s="292"/>
      <c r="D26" s="278"/>
      <c r="E26" s="278"/>
      <c r="F26" s="278"/>
      <c r="G26" s="278"/>
      <c r="H26" s="348"/>
      <c r="I26" s="352"/>
      <c r="K26" s="255"/>
      <c r="L26" s="255"/>
      <c r="M26" s="255"/>
      <c r="N26" s="255"/>
    </row>
    <row r="27" spans="1:15" x14ac:dyDescent="0.25">
      <c r="A27" s="313"/>
      <c r="B27" s="308" t="s">
        <v>431</v>
      </c>
      <c r="C27" s="273" t="s">
        <v>545</v>
      </c>
      <c r="D27" s="267" t="s">
        <v>562</v>
      </c>
      <c r="E27" s="255"/>
      <c r="F27" s="255"/>
      <c r="G27" s="266"/>
      <c r="H27" s="272" t="s">
        <v>497</v>
      </c>
      <c r="I27" s="354"/>
      <c r="K27" s="255"/>
      <c r="L27" s="255"/>
      <c r="M27" s="255"/>
      <c r="N27" s="255"/>
    </row>
    <row r="28" spans="1:15" x14ac:dyDescent="0.25">
      <c r="A28" s="313"/>
      <c r="B28" s="304" t="s">
        <v>460</v>
      </c>
      <c r="C28" s="268" t="s">
        <v>434</v>
      </c>
      <c r="D28" s="267" t="s">
        <v>563</v>
      </c>
      <c r="E28" s="255"/>
      <c r="F28" s="255"/>
      <c r="G28" s="266"/>
      <c r="H28" s="265" t="s">
        <v>424</v>
      </c>
      <c r="I28" s="351"/>
    </row>
    <row r="29" spans="1:15" x14ac:dyDescent="0.25">
      <c r="A29" s="313"/>
      <c r="B29" s="306"/>
      <c r="C29" s="268"/>
      <c r="D29" s="267"/>
      <c r="E29" s="255"/>
      <c r="F29" s="255"/>
      <c r="G29" s="266"/>
      <c r="H29" s="265"/>
      <c r="I29" s="351"/>
    </row>
    <row r="30" spans="1:15" ht="15" customHeight="1" x14ac:dyDescent="0.25">
      <c r="A30" s="314"/>
      <c r="B30" s="254"/>
      <c r="C30" s="265"/>
      <c r="D30" s="267"/>
      <c r="E30" s="255"/>
      <c r="F30" s="255"/>
      <c r="G30" s="266"/>
      <c r="H30" s="265"/>
      <c r="I30" s="355"/>
    </row>
    <row r="31" spans="1:15" ht="14.25" customHeight="1" x14ac:dyDescent="0.25">
      <c r="A31" s="927" t="s">
        <v>428</v>
      </c>
      <c r="B31" s="860"/>
      <c r="C31" s="860"/>
      <c r="D31" s="860"/>
      <c r="E31" s="860"/>
      <c r="F31" s="860"/>
      <c r="G31" s="860"/>
      <c r="H31" s="860"/>
      <c r="I31" s="928"/>
      <c r="K31" s="255"/>
      <c r="L31" s="255"/>
      <c r="M31" s="255"/>
      <c r="N31" s="255"/>
      <c r="O31" s="255"/>
    </row>
    <row r="32" spans="1:15" ht="14.25" customHeight="1" x14ac:dyDescent="0.25">
      <c r="A32" s="929"/>
      <c r="B32" s="863"/>
      <c r="C32" s="863"/>
      <c r="D32" s="863"/>
      <c r="E32" s="863"/>
      <c r="F32" s="863"/>
      <c r="G32" s="863"/>
      <c r="H32" s="863"/>
      <c r="I32" s="930"/>
      <c r="K32" s="255"/>
      <c r="L32" s="255"/>
      <c r="M32" s="255"/>
      <c r="N32" s="255"/>
      <c r="O32" s="255"/>
    </row>
    <row r="33" spans="1:15" ht="9.75" customHeight="1" x14ac:dyDescent="0.25">
      <c r="A33" s="931"/>
      <c r="B33" s="932"/>
      <c r="C33" s="932"/>
      <c r="D33" s="932"/>
      <c r="E33" s="932"/>
      <c r="F33" s="932"/>
      <c r="G33" s="932"/>
      <c r="H33" s="932"/>
      <c r="I33" s="933"/>
      <c r="K33" s="255"/>
      <c r="L33" s="255"/>
      <c r="M33" s="255"/>
      <c r="N33" s="255"/>
      <c r="O33" s="255"/>
    </row>
    <row r="34" spans="1:15" ht="15.75" customHeight="1" x14ac:dyDescent="0.25">
      <c r="A34" s="356"/>
      <c r="B34" s="290" t="s">
        <v>427</v>
      </c>
      <c r="C34" s="283" t="s">
        <v>495</v>
      </c>
      <c r="D34" s="267" t="s">
        <v>549</v>
      </c>
      <c r="E34" s="255"/>
      <c r="F34" s="255"/>
      <c r="G34" s="266"/>
      <c r="H34" s="282" t="s">
        <v>424</v>
      </c>
      <c r="I34" s="351"/>
      <c r="K34" s="255"/>
      <c r="L34" s="255"/>
      <c r="M34" s="255"/>
      <c r="N34" s="255"/>
      <c r="O34" s="255"/>
    </row>
    <row r="35" spans="1:15" x14ac:dyDescent="0.25">
      <c r="A35" s="356"/>
      <c r="B35" s="319" t="s">
        <v>461</v>
      </c>
      <c r="C35" s="283" t="s">
        <v>534</v>
      </c>
      <c r="D35" s="267" t="s">
        <v>535</v>
      </c>
      <c r="E35" s="255"/>
      <c r="F35" s="255"/>
      <c r="G35" s="266"/>
      <c r="H35" s="282" t="s">
        <v>497</v>
      </c>
      <c r="I35" s="351"/>
      <c r="K35" s="255"/>
      <c r="L35" s="255"/>
      <c r="M35" s="255"/>
      <c r="N35" s="255"/>
      <c r="O35" s="255"/>
    </row>
    <row r="36" spans="1:15" ht="15.75" customHeight="1" x14ac:dyDescent="0.25">
      <c r="A36" s="356"/>
      <c r="B36" s="269"/>
      <c r="C36" s="283"/>
      <c r="D36" s="267"/>
      <c r="E36" s="255"/>
      <c r="F36" s="255"/>
      <c r="G36" s="266"/>
      <c r="H36" s="282"/>
      <c r="I36" s="350"/>
      <c r="K36" s="255"/>
      <c r="L36" s="255"/>
      <c r="M36" s="255"/>
      <c r="N36" s="255"/>
      <c r="O36" s="255"/>
    </row>
    <row r="37" spans="1:15" ht="15.75" customHeight="1" x14ac:dyDescent="0.25">
      <c r="A37" s="356"/>
      <c r="B37" s="281"/>
      <c r="C37" s="280"/>
      <c r="D37" s="279"/>
      <c r="E37" s="278"/>
      <c r="F37" s="278"/>
      <c r="G37" s="277"/>
      <c r="H37" s="276"/>
      <c r="I37" s="352"/>
    </row>
    <row r="38" spans="1:15" x14ac:dyDescent="0.25">
      <c r="A38" s="356"/>
      <c r="B38" s="274" t="s">
        <v>423</v>
      </c>
      <c r="C38" s="273" t="s">
        <v>495</v>
      </c>
      <c r="D38" s="267" t="s">
        <v>536</v>
      </c>
      <c r="E38" s="255"/>
      <c r="F38" s="255"/>
      <c r="G38" s="266"/>
      <c r="H38" s="272"/>
      <c r="I38" s="354"/>
    </row>
    <row r="39" spans="1:15" ht="15.75" customHeight="1" x14ac:dyDescent="0.25">
      <c r="A39" s="356"/>
      <c r="B39" s="270" t="s">
        <v>462</v>
      </c>
      <c r="C39" s="268" t="s">
        <v>426</v>
      </c>
      <c r="D39" s="267" t="s">
        <v>537</v>
      </c>
      <c r="E39" s="255"/>
      <c r="F39" s="255"/>
      <c r="G39" s="266"/>
      <c r="H39" s="265"/>
      <c r="I39" s="350"/>
    </row>
    <row r="40" spans="1:15" ht="15.75" customHeight="1" x14ac:dyDescent="0.25">
      <c r="A40" s="356"/>
      <c r="B40" s="269"/>
      <c r="C40" s="268"/>
      <c r="D40" s="267"/>
      <c r="E40" s="255"/>
      <c r="F40" s="255"/>
      <c r="G40" s="266"/>
      <c r="H40" s="265"/>
      <c r="I40" s="350"/>
    </row>
    <row r="41" spans="1:15" ht="15.75" customHeight="1" x14ac:dyDescent="0.25">
      <c r="A41" s="357"/>
      <c r="B41" s="358"/>
      <c r="C41" s="291"/>
      <c r="D41" s="279"/>
      <c r="E41" s="278"/>
      <c r="F41" s="278"/>
      <c r="G41" s="277"/>
      <c r="H41" s="291"/>
      <c r="I41" s="352"/>
    </row>
    <row r="42" spans="1:15" ht="6.95" customHeight="1" x14ac:dyDescent="0.25">
      <c r="A42" s="255"/>
      <c r="B42" s="257"/>
      <c r="C42" s="256"/>
      <c r="D42" s="255"/>
      <c r="E42" s="255"/>
      <c r="F42" s="255"/>
      <c r="G42" s="255"/>
      <c r="H42" s="255"/>
      <c r="I42" s="255"/>
    </row>
    <row r="43" spans="1:15" ht="15.75" customHeight="1" x14ac:dyDescent="0.25">
      <c r="A43" s="867" t="s">
        <v>422</v>
      </c>
      <c r="B43" s="868"/>
      <c r="C43" s="868"/>
      <c r="D43" s="869"/>
      <c r="E43" s="867" t="s">
        <v>421</v>
      </c>
      <c r="F43" s="868"/>
      <c r="G43" s="867" t="s">
        <v>420</v>
      </c>
      <c r="H43" s="868"/>
      <c r="I43" s="869"/>
    </row>
    <row r="44" spans="1:15" ht="15.75" customHeight="1" x14ac:dyDescent="0.25">
      <c r="A44" s="870"/>
      <c r="B44" s="871"/>
      <c r="C44" s="871"/>
      <c r="D44" s="872"/>
      <c r="E44" s="870"/>
      <c r="F44" s="871"/>
      <c r="G44" s="873"/>
      <c r="H44" s="874"/>
      <c r="I44" s="875"/>
    </row>
    <row r="45" spans="1:15" ht="15.75" customHeight="1" x14ac:dyDescent="0.25">
      <c r="A45" s="939"/>
      <c r="B45" s="940"/>
      <c r="C45" s="940"/>
      <c r="D45" s="941"/>
      <c r="E45" s="848"/>
      <c r="F45" s="849"/>
      <c r="G45" s="850" t="s">
        <v>555</v>
      </c>
      <c r="H45" s="851"/>
      <c r="I45" s="852"/>
    </row>
    <row r="46" spans="1:15" ht="15.75" customHeight="1" x14ac:dyDescent="0.25">
      <c r="A46" s="942"/>
      <c r="B46" s="943"/>
      <c r="C46" s="943"/>
      <c r="D46" s="944"/>
      <c r="E46" s="822"/>
      <c r="F46" s="823"/>
      <c r="G46" s="824" t="s">
        <v>556</v>
      </c>
      <c r="H46" s="825"/>
      <c r="I46" s="826"/>
    </row>
    <row r="47" spans="1:15" ht="15.75" customHeight="1" x14ac:dyDescent="0.25">
      <c r="A47" s="819"/>
      <c r="B47" s="820"/>
      <c r="C47" s="820"/>
      <c r="D47" s="821"/>
      <c r="E47" s="822"/>
      <c r="F47" s="823"/>
      <c r="G47" s="824"/>
      <c r="H47" s="825"/>
      <c r="I47" s="826"/>
    </row>
    <row r="48" spans="1:15" ht="15.75" customHeight="1" x14ac:dyDescent="0.25">
      <c r="A48" s="921" t="s">
        <v>553</v>
      </c>
      <c r="B48" s="922"/>
      <c r="C48" s="922"/>
      <c r="D48" s="923"/>
      <c r="E48" s="838"/>
      <c r="F48" s="823"/>
      <c r="G48" s="839" t="s">
        <v>524</v>
      </c>
      <c r="H48" s="840"/>
      <c r="I48" s="841"/>
    </row>
    <row r="49" spans="1:9" ht="15.75" customHeight="1" x14ac:dyDescent="0.25">
      <c r="A49" s="921" t="s">
        <v>554</v>
      </c>
      <c r="B49" s="922"/>
      <c r="C49" s="922"/>
      <c r="D49" s="923"/>
      <c r="E49" s="838"/>
      <c r="F49" s="823"/>
      <c r="G49" s="842"/>
      <c r="H49" s="843"/>
      <c r="I49" s="844"/>
    </row>
    <row r="50" spans="1:9" ht="15.75" customHeight="1" x14ac:dyDescent="0.25">
      <c r="A50" s="827"/>
      <c r="B50" s="828"/>
      <c r="C50" s="828"/>
      <c r="D50" s="829"/>
      <c r="E50" s="830"/>
      <c r="F50" s="831"/>
      <c r="G50" s="832"/>
      <c r="H50" s="833"/>
      <c r="I50" s="834"/>
    </row>
    <row r="51" spans="1:9" ht="15.75" customHeight="1" x14ac:dyDescent="0.25"/>
    <row r="52" spans="1:9" ht="15.75" customHeight="1" x14ac:dyDescent="0.25"/>
    <row r="53" spans="1:9" ht="15.75" customHeight="1" x14ac:dyDescent="0.25"/>
    <row r="54" spans="1:9" ht="15.75" customHeight="1" x14ac:dyDescent="0.25"/>
    <row r="55" spans="1:9" ht="15.75" customHeight="1" x14ac:dyDescent="0.25"/>
  </sheetData>
  <mergeCells count="40">
    <mergeCell ref="A1:E2"/>
    <mergeCell ref="F1:H2"/>
    <mergeCell ref="I1:I2"/>
    <mergeCell ref="A4:B4"/>
    <mergeCell ref="A5:B6"/>
    <mergeCell ref="C5:H6"/>
    <mergeCell ref="I5:I6"/>
    <mergeCell ref="A7:B8"/>
    <mergeCell ref="C7:H8"/>
    <mergeCell ref="I7:I8"/>
    <mergeCell ref="A16:B17"/>
    <mergeCell ref="C16:C17"/>
    <mergeCell ref="D16:G17"/>
    <mergeCell ref="H16:H17"/>
    <mergeCell ref="I16:I17"/>
    <mergeCell ref="A18:I18"/>
    <mergeCell ref="D21:G21"/>
    <mergeCell ref="A31:I32"/>
    <mergeCell ref="A33:I33"/>
    <mergeCell ref="A43:D44"/>
    <mergeCell ref="E43:F44"/>
    <mergeCell ref="G43:I44"/>
    <mergeCell ref="A45:D45"/>
    <mergeCell ref="E45:F45"/>
    <mergeCell ref="G45:I45"/>
    <mergeCell ref="A46:D46"/>
    <mergeCell ref="E46:F46"/>
    <mergeCell ref="G46:I46"/>
    <mergeCell ref="A47:D47"/>
    <mergeCell ref="E47:F47"/>
    <mergeCell ref="G47:I47"/>
    <mergeCell ref="A48:D48"/>
    <mergeCell ref="E48:F48"/>
    <mergeCell ref="G48:I48"/>
    <mergeCell ref="A49:D49"/>
    <mergeCell ref="E49:F49"/>
    <mergeCell ref="G49:I49"/>
    <mergeCell ref="A50:D50"/>
    <mergeCell ref="E50:F50"/>
    <mergeCell ref="G50:I50"/>
  </mergeCells>
  <pageMargins left="0.25" right="0.25" top="0.75" bottom="0.75" header="0.3" footer="0.3"/>
  <pageSetup paperSize="9" orientation="portrait" r:id="rId1"/>
  <headerFooter>
    <oddHeader>&amp;LGBS SG&amp;CSSPb23-25&amp;RBKU</oddHeader>
    <oddFooter>&amp;R&amp;"Century Gothic,Standard"&amp;9ART &amp;D</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C8A7E-202A-48A6-8756-4B7802EB23D5}">
  <dimension ref="A1:O55"/>
  <sheetViews>
    <sheetView view="pageLayout" topLeftCell="A13" zoomScaleNormal="100" workbookViewId="0">
      <selection activeCell="E46" sqref="E46:F46"/>
    </sheetView>
  </sheetViews>
  <sheetFormatPr baseColWidth="10" defaultColWidth="11.42578125" defaultRowHeight="15" x14ac:dyDescent="0.25"/>
  <cols>
    <col min="1" max="1" width="1.5703125" customWidth="1"/>
    <col min="2" max="2" width="13.85546875" customWidth="1"/>
    <col min="3" max="3" width="4.7109375" customWidth="1"/>
    <col min="4" max="4" width="16.28515625" customWidth="1"/>
    <col min="5" max="5" width="13.28515625" customWidth="1"/>
    <col min="6" max="6" width="13" customWidth="1"/>
    <col min="7" max="7" width="12.7109375" customWidth="1"/>
    <col min="8" max="8" width="4.85546875" customWidth="1"/>
    <col min="9" max="9" width="16.7109375" customWidth="1"/>
  </cols>
  <sheetData>
    <row r="1" spans="1:9" ht="15" customHeight="1" x14ac:dyDescent="0.25">
      <c r="A1" s="884" t="s">
        <v>443</v>
      </c>
      <c r="B1" s="885"/>
      <c r="C1" s="885"/>
      <c r="D1" s="885"/>
      <c r="E1" s="886"/>
      <c r="F1" s="890">
        <f>Kompetenzraster!R17</f>
        <v>45560</v>
      </c>
      <c r="G1" s="891"/>
      <c r="H1" s="892"/>
      <c r="I1" s="896">
        <v>7</v>
      </c>
    </row>
    <row r="2" spans="1:9" ht="15" customHeight="1" x14ac:dyDescent="0.25">
      <c r="A2" s="887"/>
      <c r="B2" s="888"/>
      <c r="C2" s="888"/>
      <c r="D2" s="888"/>
      <c r="E2" s="889"/>
      <c r="F2" s="893"/>
      <c r="G2" s="894"/>
      <c r="H2" s="895"/>
      <c r="I2" s="896"/>
    </row>
    <row r="3" spans="1:9" ht="15.75" customHeight="1" x14ac:dyDescent="0.25">
      <c r="A3" s="255"/>
      <c r="B3" s="303"/>
      <c r="C3" s="303"/>
      <c r="D3" s="303"/>
      <c r="E3" s="303"/>
      <c r="F3" s="301"/>
      <c r="G3" s="301"/>
      <c r="H3" s="301"/>
      <c r="I3" s="301"/>
    </row>
    <row r="4" spans="1:9" ht="15.75" customHeight="1" x14ac:dyDescent="0.25">
      <c r="A4" s="897" t="s">
        <v>442</v>
      </c>
      <c r="B4" s="897"/>
      <c r="C4" s="303"/>
      <c r="D4" s="303"/>
      <c r="E4" s="303"/>
      <c r="F4" s="301"/>
      <c r="G4" s="301"/>
      <c r="H4" s="301"/>
      <c r="I4" s="301"/>
    </row>
    <row r="5" spans="1:9" ht="14.25" customHeight="1" x14ac:dyDescent="0.25">
      <c r="A5" s="915" t="s">
        <v>445</v>
      </c>
      <c r="B5" s="916"/>
      <c r="C5" s="905" t="s">
        <v>564</v>
      </c>
      <c r="D5" s="906"/>
      <c r="E5" s="906"/>
      <c r="F5" s="906"/>
      <c r="G5" s="906"/>
      <c r="H5" s="907"/>
      <c r="I5" s="898">
        <v>3.01</v>
      </c>
    </row>
    <row r="6" spans="1:9" ht="14.25" customHeight="1" x14ac:dyDescent="0.25">
      <c r="A6" s="917"/>
      <c r="B6" s="918"/>
      <c r="C6" s="908"/>
      <c r="D6" s="909"/>
      <c r="E6" s="909"/>
      <c r="F6" s="909"/>
      <c r="G6" s="909"/>
      <c r="H6" s="910"/>
      <c r="I6" s="898"/>
    </row>
    <row r="7" spans="1:9" ht="14.25" customHeight="1" x14ac:dyDescent="0.25">
      <c r="A7" s="911" t="s">
        <v>446</v>
      </c>
      <c r="B7" s="912"/>
      <c r="C7" s="899" t="s">
        <v>444</v>
      </c>
      <c r="D7" s="900"/>
      <c r="E7" s="900"/>
      <c r="F7" s="900"/>
      <c r="G7" s="900"/>
      <c r="H7" s="901"/>
      <c r="I7" s="919">
        <v>3.1</v>
      </c>
    </row>
    <row r="8" spans="1:9" ht="14.25" customHeight="1" x14ac:dyDescent="0.25">
      <c r="A8" s="913"/>
      <c r="B8" s="914"/>
      <c r="C8" s="902"/>
      <c r="D8" s="903"/>
      <c r="E8" s="903"/>
      <c r="F8" s="903"/>
      <c r="G8" s="903"/>
      <c r="H8" s="904"/>
      <c r="I8" s="920"/>
    </row>
    <row r="9" spans="1:9" ht="15.75" customHeight="1" x14ac:dyDescent="0.25">
      <c r="A9" s="255"/>
      <c r="B9" s="302"/>
      <c r="C9" s="302"/>
      <c r="D9" s="302"/>
      <c r="E9" s="302"/>
      <c r="F9" s="302"/>
      <c r="G9" s="302"/>
      <c r="H9" s="302"/>
      <c r="I9" s="301"/>
    </row>
    <row r="10" spans="1:9" ht="15.75" customHeight="1" x14ac:dyDescent="0.25">
      <c r="A10" s="300" t="s">
        <v>441</v>
      </c>
      <c r="B10" s="299"/>
      <c r="C10" s="299"/>
      <c r="D10" s="299"/>
      <c r="E10" s="299"/>
      <c r="F10" s="299"/>
      <c r="G10" s="299"/>
      <c r="H10" s="299"/>
      <c r="I10" s="298"/>
    </row>
    <row r="11" spans="1:9" ht="15.75" customHeight="1" x14ac:dyDescent="0.25">
      <c r="A11" s="312"/>
      <c r="B11" s="255" t="s">
        <v>573</v>
      </c>
      <c r="C11" s="255"/>
      <c r="D11" s="255"/>
      <c r="E11" s="255"/>
      <c r="F11" s="255"/>
      <c r="G11" s="255"/>
      <c r="H11" s="255"/>
      <c r="I11" s="266"/>
    </row>
    <row r="12" spans="1:9" ht="15.75" customHeight="1" x14ac:dyDescent="0.25">
      <c r="A12" s="314"/>
      <c r="B12" s="255" t="s">
        <v>574</v>
      </c>
      <c r="C12" s="255"/>
      <c r="D12" s="255"/>
      <c r="E12" s="255"/>
      <c r="F12" s="255"/>
      <c r="G12" s="255"/>
      <c r="H12" s="255"/>
      <c r="I12" s="266"/>
    </row>
    <row r="13" spans="1:9" ht="15.75" customHeight="1" x14ac:dyDescent="0.25">
      <c r="A13" s="315"/>
      <c r="B13" s="255" t="s">
        <v>464</v>
      </c>
      <c r="C13" s="255"/>
      <c r="D13" s="255"/>
      <c r="E13" s="255"/>
      <c r="F13" s="255"/>
      <c r="G13" s="255"/>
      <c r="H13" s="255"/>
      <c r="I13" s="266"/>
    </row>
    <row r="14" spans="1:9" ht="15.75" customHeight="1" x14ac:dyDescent="0.25">
      <c r="A14" s="316"/>
      <c r="B14" s="278" t="s">
        <v>572</v>
      </c>
      <c r="C14" s="278"/>
      <c r="D14" s="278"/>
      <c r="E14" s="278"/>
      <c r="F14" s="278"/>
      <c r="G14" s="278"/>
      <c r="H14" s="278"/>
      <c r="I14" s="277"/>
    </row>
    <row r="15" spans="1:9" ht="6.95" customHeight="1" thickBot="1" x14ac:dyDescent="0.3">
      <c r="A15" s="255"/>
      <c r="B15" s="297"/>
      <c r="C15" s="297"/>
      <c r="D15" s="297"/>
      <c r="E15" s="297"/>
      <c r="F15" s="297"/>
      <c r="G15" s="297"/>
      <c r="H15" s="255"/>
      <c r="I15" s="255"/>
    </row>
    <row r="16" spans="1:9" ht="15.6" customHeight="1" x14ac:dyDescent="0.25">
      <c r="A16" s="876" t="s">
        <v>440</v>
      </c>
      <c r="B16" s="877"/>
      <c r="C16" s="877" t="s">
        <v>439</v>
      </c>
      <c r="D16" s="877" t="s">
        <v>438</v>
      </c>
      <c r="E16" s="877"/>
      <c r="F16" s="877"/>
      <c r="G16" s="877"/>
      <c r="H16" s="880" t="s">
        <v>437</v>
      </c>
      <c r="I16" s="882" t="s">
        <v>436</v>
      </c>
    </row>
    <row r="17" spans="1:15" ht="15.6" customHeight="1" x14ac:dyDescent="0.25">
      <c r="A17" s="878"/>
      <c r="B17" s="879"/>
      <c r="C17" s="879"/>
      <c r="D17" s="879"/>
      <c r="E17" s="879"/>
      <c r="F17" s="879"/>
      <c r="G17" s="879"/>
      <c r="H17" s="881"/>
      <c r="I17" s="883"/>
    </row>
    <row r="18" spans="1:15" ht="9.75" customHeight="1" x14ac:dyDescent="0.25">
      <c r="A18" s="856"/>
      <c r="B18" s="857"/>
      <c r="C18" s="857"/>
      <c r="D18" s="857"/>
      <c r="E18" s="857"/>
      <c r="F18" s="857"/>
      <c r="G18" s="857"/>
      <c r="H18" s="857"/>
      <c r="I18" s="858"/>
    </row>
    <row r="19" spans="1:15" ht="15.6" customHeight="1" x14ac:dyDescent="0.25">
      <c r="A19" s="313"/>
      <c r="B19" s="309" t="s">
        <v>435</v>
      </c>
      <c r="C19" s="310" t="s">
        <v>434</v>
      </c>
      <c r="D19" s="267" t="s">
        <v>493</v>
      </c>
      <c r="E19" s="255"/>
      <c r="F19" s="255"/>
      <c r="G19" s="294"/>
      <c r="H19" s="282" t="s">
        <v>424</v>
      </c>
      <c r="I19" s="353"/>
    </row>
    <row r="20" spans="1:15" ht="15.6" customHeight="1" x14ac:dyDescent="0.25">
      <c r="A20" s="313"/>
      <c r="B20" s="304" t="s">
        <v>458</v>
      </c>
      <c r="C20" s="283" t="s">
        <v>495</v>
      </c>
      <c r="D20" s="267" t="s">
        <v>575</v>
      </c>
      <c r="E20" s="255"/>
      <c r="F20" s="255"/>
      <c r="G20" s="266"/>
      <c r="H20" s="282" t="s">
        <v>424</v>
      </c>
      <c r="I20" s="350"/>
      <c r="K20" s="255"/>
      <c r="L20" s="255"/>
      <c r="M20" s="255"/>
      <c r="N20" s="296"/>
    </row>
    <row r="21" spans="1:15" ht="15.6" customHeight="1" x14ac:dyDescent="0.25">
      <c r="A21" s="313"/>
      <c r="B21" s="306"/>
      <c r="C21" s="283" t="s">
        <v>433</v>
      </c>
      <c r="D21" s="951" t="s">
        <v>576</v>
      </c>
      <c r="E21" s="952"/>
      <c r="F21" s="952"/>
      <c r="G21" s="953"/>
      <c r="H21" s="282" t="s">
        <v>497</v>
      </c>
      <c r="I21" s="372"/>
      <c r="K21" s="255"/>
      <c r="L21" s="255"/>
      <c r="M21" s="255"/>
      <c r="N21" s="255"/>
    </row>
    <row r="22" spans="1:15" ht="15.6" customHeight="1" x14ac:dyDescent="0.25">
      <c r="A22" s="313"/>
      <c r="B22" s="307"/>
      <c r="C22" s="280"/>
      <c r="D22" s="267"/>
      <c r="E22" s="255"/>
      <c r="F22" s="255"/>
      <c r="G22" s="266"/>
      <c r="H22" s="276"/>
      <c r="I22" s="352"/>
      <c r="K22" s="255"/>
      <c r="L22" s="255"/>
      <c r="M22" s="255"/>
      <c r="N22" s="255"/>
    </row>
    <row r="23" spans="1:15" ht="15.6" customHeight="1" x14ac:dyDescent="0.25">
      <c r="A23" s="313"/>
      <c r="B23" s="305" t="s">
        <v>432</v>
      </c>
      <c r="C23" s="273" t="s">
        <v>433</v>
      </c>
      <c r="D23" s="287" t="s">
        <v>577</v>
      </c>
      <c r="E23" s="287"/>
      <c r="F23" s="287"/>
      <c r="G23" s="293"/>
      <c r="H23" s="347" t="s">
        <v>424</v>
      </c>
      <c r="I23" s="349"/>
      <c r="K23" s="255"/>
      <c r="L23" s="255"/>
      <c r="M23" s="255"/>
      <c r="N23" s="255"/>
    </row>
    <row r="24" spans="1:15" ht="15.6" customHeight="1" x14ac:dyDescent="0.25">
      <c r="A24" s="313"/>
      <c r="B24" s="304" t="s">
        <v>459</v>
      </c>
      <c r="C24" s="268" t="s">
        <v>429</v>
      </c>
      <c r="D24" s="255" t="s">
        <v>578</v>
      </c>
      <c r="E24" s="255"/>
      <c r="F24" s="255"/>
      <c r="G24" s="255"/>
      <c r="H24" s="310" t="s">
        <v>507</v>
      </c>
      <c r="I24" s="351" t="s">
        <v>580</v>
      </c>
      <c r="K24" s="255"/>
      <c r="L24" s="255"/>
      <c r="M24" s="255"/>
      <c r="N24" s="255"/>
    </row>
    <row r="25" spans="1:15" ht="15.6" customHeight="1" x14ac:dyDescent="0.25">
      <c r="A25" s="313"/>
      <c r="B25" s="306"/>
      <c r="C25" s="268"/>
      <c r="D25" s="255"/>
      <c r="E25" s="255"/>
      <c r="F25" s="255"/>
      <c r="G25" s="255"/>
      <c r="H25" s="310"/>
      <c r="I25" s="351"/>
      <c r="K25" s="255"/>
      <c r="L25" s="255"/>
      <c r="M25" s="255"/>
      <c r="N25" s="255"/>
    </row>
    <row r="26" spans="1:15" ht="15.6" customHeight="1" x14ac:dyDescent="0.25">
      <c r="A26" s="313"/>
      <c r="B26" s="307"/>
      <c r="C26" s="292"/>
      <c r="D26" s="278"/>
      <c r="E26" s="278"/>
      <c r="F26" s="278"/>
      <c r="G26" s="278"/>
      <c r="H26" s="348"/>
      <c r="I26" s="352"/>
      <c r="K26" s="255"/>
      <c r="L26" s="255"/>
      <c r="M26" s="255"/>
      <c r="N26" s="255"/>
    </row>
    <row r="27" spans="1:15" ht="15.6" customHeight="1" x14ac:dyDescent="0.25">
      <c r="A27" s="313"/>
      <c r="B27" s="308" t="s">
        <v>431</v>
      </c>
      <c r="C27" s="273" t="s">
        <v>495</v>
      </c>
      <c r="D27" s="267" t="s">
        <v>579</v>
      </c>
      <c r="E27" s="255"/>
      <c r="F27" s="255"/>
      <c r="G27" s="266"/>
      <c r="H27" s="272" t="s">
        <v>424</v>
      </c>
      <c r="I27" s="354"/>
      <c r="K27" s="255"/>
      <c r="L27" s="255"/>
      <c r="M27" s="255"/>
      <c r="N27" s="255"/>
    </row>
    <row r="28" spans="1:15" ht="15.6" customHeight="1" x14ac:dyDescent="0.25">
      <c r="A28" s="313"/>
      <c r="B28" s="304" t="s">
        <v>460</v>
      </c>
      <c r="C28" s="268" t="s">
        <v>429</v>
      </c>
      <c r="D28" s="267" t="s">
        <v>581</v>
      </c>
      <c r="E28" s="255"/>
      <c r="F28" s="255"/>
      <c r="G28" s="266"/>
      <c r="H28" s="265" t="s">
        <v>497</v>
      </c>
      <c r="I28" s="351"/>
    </row>
    <row r="29" spans="1:15" ht="15.6" customHeight="1" x14ac:dyDescent="0.25">
      <c r="A29" s="313"/>
      <c r="B29" s="306"/>
      <c r="C29" s="268" t="s">
        <v>430</v>
      </c>
      <c r="D29" s="267" t="s">
        <v>582</v>
      </c>
      <c r="E29" s="255"/>
      <c r="F29" s="255"/>
      <c r="G29" s="266"/>
      <c r="H29" s="265" t="s">
        <v>425</v>
      </c>
      <c r="I29" s="351"/>
    </row>
    <row r="30" spans="1:15" ht="15.6" customHeight="1" x14ac:dyDescent="0.25">
      <c r="A30" s="314"/>
      <c r="B30" s="254"/>
      <c r="C30" s="265"/>
      <c r="D30" s="267"/>
      <c r="E30" s="255"/>
      <c r="F30" s="255"/>
      <c r="G30" s="266"/>
      <c r="H30" s="265"/>
      <c r="I30" s="355"/>
    </row>
    <row r="31" spans="1:15" ht="15.6" customHeight="1" x14ac:dyDescent="0.25">
      <c r="A31" s="927" t="s">
        <v>428</v>
      </c>
      <c r="B31" s="860"/>
      <c r="C31" s="860"/>
      <c r="D31" s="860"/>
      <c r="E31" s="860"/>
      <c r="F31" s="860"/>
      <c r="G31" s="860"/>
      <c r="H31" s="860"/>
      <c r="I31" s="928"/>
      <c r="K31" s="255"/>
      <c r="L31" s="255"/>
      <c r="M31" s="255"/>
      <c r="N31" s="255"/>
      <c r="O31" s="255"/>
    </row>
    <row r="32" spans="1:15" ht="15.6" customHeight="1" x14ac:dyDescent="0.25">
      <c r="A32" s="929"/>
      <c r="B32" s="863"/>
      <c r="C32" s="863"/>
      <c r="D32" s="863"/>
      <c r="E32" s="863"/>
      <c r="F32" s="863"/>
      <c r="G32" s="863"/>
      <c r="H32" s="863"/>
      <c r="I32" s="930"/>
      <c r="K32" s="255"/>
      <c r="L32" s="255"/>
      <c r="M32" s="255"/>
      <c r="N32" s="255"/>
      <c r="O32" s="255"/>
    </row>
    <row r="33" spans="1:15" ht="9.75" customHeight="1" x14ac:dyDescent="0.25">
      <c r="A33" s="931"/>
      <c r="B33" s="932"/>
      <c r="C33" s="932"/>
      <c r="D33" s="932"/>
      <c r="E33" s="932"/>
      <c r="F33" s="932"/>
      <c r="G33" s="932"/>
      <c r="H33" s="932"/>
      <c r="I33" s="933"/>
      <c r="K33" s="255"/>
      <c r="L33" s="255"/>
      <c r="M33" s="255"/>
      <c r="N33" s="255"/>
      <c r="O33" s="255"/>
    </row>
    <row r="34" spans="1:15" ht="15.6" customHeight="1" x14ac:dyDescent="0.25">
      <c r="A34" s="356"/>
      <c r="B34" s="290" t="s">
        <v>427</v>
      </c>
      <c r="C34" s="283" t="s">
        <v>495</v>
      </c>
      <c r="D34" s="267" t="s">
        <v>567</v>
      </c>
      <c r="E34" s="255"/>
      <c r="F34" s="255"/>
      <c r="G34" s="266"/>
      <c r="H34" s="282" t="s">
        <v>424</v>
      </c>
      <c r="I34" s="351"/>
      <c r="K34" s="255"/>
      <c r="L34" s="255"/>
      <c r="M34" s="255"/>
      <c r="N34" s="255"/>
      <c r="O34" s="255"/>
    </row>
    <row r="35" spans="1:15" ht="15.6" customHeight="1" x14ac:dyDescent="0.25">
      <c r="A35" s="356"/>
      <c r="B35" s="319" t="s">
        <v>461</v>
      </c>
      <c r="C35" s="283" t="s">
        <v>426</v>
      </c>
      <c r="D35" s="267" t="s">
        <v>565</v>
      </c>
      <c r="E35" s="255"/>
      <c r="F35" s="255"/>
      <c r="G35" s="266"/>
      <c r="H35" s="282" t="s">
        <v>497</v>
      </c>
      <c r="I35" s="351"/>
      <c r="K35" s="255"/>
      <c r="L35" s="255"/>
      <c r="M35" s="255"/>
      <c r="N35" s="255"/>
      <c r="O35" s="255"/>
    </row>
    <row r="36" spans="1:15" ht="15.6" customHeight="1" x14ac:dyDescent="0.25">
      <c r="A36" s="356"/>
      <c r="B36" s="269"/>
      <c r="C36" s="283" t="s">
        <v>495</v>
      </c>
      <c r="D36" s="267" t="s">
        <v>536</v>
      </c>
      <c r="E36" s="255"/>
      <c r="F36" s="255"/>
      <c r="G36" s="266"/>
      <c r="H36" s="282"/>
      <c r="I36" s="351" t="s">
        <v>566</v>
      </c>
      <c r="K36" s="255"/>
      <c r="L36" s="255"/>
      <c r="M36" s="255"/>
      <c r="N36" s="255"/>
      <c r="O36" s="255"/>
    </row>
    <row r="37" spans="1:15" ht="15.6" customHeight="1" x14ac:dyDescent="0.25">
      <c r="A37" s="356"/>
      <c r="B37" s="281"/>
      <c r="C37" s="280"/>
      <c r="D37" s="279"/>
      <c r="E37" s="278"/>
      <c r="F37" s="278"/>
      <c r="G37" s="277"/>
      <c r="H37" s="276"/>
      <c r="I37" s="352"/>
    </row>
    <row r="38" spans="1:15" ht="15.6" customHeight="1" x14ac:dyDescent="0.25">
      <c r="A38" s="356"/>
      <c r="B38" s="274" t="s">
        <v>423</v>
      </c>
      <c r="C38" s="273" t="s">
        <v>534</v>
      </c>
      <c r="D38" s="267" t="s">
        <v>537</v>
      </c>
      <c r="E38" s="255"/>
      <c r="F38" s="255"/>
      <c r="G38" s="266"/>
      <c r="H38" s="272" t="s">
        <v>497</v>
      </c>
      <c r="I38" s="354" t="s">
        <v>571</v>
      </c>
    </row>
    <row r="39" spans="1:15" ht="15.6" customHeight="1" x14ac:dyDescent="0.25">
      <c r="A39" s="356"/>
      <c r="B39" s="270" t="s">
        <v>462</v>
      </c>
      <c r="C39" s="268" t="s">
        <v>495</v>
      </c>
      <c r="D39" s="267" t="s">
        <v>568</v>
      </c>
      <c r="E39" s="255"/>
      <c r="F39" s="255"/>
      <c r="G39" s="266"/>
      <c r="H39" s="265" t="s">
        <v>424</v>
      </c>
      <c r="I39" s="350"/>
    </row>
    <row r="40" spans="1:15" ht="15.6" customHeight="1" x14ac:dyDescent="0.25">
      <c r="A40" s="356"/>
      <c r="B40" s="269"/>
      <c r="C40" s="268"/>
      <c r="D40" s="267"/>
      <c r="E40" s="255"/>
      <c r="F40" s="255"/>
      <c r="G40" s="266"/>
      <c r="H40" s="265"/>
      <c r="I40" s="350"/>
    </row>
    <row r="41" spans="1:15" ht="15.6" customHeight="1" x14ac:dyDescent="0.25">
      <c r="A41" s="357"/>
      <c r="B41" s="358"/>
      <c r="C41" s="291"/>
      <c r="D41" s="279"/>
      <c r="E41" s="278"/>
      <c r="F41" s="278"/>
      <c r="G41" s="277"/>
      <c r="H41" s="291"/>
      <c r="I41" s="352"/>
    </row>
    <row r="42" spans="1:15" ht="6.95" customHeight="1" x14ac:dyDescent="0.25">
      <c r="A42" s="255"/>
      <c r="B42" s="257"/>
      <c r="C42" s="256"/>
      <c r="D42" s="255"/>
      <c r="E42" s="255"/>
      <c r="F42" s="255"/>
      <c r="G42" s="255"/>
      <c r="H42" s="255"/>
      <c r="I42" s="255"/>
    </row>
    <row r="43" spans="1:15" ht="15.6" customHeight="1" x14ac:dyDescent="0.25">
      <c r="A43" s="867" t="s">
        <v>422</v>
      </c>
      <c r="B43" s="868"/>
      <c r="C43" s="868"/>
      <c r="D43" s="869"/>
      <c r="E43" s="867" t="s">
        <v>421</v>
      </c>
      <c r="F43" s="868"/>
      <c r="G43" s="867" t="s">
        <v>420</v>
      </c>
      <c r="H43" s="868"/>
      <c r="I43" s="869"/>
    </row>
    <row r="44" spans="1:15" ht="15.6" customHeight="1" x14ac:dyDescent="0.25">
      <c r="A44" s="870"/>
      <c r="B44" s="871"/>
      <c r="C44" s="871"/>
      <c r="D44" s="872"/>
      <c r="E44" s="870"/>
      <c r="F44" s="871"/>
      <c r="G44" s="873"/>
      <c r="H44" s="874"/>
      <c r="I44" s="875"/>
    </row>
    <row r="45" spans="1:15" ht="15.6" customHeight="1" x14ac:dyDescent="0.25">
      <c r="A45" s="924" t="s">
        <v>583</v>
      </c>
      <c r="B45" s="925"/>
      <c r="C45" s="925"/>
      <c r="D45" s="925"/>
      <c r="E45" s="954" t="s">
        <v>585</v>
      </c>
      <c r="F45" s="955"/>
      <c r="G45" s="851" t="s">
        <v>555</v>
      </c>
      <c r="H45" s="851"/>
      <c r="I45" s="852"/>
    </row>
    <row r="46" spans="1:15" ht="15.6" customHeight="1" x14ac:dyDescent="0.25">
      <c r="A46" s="956" t="s">
        <v>584</v>
      </c>
      <c r="B46" s="957"/>
      <c r="C46" s="957"/>
      <c r="D46" s="957"/>
      <c r="E46" s="958" t="s">
        <v>586</v>
      </c>
      <c r="F46" s="959"/>
      <c r="G46" s="825" t="s">
        <v>556</v>
      </c>
      <c r="H46" s="825"/>
      <c r="I46" s="826"/>
    </row>
    <row r="47" spans="1:15" ht="15.6" customHeight="1" x14ac:dyDescent="0.25">
      <c r="A47" s="819"/>
      <c r="B47" s="820"/>
      <c r="C47" s="820"/>
      <c r="D47" s="820"/>
      <c r="E47" s="374"/>
      <c r="F47" s="375"/>
      <c r="G47" s="825"/>
      <c r="H47" s="825"/>
      <c r="I47" s="826"/>
    </row>
    <row r="48" spans="1:15" ht="15.6" customHeight="1" x14ac:dyDescent="0.25">
      <c r="A48" s="921" t="s">
        <v>570</v>
      </c>
      <c r="B48" s="922"/>
      <c r="C48" s="922"/>
      <c r="D48" s="922"/>
      <c r="E48" s="960" t="s">
        <v>587</v>
      </c>
      <c r="F48" s="961"/>
      <c r="G48" s="840" t="s">
        <v>524</v>
      </c>
      <c r="H48" s="840"/>
      <c r="I48" s="841"/>
    </row>
    <row r="49" spans="1:9" ht="15.6" customHeight="1" x14ac:dyDescent="0.25">
      <c r="A49" s="962" t="s">
        <v>569</v>
      </c>
      <c r="B49" s="963"/>
      <c r="C49" s="963"/>
      <c r="D49" s="964"/>
      <c r="E49" s="965">
        <v>45588</v>
      </c>
      <c r="F49" s="966"/>
      <c r="G49" s="843"/>
      <c r="H49" s="843"/>
      <c r="I49" s="844"/>
    </row>
    <row r="50" spans="1:9" ht="15.6" customHeight="1" x14ac:dyDescent="0.25">
      <c r="A50" s="827"/>
      <c r="B50" s="828"/>
      <c r="C50" s="828"/>
      <c r="D50" s="828"/>
      <c r="E50" s="830"/>
      <c r="F50" s="831"/>
      <c r="G50" s="833"/>
      <c r="H50" s="833"/>
      <c r="I50" s="834"/>
    </row>
    <row r="51" spans="1:9" ht="15.75" customHeight="1" x14ac:dyDescent="0.25"/>
    <row r="52" spans="1:9" ht="15.75" customHeight="1" x14ac:dyDescent="0.25"/>
    <row r="53" spans="1:9" ht="15.75" customHeight="1" x14ac:dyDescent="0.25"/>
    <row r="54" spans="1:9" ht="15.75" customHeight="1" x14ac:dyDescent="0.25"/>
    <row r="55" spans="1:9" ht="15.75" customHeight="1" x14ac:dyDescent="0.25"/>
  </sheetData>
  <mergeCells count="39">
    <mergeCell ref="A49:D49"/>
    <mergeCell ref="E49:F49"/>
    <mergeCell ref="G49:I49"/>
    <mergeCell ref="A50:D50"/>
    <mergeCell ref="E50:F50"/>
    <mergeCell ref="G50:I50"/>
    <mergeCell ref="A47:D47"/>
    <mergeCell ref="E48:F48"/>
    <mergeCell ref="G47:I47"/>
    <mergeCell ref="A48:D48"/>
    <mergeCell ref="G48:I48"/>
    <mergeCell ref="A45:D45"/>
    <mergeCell ref="E45:F45"/>
    <mergeCell ref="G45:I45"/>
    <mergeCell ref="A46:D46"/>
    <mergeCell ref="E46:F46"/>
    <mergeCell ref="G46:I46"/>
    <mergeCell ref="A18:I18"/>
    <mergeCell ref="D21:G21"/>
    <mergeCell ref="A31:I32"/>
    <mergeCell ref="A33:I33"/>
    <mergeCell ref="A43:D44"/>
    <mergeCell ref="E43:F44"/>
    <mergeCell ref="G43:I44"/>
    <mergeCell ref="A7:B8"/>
    <mergeCell ref="C7:H8"/>
    <mergeCell ref="I7:I8"/>
    <mergeCell ref="A16:B17"/>
    <mergeCell ref="C16:C17"/>
    <mergeCell ref="D16:G17"/>
    <mergeCell ref="H16:H17"/>
    <mergeCell ref="I16:I17"/>
    <mergeCell ref="A1:E2"/>
    <mergeCell ref="F1:H2"/>
    <mergeCell ref="I1:I2"/>
    <mergeCell ref="A4:B4"/>
    <mergeCell ref="A5:B6"/>
    <mergeCell ref="C5:H6"/>
    <mergeCell ref="I5:I6"/>
  </mergeCells>
  <hyperlinks>
    <hyperlink ref="I36" r:id="rId1" xr:uid="{54414FE2-C68A-410F-9BAD-426FA2059659}"/>
    <hyperlink ref="I38" r:id="rId2" xr:uid="{49239DED-747D-4218-90C9-84F543940DAF}"/>
    <hyperlink ref="A49:D49" r:id="rId3" display="Abgabe per Teams am 23.10.2024" xr:uid="{F6FD9031-DE69-4933-BFF7-D9AFF6D8F5DF}"/>
    <hyperlink ref="I24" r:id="rId4" xr:uid="{188FE578-4D6A-48E4-8E9B-22C0E0D3EA5A}"/>
  </hyperlinks>
  <pageMargins left="0.25" right="0.25" top="0.75" bottom="0.75" header="0.3" footer="0.3"/>
  <pageSetup paperSize="9" orientation="portrait" r:id="rId5"/>
  <headerFooter>
    <oddHeader>&amp;LGBS SG&amp;CSSPb23-25&amp;RBKU</oddHeader>
    <oddFooter>&amp;R&amp;"Century Gothic,Standard"&amp;9ART &amp;D</oddFooter>
  </headerFooter>
  <drawing r:id="rId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11897-FE10-418E-9862-96423FDD47CE}">
  <dimension ref="A1:O55"/>
  <sheetViews>
    <sheetView view="pageLayout" topLeftCell="A13" zoomScaleNormal="100" workbookViewId="0">
      <selection activeCell="E46" sqref="E46:F46"/>
    </sheetView>
  </sheetViews>
  <sheetFormatPr baseColWidth="10" defaultColWidth="11.42578125" defaultRowHeight="15" x14ac:dyDescent="0.25"/>
  <cols>
    <col min="1" max="1" width="1.5703125" customWidth="1"/>
    <col min="2" max="2" width="13.85546875" customWidth="1"/>
    <col min="3" max="3" width="4.7109375" customWidth="1"/>
    <col min="4" max="4" width="16.28515625" customWidth="1"/>
    <col min="5" max="5" width="13.28515625" customWidth="1"/>
    <col min="6" max="6" width="13" customWidth="1"/>
    <col min="7" max="7" width="12.7109375" customWidth="1"/>
    <col min="8" max="8" width="4.85546875" customWidth="1"/>
    <col min="9" max="9" width="16.7109375" customWidth="1"/>
  </cols>
  <sheetData>
    <row r="1" spans="1:9" ht="15" customHeight="1" x14ac:dyDescent="0.25">
      <c r="A1" s="884" t="s">
        <v>443</v>
      </c>
      <c r="B1" s="885"/>
      <c r="C1" s="885"/>
      <c r="D1" s="885"/>
      <c r="E1" s="886"/>
      <c r="F1" s="890">
        <f>Kompetenzraster!R19</f>
        <v>45588</v>
      </c>
      <c r="G1" s="891"/>
      <c r="H1" s="892"/>
      <c r="I1" s="896">
        <v>8</v>
      </c>
    </row>
    <row r="2" spans="1:9" ht="15" customHeight="1" x14ac:dyDescent="0.25">
      <c r="A2" s="887"/>
      <c r="B2" s="888"/>
      <c r="C2" s="888"/>
      <c r="D2" s="888"/>
      <c r="E2" s="889"/>
      <c r="F2" s="893"/>
      <c r="G2" s="894"/>
      <c r="H2" s="895"/>
      <c r="I2" s="896"/>
    </row>
    <row r="3" spans="1:9" ht="15.75" customHeight="1" x14ac:dyDescent="0.25">
      <c r="A3" s="255"/>
      <c r="B3" s="303"/>
      <c r="C3" s="303"/>
      <c r="D3" s="303"/>
      <c r="E3" s="303"/>
      <c r="F3" s="301"/>
      <c r="G3" s="301"/>
      <c r="H3" s="301"/>
      <c r="I3" s="301"/>
    </row>
    <row r="4" spans="1:9" ht="15.75" customHeight="1" x14ac:dyDescent="0.25">
      <c r="A4" s="897" t="s">
        <v>442</v>
      </c>
      <c r="B4" s="897"/>
      <c r="C4" s="303"/>
      <c r="D4" s="303"/>
      <c r="E4" s="303"/>
      <c r="F4" s="301"/>
      <c r="G4" s="301"/>
      <c r="H4" s="301"/>
      <c r="I4" s="301"/>
    </row>
    <row r="5" spans="1:9" ht="14.25" customHeight="1" x14ac:dyDescent="0.25">
      <c r="A5" s="915" t="s">
        <v>445</v>
      </c>
      <c r="B5" s="916"/>
      <c r="C5" s="905" t="s">
        <v>564</v>
      </c>
      <c r="D5" s="906"/>
      <c r="E5" s="906"/>
      <c r="F5" s="906"/>
      <c r="G5" s="906"/>
      <c r="H5" s="907"/>
      <c r="I5" s="898">
        <v>3.01</v>
      </c>
    </row>
    <row r="6" spans="1:9" ht="14.25" customHeight="1" x14ac:dyDescent="0.25">
      <c r="A6" s="917"/>
      <c r="B6" s="918"/>
      <c r="C6" s="908"/>
      <c r="D6" s="909"/>
      <c r="E6" s="909"/>
      <c r="F6" s="909"/>
      <c r="G6" s="909"/>
      <c r="H6" s="910"/>
      <c r="I6" s="898"/>
    </row>
    <row r="7" spans="1:9" ht="14.25" customHeight="1" x14ac:dyDescent="0.25">
      <c r="A7" s="911" t="s">
        <v>446</v>
      </c>
      <c r="B7" s="912"/>
      <c r="C7" s="899" t="s">
        <v>444</v>
      </c>
      <c r="D7" s="900"/>
      <c r="E7" s="900"/>
      <c r="F7" s="900"/>
      <c r="G7" s="900"/>
      <c r="H7" s="901"/>
      <c r="I7" s="919">
        <v>2.2000000000000002</v>
      </c>
    </row>
    <row r="8" spans="1:9" ht="14.25" customHeight="1" x14ac:dyDescent="0.25">
      <c r="A8" s="913"/>
      <c r="B8" s="914"/>
      <c r="C8" s="902"/>
      <c r="D8" s="903"/>
      <c r="E8" s="903"/>
      <c r="F8" s="903"/>
      <c r="G8" s="903"/>
      <c r="H8" s="904"/>
      <c r="I8" s="920"/>
    </row>
    <row r="9" spans="1:9" ht="15.75" customHeight="1" x14ac:dyDescent="0.25">
      <c r="A9" s="255"/>
      <c r="B9" s="302"/>
      <c r="C9" s="302"/>
      <c r="D9" s="302"/>
      <c r="E9" s="302"/>
      <c r="F9" s="302"/>
      <c r="G9" s="302"/>
      <c r="H9" s="302"/>
      <c r="I9" s="301"/>
    </row>
    <row r="10" spans="1:9" ht="15.75" customHeight="1" x14ac:dyDescent="0.25">
      <c r="A10" s="300" t="s">
        <v>441</v>
      </c>
      <c r="B10" s="299"/>
      <c r="C10" s="299"/>
      <c r="D10" s="299"/>
      <c r="E10" s="299"/>
      <c r="F10" s="299"/>
      <c r="G10" s="299"/>
      <c r="H10" s="299"/>
      <c r="I10" s="298"/>
    </row>
    <row r="11" spans="1:9" ht="15.75" customHeight="1" x14ac:dyDescent="0.25">
      <c r="A11" s="312"/>
      <c r="B11" s="255" t="s">
        <v>573</v>
      </c>
      <c r="C11" s="255"/>
      <c r="D11" s="255"/>
      <c r="E11" s="255"/>
      <c r="F11" s="255"/>
      <c r="G11" s="255"/>
      <c r="H11" s="255"/>
      <c r="I11" s="266"/>
    </row>
    <row r="12" spans="1:9" ht="15.75" customHeight="1" x14ac:dyDescent="0.25">
      <c r="A12" s="314"/>
      <c r="B12" s="255" t="s">
        <v>574</v>
      </c>
      <c r="C12" s="255"/>
      <c r="D12" s="255"/>
      <c r="E12" s="255"/>
      <c r="F12" s="255"/>
      <c r="G12" s="255"/>
      <c r="H12" s="255"/>
      <c r="I12" s="266"/>
    </row>
    <row r="13" spans="1:9" ht="15.75" customHeight="1" x14ac:dyDescent="0.25">
      <c r="A13" s="315"/>
      <c r="B13" s="255" t="s">
        <v>464</v>
      </c>
      <c r="C13" s="255"/>
      <c r="D13" s="255"/>
      <c r="E13" s="255"/>
      <c r="F13" s="255"/>
      <c r="G13" s="255"/>
      <c r="H13" s="255"/>
      <c r="I13" s="266"/>
    </row>
    <row r="14" spans="1:9" ht="15.75" customHeight="1" x14ac:dyDescent="0.25">
      <c r="A14" s="316"/>
      <c r="B14" s="278" t="s">
        <v>572</v>
      </c>
      <c r="C14" s="278"/>
      <c r="D14" s="278"/>
      <c r="E14" s="278"/>
      <c r="F14" s="278"/>
      <c r="G14" s="278"/>
      <c r="H14" s="278"/>
      <c r="I14" s="277"/>
    </row>
    <row r="15" spans="1:9" ht="6.95" customHeight="1" thickBot="1" x14ac:dyDescent="0.3">
      <c r="A15" s="255"/>
      <c r="B15" s="297"/>
      <c r="C15" s="297"/>
      <c r="D15" s="297"/>
      <c r="E15" s="297"/>
      <c r="F15" s="297"/>
      <c r="G15" s="297"/>
      <c r="H15" s="255"/>
      <c r="I15" s="255"/>
    </row>
    <row r="16" spans="1:9" ht="15.6" customHeight="1" x14ac:dyDescent="0.25">
      <c r="A16" s="876" t="s">
        <v>440</v>
      </c>
      <c r="B16" s="877"/>
      <c r="C16" s="877" t="s">
        <v>439</v>
      </c>
      <c r="D16" s="877" t="s">
        <v>438</v>
      </c>
      <c r="E16" s="877"/>
      <c r="F16" s="877"/>
      <c r="G16" s="877"/>
      <c r="H16" s="880" t="s">
        <v>437</v>
      </c>
      <c r="I16" s="882" t="s">
        <v>436</v>
      </c>
    </row>
    <row r="17" spans="1:15" ht="15.6" customHeight="1" x14ac:dyDescent="0.25">
      <c r="A17" s="878"/>
      <c r="B17" s="879"/>
      <c r="C17" s="879"/>
      <c r="D17" s="879"/>
      <c r="E17" s="879"/>
      <c r="F17" s="879"/>
      <c r="G17" s="879"/>
      <c r="H17" s="881"/>
      <c r="I17" s="883"/>
    </row>
    <row r="18" spans="1:15" ht="9.75" customHeight="1" x14ac:dyDescent="0.25">
      <c r="A18" s="856"/>
      <c r="B18" s="857"/>
      <c r="C18" s="857"/>
      <c r="D18" s="857"/>
      <c r="E18" s="857"/>
      <c r="F18" s="857"/>
      <c r="G18" s="857"/>
      <c r="H18" s="857"/>
      <c r="I18" s="858"/>
    </row>
    <row r="19" spans="1:15" ht="15.6" customHeight="1" x14ac:dyDescent="0.25">
      <c r="A19" s="313"/>
      <c r="B19" s="309" t="s">
        <v>435</v>
      </c>
      <c r="C19" s="310" t="s">
        <v>434</v>
      </c>
      <c r="D19" s="267" t="s">
        <v>588</v>
      </c>
      <c r="E19" s="255"/>
      <c r="F19" s="255"/>
      <c r="G19" s="294"/>
      <c r="H19" s="282" t="s">
        <v>424</v>
      </c>
      <c r="I19" s="353"/>
    </row>
    <row r="20" spans="1:15" ht="15.6" customHeight="1" x14ac:dyDescent="0.25">
      <c r="A20" s="313"/>
      <c r="B20" s="304" t="s">
        <v>458</v>
      </c>
      <c r="C20" s="283" t="s">
        <v>429</v>
      </c>
      <c r="D20" s="267" t="s">
        <v>589</v>
      </c>
      <c r="E20" s="255"/>
      <c r="F20" s="255"/>
      <c r="G20" s="266"/>
      <c r="H20" s="282" t="s">
        <v>424</v>
      </c>
      <c r="I20" s="350"/>
      <c r="K20" s="255"/>
      <c r="L20" s="255"/>
      <c r="M20" s="255"/>
      <c r="N20" s="296"/>
    </row>
    <row r="21" spans="1:15" ht="15.6" customHeight="1" x14ac:dyDescent="0.25">
      <c r="A21" s="313"/>
      <c r="B21" s="306"/>
      <c r="C21" s="283" t="s">
        <v>495</v>
      </c>
      <c r="D21" s="967" t="s">
        <v>593</v>
      </c>
      <c r="E21" s="968"/>
      <c r="F21" s="968"/>
      <c r="G21" s="969"/>
      <c r="H21" s="282" t="s">
        <v>424</v>
      </c>
      <c r="I21" s="351"/>
      <c r="K21" s="255"/>
      <c r="L21" s="255"/>
      <c r="M21" s="255"/>
      <c r="N21" s="255"/>
    </row>
    <row r="22" spans="1:15" ht="15.6" customHeight="1" x14ac:dyDescent="0.25">
      <c r="A22" s="313"/>
      <c r="B22" s="307"/>
      <c r="C22" s="280" t="s">
        <v>429</v>
      </c>
      <c r="D22" s="267" t="s">
        <v>590</v>
      </c>
      <c r="E22" s="255"/>
      <c r="F22" s="255"/>
      <c r="G22" s="266"/>
      <c r="H22" s="276" t="s">
        <v>497</v>
      </c>
      <c r="I22" s="355" t="s">
        <v>591</v>
      </c>
      <c r="K22" s="255"/>
      <c r="L22" s="255"/>
      <c r="M22" s="255"/>
      <c r="N22" s="255"/>
    </row>
    <row r="23" spans="1:15" ht="15.6" customHeight="1" x14ac:dyDescent="0.25">
      <c r="A23" s="313"/>
      <c r="B23" s="305" t="s">
        <v>432</v>
      </c>
      <c r="C23" s="273" t="s">
        <v>495</v>
      </c>
      <c r="D23" s="287" t="s">
        <v>592</v>
      </c>
      <c r="E23" s="287"/>
      <c r="F23" s="287"/>
      <c r="G23" s="293"/>
      <c r="H23" s="347" t="s">
        <v>424</v>
      </c>
      <c r="I23" s="349"/>
      <c r="K23" s="255"/>
      <c r="L23" s="255"/>
      <c r="M23" s="255"/>
      <c r="N23" s="255"/>
    </row>
    <row r="24" spans="1:15" ht="15.6" customHeight="1" x14ac:dyDescent="0.25">
      <c r="A24" s="313"/>
      <c r="B24" s="304" t="s">
        <v>459</v>
      </c>
      <c r="C24" s="268" t="s">
        <v>534</v>
      </c>
      <c r="D24" s="255" t="s">
        <v>594</v>
      </c>
      <c r="E24" s="255"/>
      <c r="F24" s="255"/>
      <c r="G24" s="255"/>
      <c r="H24" s="310" t="s">
        <v>497</v>
      </c>
      <c r="I24" s="351"/>
      <c r="K24" s="255"/>
      <c r="L24" s="255"/>
      <c r="M24" s="255"/>
      <c r="N24" s="255"/>
    </row>
    <row r="25" spans="1:15" ht="15.6" customHeight="1" x14ac:dyDescent="0.25">
      <c r="A25" s="313"/>
      <c r="B25" s="306"/>
      <c r="C25" s="268"/>
      <c r="D25" s="255"/>
      <c r="E25" s="255"/>
      <c r="F25" s="255"/>
      <c r="G25" s="255"/>
      <c r="H25" s="310"/>
      <c r="I25" s="351"/>
      <c r="K25" s="255"/>
      <c r="L25" s="255"/>
      <c r="M25" s="255"/>
      <c r="N25" s="255"/>
    </row>
    <row r="26" spans="1:15" ht="15.6" customHeight="1" x14ac:dyDescent="0.25">
      <c r="A26" s="313"/>
      <c r="B26" s="307"/>
      <c r="C26" s="292"/>
      <c r="D26" s="278"/>
      <c r="E26" s="278"/>
      <c r="F26" s="278"/>
      <c r="G26" s="278"/>
      <c r="H26" s="348"/>
      <c r="I26" s="352"/>
      <c r="K26" s="255"/>
      <c r="L26" s="255"/>
      <c r="M26" s="255"/>
      <c r="N26" s="255"/>
    </row>
    <row r="27" spans="1:15" ht="15.6" customHeight="1" x14ac:dyDescent="0.25">
      <c r="A27" s="313"/>
      <c r="B27" s="308" t="s">
        <v>431</v>
      </c>
      <c r="C27" s="273" t="s">
        <v>534</v>
      </c>
      <c r="D27" s="267" t="s">
        <v>595</v>
      </c>
      <c r="E27" s="255"/>
      <c r="F27" s="255"/>
      <c r="G27" s="266"/>
      <c r="H27" s="272" t="s">
        <v>497</v>
      </c>
      <c r="I27" s="354"/>
      <c r="K27" s="255"/>
      <c r="L27" s="255"/>
      <c r="M27" s="255"/>
      <c r="N27" s="255"/>
    </row>
    <row r="28" spans="1:15" ht="15.6" customHeight="1" x14ac:dyDescent="0.25">
      <c r="A28" s="313"/>
      <c r="B28" s="304" t="s">
        <v>460</v>
      </c>
      <c r="C28" s="268" t="s">
        <v>495</v>
      </c>
      <c r="D28" s="267" t="s">
        <v>598</v>
      </c>
      <c r="E28" s="255"/>
      <c r="F28" s="255"/>
      <c r="G28" s="266"/>
      <c r="H28" s="265" t="s">
        <v>424</v>
      </c>
      <c r="I28" s="351"/>
    </row>
    <row r="29" spans="1:15" ht="15.6" customHeight="1" x14ac:dyDescent="0.25">
      <c r="A29" s="313"/>
      <c r="B29" s="306"/>
      <c r="C29" s="268"/>
      <c r="D29" s="267"/>
      <c r="E29" s="255"/>
      <c r="F29" s="255"/>
      <c r="G29" s="266"/>
      <c r="H29" s="265"/>
      <c r="I29" s="351"/>
    </row>
    <row r="30" spans="1:15" ht="15.6" customHeight="1" x14ac:dyDescent="0.25">
      <c r="A30" s="314"/>
      <c r="B30" s="254"/>
      <c r="C30" s="265"/>
      <c r="D30" s="267"/>
      <c r="E30" s="255"/>
      <c r="F30" s="255"/>
      <c r="G30" s="266"/>
      <c r="H30" s="265"/>
      <c r="I30" s="355"/>
    </row>
    <row r="31" spans="1:15" ht="15.6" customHeight="1" x14ac:dyDescent="0.25">
      <c r="A31" s="927" t="s">
        <v>428</v>
      </c>
      <c r="B31" s="860"/>
      <c r="C31" s="860"/>
      <c r="D31" s="860"/>
      <c r="E31" s="860"/>
      <c r="F31" s="860"/>
      <c r="G31" s="860"/>
      <c r="H31" s="860"/>
      <c r="I31" s="928"/>
      <c r="K31" s="255"/>
      <c r="L31" s="255"/>
      <c r="M31" s="255"/>
      <c r="N31" s="255"/>
      <c r="O31" s="255"/>
    </row>
    <row r="32" spans="1:15" ht="15.6" customHeight="1" x14ac:dyDescent="0.25">
      <c r="A32" s="929"/>
      <c r="B32" s="863"/>
      <c r="C32" s="863"/>
      <c r="D32" s="863"/>
      <c r="E32" s="863"/>
      <c r="F32" s="863"/>
      <c r="G32" s="863"/>
      <c r="H32" s="863"/>
      <c r="I32" s="930"/>
      <c r="K32" s="255"/>
      <c r="L32" s="255"/>
      <c r="M32" s="255"/>
      <c r="N32" s="255"/>
      <c r="O32" s="255"/>
    </row>
    <row r="33" spans="1:15" ht="9.75" customHeight="1" x14ac:dyDescent="0.25">
      <c r="A33" s="931"/>
      <c r="B33" s="932"/>
      <c r="C33" s="932"/>
      <c r="D33" s="932"/>
      <c r="E33" s="932"/>
      <c r="F33" s="932"/>
      <c r="G33" s="932"/>
      <c r="H33" s="932"/>
      <c r="I33" s="933"/>
      <c r="K33" s="255"/>
      <c r="L33" s="255"/>
      <c r="M33" s="255"/>
      <c r="N33" s="255"/>
      <c r="O33" s="255"/>
    </row>
    <row r="34" spans="1:15" ht="15.6" customHeight="1" x14ac:dyDescent="0.25">
      <c r="A34" s="356"/>
      <c r="B34" s="290" t="s">
        <v>427</v>
      </c>
      <c r="C34" s="283" t="s">
        <v>430</v>
      </c>
      <c r="D34" s="267" t="s">
        <v>596</v>
      </c>
      <c r="E34" s="255"/>
      <c r="F34" s="255"/>
      <c r="G34" s="266"/>
      <c r="H34" s="282" t="s">
        <v>424</v>
      </c>
      <c r="I34" s="376" t="s">
        <v>597</v>
      </c>
      <c r="K34" s="255"/>
      <c r="L34" s="255"/>
      <c r="M34" s="255"/>
      <c r="N34" s="255"/>
      <c r="O34" s="255"/>
    </row>
    <row r="35" spans="1:15" ht="15.6" customHeight="1" x14ac:dyDescent="0.25">
      <c r="A35" s="356"/>
      <c r="B35" s="319" t="s">
        <v>461</v>
      </c>
      <c r="C35" s="283" t="s">
        <v>426</v>
      </c>
      <c r="D35" s="267" t="s">
        <v>599</v>
      </c>
      <c r="E35" s="255"/>
      <c r="F35" s="255"/>
      <c r="G35" s="266"/>
      <c r="H35" s="282" t="s">
        <v>497</v>
      </c>
      <c r="I35" s="351"/>
      <c r="K35" s="255"/>
      <c r="L35" s="255"/>
      <c r="M35" s="255"/>
      <c r="N35" s="255"/>
      <c r="O35" s="255"/>
    </row>
    <row r="36" spans="1:15" ht="15.6" customHeight="1" x14ac:dyDescent="0.25">
      <c r="A36" s="356"/>
      <c r="B36" s="269"/>
      <c r="C36" s="283"/>
      <c r="D36" s="267"/>
      <c r="E36" s="255"/>
      <c r="F36" s="255"/>
      <c r="G36" s="266"/>
      <c r="H36" s="282"/>
      <c r="I36" s="351"/>
      <c r="K36" s="255"/>
      <c r="L36" s="255"/>
      <c r="M36" s="255"/>
      <c r="N36" s="255"/>
      <c r="O36" s="255"/>
    </row>
    <row r="37" spans="1:15" ht="15.6" customHeight="1" x14ac:dyDescent="0.25">
      <c r="A37" s="356"/>
      <c r="B37" s="281"/>
      <c r="C37" s="280"/>
      <c r="D37" s="279"/>
      <c r="E37" s="278"/>
      <c r="F37" s="278"/>
      <c r="G37" s="277"/>
      <c r="H37" s="276"/>
      <c r="I37" s="352"/>
    </row>
    <row r="38" spans="1:15" ht="15.6" customHeight="1" x14ac:dyDescent="0.25">
      <c r="A38" s="356"/>
      <c r="B38" s="274" t="s">
        <v>423</v>
      </c>
      <c r="C38" s="273" t="s">
        <v>534</v>
      </c>
      <c r="D38" s="267" t="s">
        <v>600</v>
      </c>
      <c r="E38" s="255"/>
      <c r="F38" s="255"/>
      <c r="G38" s="266"/>
      <c r="H38" s="272" t="s">
        <v>497</v>
      </c>
      <c r="I38" s="354"/>
    </row>
    <row r="39" spans="1:15" ht="15.6" customHeight="1" x14ac:dyDescent="0.25">
      <c r="A39" s="356"/>
      <c r="B39" s="270" t="s">
        <v>462</v>
      </c>
      <c r="C39" s="268" t="s">
        <v>495</v>
      </c>
      <c r="D39" s="267" t="s">
        <v>568</v>
      </c>
      <c r="E39" s="255"/>
      <c r="F39" s="255"/>
      <c r="G39" s="266"/>
      <c r="H39" s="265" t="s">
        <v>424</v>
      </c>
      <c r="I39" s="350"/>
    </row>
    <row r="40" spans="1:15" ht="15.6" customHeight="1" x14ac:dyDescent="0.25">
      <c r="A40" s="356"/>
      <c r="B40" s="269"/>
      <c r="C40" s="268"/>
      <c r="D40" s="267"/>
      <c r="E40" s="255"/>
      <c r="F40" s="255"/>
      <c r="G40" s="266"/>
      <c r="H40" s="265"/>
      <c r="I40" s="350"/>
    </row>
    <row r="41" spans="1:15" ht="15.6" customHeight="1" x14ac:dyDescent="0.25">
      <c r="A41" s="357"/>
      <c r="B41" s="358"/>
      <c r="C41" s="291"/>
      <c r="D41" s="279"/>
      <c r="E41" s="278"/>
      <c r="F41" s="278"/>
      <c r="G41" s="277"/>
      <c r="H41" s="291"/>
      <c r="I41" s="352"/>
    </row>
    <row r="42" spans="1:15" ht="6.95" customHeight="1" x14ac:dyDescent="0.25">
      <c r="A42" s="255"/>
      <c r="B42" s="257"/>
      <c r="C42" s="256"/>
      <c r="D42" s="255"/>
      <c r="E42" s="255"/>
      <c r="F42" s="255"/>
      <c r="G42" s="255"/>
      <c r="H42" s="255"/>
      <c r="I42" s="255"/>
    </row>
    <row r="43" spans="1:15" ht="15.6" customHeight="1" x14ac:dyDescent="0.25">
      <c r="A43" s="867" t="s">
        <v>422</v>
      </c>
      <c r="B43" s="868"/>
      <c r="C43" s="868"/>
      <c r="D43" s="869"/>
      <c r="E43" s="867" t="s">
        <v>421</v>
      </c>
      <c r="F43" s="868"/>
      <c r="G43" s="867" t="s">
        <v>420</v>
      </c>
      <c r="H43" s="868"/>
      <c r="I43" s="869"/>
    </row>
    <row r="44" spans="1:15" ht="15.6" customHeight="1" x14ac:dyDescent="0.25">
      <c r="A44" s="870"/>
      <c r="B44" s="871"/>
      <c r="C44" s="871"/>
      <c r="D44" s="872"/>
      <c r="E44" s="870"/>
      <c r="F44" s="871"/>
      <c r="G44" s="873"/>
      <c r="H44" s="874"/>
      <c r="I44" s="875"/>
    </row>
    <row r="45" spans="1:15" ht="15.6" customHeight="1" x14ac:dyDescent="0.25">
      <c r="A45" s="935" t="s">
        <v>602</v>
      </c>
      <c r="B45" s="925"/>
      <c r="C45" s="925"/>
      <c r="D45" s="925"/>
      <c r="E45" s="954"/>
      <c r="F45" s="955"/>
      <c r="G45" s="851" t="s">
        <v>555</v>
      </c>
      <c r="H45" s="851"/>
      <c r="I45" s="852"/>
    </row>
    <row r="46" spans="1:15" ht="15.6" customHeight="1" x14ac:dyDescent="0.25">
      <c r="A46" s="956"/>
      <c r="B46" s="957"/>
      <c r="C46" s="957"/>
      <c r="D46" s="957"/>
      <c r="E46" s="958"/>
      <c r="F46" s="959"/>
      <c r="G46" s="825" t="s">
        <v>556</v>
      </c>
      <c r="H46" s="825"/>
      <c r="I46" s="826"/>
    </row>
    <row r="47" spans="1:15" ht="15.6" customHeight="1" x14ac:dyDescent="0.25">
      <c r="A47" s="819"/>
      <c r="B47" s="820"/>
      <c r="C47" s="820"/>
      <c r="D47" s="820"/>
      <c r="E47" s="374"/>
      <c r="F47" s="375"/>
      <c r="G47" s="825"/>
      <c r="H47" s="825"/>
      <c r="I47" s="826"/>
    </row>
    <row r="48" spans="1:15" ht="15.6" customHeight="1" x14ac:dyDescent="0.25">
      <c r="A48" s="970" t="s">
        <v>603</v>
      </c>
      <c r="B48" s="922"/>
      <c r="C48" s="922"/>
      <c r="D48" s="922"/>
      <c r="E48" s="960"/>
      <c r="F48" s="961"/>
      <c r="G48" s="840" t="s">
        <v>601</v>
      </c>
      <c r="H48" s="840"/>
      <c r="I48" s="841"/>
    </row>
    <row r="49" spans="1:9" ht="15.6" customHeight="1" x14ac:dyDescent="0.25">
      <c r="A49" s="962"/>
      <c r="B49" s="963"/>
      <c r="C49" s="963"/>
      <c r="D49" s="964"/>
      <c r="E49" s="965"/>
      <c r="F49" s="966"/>
      <c r="G49" s="843"/>
      <c r="H49" s="843"/>
      <c r="I49" s="844"/>
    </row>
    <row r="50" spans="1:9" ht="15.6" customHeight="1" x14ac:dyDescent="0.25">
      <c r="A50" s="827"/>
      <c r="B50" s="828"/>
      <c r="C50" s="828"/>
      <c r="D50" s="828"/>
      <c r="E50" s="830"/>
      <c r="F50" s="831"/>
      <c r="G50" s="833"/>
      <c r="H50" s="833"/>
      <c r="I50" s="834"/>
    </row>
    <row r="51" spans="1:9" ht="15.75" customHeight="1" x14ac:dyDescent="0.25"/>
    <row r="52" spans="1:9" ht="15.75" customHeight="1" x14ac:dyDescent="0.25"/>
    <row r="53" spans="1:9" ht="15.75" customHeight="1" x14ac:dyDescent="0.25"/>
    <row r="54" spans="1:9" ht="15.75" customHeight="1" x14ac:dyDescent="0.25"/>
    <row r="55" spans="1:9" ht="15.75" customHeight="1" x14ac:dyDescent="0.25"/>
  </sheetData>
  <mergeCells count="39">
    <mergeCell ref="A50:D50"/>
    <mergeCell ref="E50:F50"/>
    <mergeCell ref="G50:I50"/>
    <mergeCell ref="A47:D47"/>
    <mergeCell ref="G47:I47"/>
    <mergeCell ref="A48:D48"/>
    <mergeCell ref="E48:F48"/>
    <mergeCell ref="G48:I48"/>
    <mergeCell ref="A49:D49"/>
    <mergeCell ref="E49:F49"/>
    <mergeCell ref="G49:I49"/>
    <mergeCell ref="A45:D45"/>
    <mergeCell ref="E45:F45"/>
    <mergeCell ref="G45:I45"/>
    <mergeCell ref="A46:D46"/>
    <mergeCell ref="E46:F46"/>
    <mergeCell ref="G46:I46"/>
    <mergeCell ref="A18:I18"/>
    <mergeCell ref="D21:G21"/>
    <mergeCell ref="A31:I32"/>
    <mergeCell ref="A33:I33"/>
    <mergeCell ref="A43:D44"/>
    <mergeCell ref="E43:F44"/>
    <mergeCell ref="G43:I44"/>
    <mergeCell ref="A7:B8"/>
    <mergeCell ref="C7:H8"/>
    <mergeCell ref="I7:I8"/>
    <mergeCell ref="A16:B17"/>
    <mergeCell ref="C16:C17"/>
    <mergeCell ref="D16:G17"/>
    <mergeCell ref="H16:H17"/>
    <mergeCell ref="I16:I17"/>
    <mergeCell ref="A1:E2"/>
    <mergeCell ref="F1:H2"/>
    <mergeCell ref="I1:I2"/>
    <mergeCell ref="A4:B4"/>
    <mergeCell ref="A5:B6"/>
    <mergeCell ref="C5:H6"/>
    <mergeCell ref="I5:I6"/>
  </mergeCells>
  <hyperlinks>
    <hyperlink ref="I22" r:id="rId1" location="doc/19893/28" display="https://edu.suissetec.ch/ - doc/19893/28" xr:uid="{297F8AAB-A5DF-427E-AB3A-DD26CCCD34B4}"/>
    <hyperlink ref="I34" r:id="rId2" display="https://teams.microsoft.com/l/entity/66aeee93-507d-479a-a3ef-8f494af43945/classroom?context=%7B%22subEntityId%22%3A%22%7B%5C%22version%5C%22%3A%5C%221.0%5C%22%2C%5C%22config%5C%22%3A%7B%5C%22classes%5C%22%3A%5B%7B%5C%22id%5C%22%3A%5C%22cf6144cc-79cd-4a05-b3b5-9ddce4bf9811%5C%22%2C%5C%22assignmentIds%5C%22%3A%5B%5C%2280635629-7146-43c4-88f3-bf113f6694e9%5C%22%5D%7D%5D%7D%2C%5C%22action%5C%22%3A%5C%22navigate%5C%22%2C%5C%22view%5C%22%3A%5C%22assignment-viewer%5C%22%2C%5C%22appId%5C%22%3A%5C%221fec8e78-bce4-4aaf-ab1b-5451cc387264%5C%22%2C%5C%22deeplinkType%5C%22%3A4%7D%22%2C%22channelId%22%3Anull%7D" xr:uid="{FF7CE6A1-0CB8-4AB9-B764-6259A1ABD691}"/>
  </hyperlinks>
  <pageMargins left="0.25" right="0.25" top="0.75" bottom="0.75" header="0.3" footer="0.3"/>
  <pageSetup paperSize="9" orientation="portrait" r:id="rId3"/>
  <headerFooter>
    <oddHeader>&amp;LGBS SG&amp;CSSPb23-25&amp;RBKU</oddHeader>
    <oddFooter>&amp;R&amp;"Century Gothic,Standard"&amp;9ART &amp;D</oddFooter>
  </headerFooter>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0E185-407D-47B5-A045-2AB82BBC8BBB}">
  <dimension ref="A1:O55"/>
  <sheetViews>
    <sheetView view="pageLayout" zoomScaleNormal="100" workbookViewId="0">
      <selection activeCell="E46" sqref="E46:F46"/>
    </sheetView>
  </sheetViews>
  <sheetFormatPr baseColWidth="10" defaultColWidth="11.42578125" defaultRowHeight="15" x14ac:dyDescent="0.25"/>
  <cols>
    <col min="1" max="1" width="1.5703125" customWidth="1"/>
    <col min="2" max="2" width="13.85546875" customWidth="1"/>
    <col min="3" max="3" width="4.7109375" customWidth="1"/>
    <col min="4" max="4" width="16.28515625" customWidth="1"/>
    <col min="5" max="5" width="13.28515625" customWidth="1"/>
    <col min="6" max="6" width="13" customWidth="1"/>
    <col min="7" max="7" width="12.7109375" customWidth="1"/>
    <col min="8" max="8" width="4.85546875" customWidth="1"/>
    <col min="9" max="9" width="16.7109375" customWidth="1"/>
  </cols>
  <sheetData>
    <row r="1" spans="1:9" ht="15" customHeight="1" x14ac:dyDescent="0.25">
      <c r="A1" s="884" t="s">
        <v>443</v>
      </c>
      <c r="B1" s="885"/>
      <c r="C1" s="885"/>
      <c r="D1" s="885"/>
      <c r="E1" s="886"/>
      <c r="F1" s="890">
        <f>Kompetenzraster!R21</f>
        <v>45595</v>
      </c>
      <c r="G1" s="891"/>
      <c r="H1" s="892"/>
      <c r="I1" s="896">
        <v>9</v>
      </c>
    </row>
    <row r="2" spans="1:9" ht="15" customHeight="1" x14ac:dyDescent="0.25">
      <c r="A2" s="887"/>
      <c r="B2" s="888"/>
      <c r="C2" s="888"/>
      <c r="D2" s="888"/>
      <c r="E2" s="889"/>
      <c r="F2" s="893"/>
      <c r="G2" s="894"/>
      <c r="H2" s="895"/>
      <c r="I2" s="896"/>
    </row>
    <row r="3" spans="1:9" ht="15.75" customHeight="1" x14ac:dyDescent="0.25">
      <c r="A3" s="255"/>
      <c r="B3" s="303"/>
      <c r="C3" s="303"/>
      <c r="D3" s="303"/>
      <c r="E3" s="303"/>
      <c r="F3" s="301"/>
      <c r="G3" s="301"/>
      <c r="H3" s="301"/>
      <c r="I3" s="301"/>
    </row>
    <row r="4" spans="1:9" ht="15.75" customHeight="1" x14ac:dyDescent="0.25">
      <c r="A4" s="897" t="s">
        <v>442</v>
      </c>
      <c r="B4" s="897"/>
      <c r="C4" s="303"/>
      <c r="D4" s="303"/>
      <c r="E4" s="303"/>
      <c r="F4" s="301"/>
      <c r="G4" s="301"/>
      <c r="H4" s="301"/>
      <c r="I4" s="301"/>
    </row>
    <row r="5" spans="1:9" ht="14.25" customHeight="1" x14ac:dyDescent="0.25">
      <c r="A5" s="915" t="s">
        <v>445</v>
      </c>
      <c r="B5" s="916"/>
      <c r="C5" s="905" t="s">
        <v>564</v>
      </c>
      <c r="D5" s="906"/>
      <c r="E5" s="906"/>
      <c r="F5" s="906"/>
      <c r="G5" s="906"/>
      <c r="H5" s="907"/>
      <c r="I5" s="898">
        <v>3.7</v>
      </c>
    </row>
    <row r="6" spans="1:9" ht="14.25" customHeight="1" x14ac:dyDescent="0.25">
      <c r="A6" s="917"/>
      <c r="B6" s="918"/>
      <c r="C6" s="908"/>
      <c r="D6" s="909"/>
      <c r="E6" s="909"/>
      <c r="F6" s="909"/>
      <c r="G6" s="909"/>
      <c r="H6" s="910"/>
      <c r="I6" s="898"/>
    </row>
    <row r="7" spans="1:9" ht="14.25" customHeight="1" x14ac:dyDescent="0.25">
      <c r="A7" s="911" t="s">
        <v>446</v>
      </c>
      <c r="B7" s="912"/>
      <c r="C7" s="899" t="s">
        <v>604</v>
      </c>
      <c r="D7" s="900"/>
      <c r="E7" s="900"/>
      <c r="F7" s="900"/>
      <c r="G7" s="900"/>
      <c r="H7" s="901"/>
      <c r="I7" s="919">
        <v>2.2000000000000002</v>
      </c>
    </row>
    <row r="8" spans="1:9" ht="14.25" customHeight="1" x14ac:dyDescent="0.25">
      <c r="A8" s="913"/>
      <c r="B8" s="914"/>
      <c r="C8" s="902"/>
      <c r="D8" s="903"/>
      <c r="E8" s="903"/>
      <c r="F8" s="903"/>
      <c r="G8" s="903"/>
      <c r="H8" s="904"/>
      <c r="I8" s="920"/>
    </row>
    <row r="9" spans="1:9" ht="15.75" customHeight="1" x14ac:dyDescent="0.25">
      <c r="A9" s="255"/>
      <c r="B9" s="302"/>
      <c r="C9" s="302"/>
      <c r="D9" s="302"/>
      <c r="E9" s="302"/>
      <c r="F9" s="302"/>
      <c r="G9" s="302"/>
      <c r="H9" s="302"/>
      <c r="I9" s="301"/>
    </row>
    <row r="10" spans="1:9" ht="15.75" customHeight="1" x14ac:dyDescent="0.25">
      <c r="A10" s="300" t="s">
        <v>441</v>
      </c>
      <c r="B10" s="299"/>
      <c r="C10" s="299"/>
      <c r="D10" s="299"/>
      <c r="E10" s="299"/>
      <c r="F10" s="299"/>
      <c r="G10" s="299"/>
      <c r="H10" s="299"/>
      <c r="I10" s="298"/>
    </row>
    <row r="11" spans="1:9" ht="15.75" customHeight="1" x14ac:dyDescent="0.25">
      <c r="A11" s="312"/>
      <c r="B11" s="255" t="s">
        <v>573</v>
      </c>
      <c r="C11" s="255"/>
      <c r="D11" s="255"/>
      <c r="E11" s="255"/>
      <c r="F11" s="255"/>
      <c r="G11" s="255"/>
      <c r="H11" s="255"/>
      <c r="I11" s="266"/>
    </row>
    <row r="12" spans="1:9" ht="15.75" customHeight="1" x14ac:dyDescent="0.25">
      <c r="A12" s="314"/>
      <c r="B12" s="255" t="s">
        <v>574</v>
      </c>
      <c r="C12" s="255"/>
      <c r="D12" s="255"/>
      <c r="E12" s="255"/>
      <c r="F12" s="255"/>
      <c r="G12" s="255"/>
      <c r="H12" s="255"/>
      <c r="I12" s="266"/>
    </row>
    <row r="13" spans="1:9" ht="15.75" customHeight="1" x14ac:dyDescent="0.25">
      <c r="A13" s="315"/>
      <c r="B13" s="255" t="s">
        <v>464</v>
      </c>
      <c r="C13" s="255"/>
      <c r="D13" s="255"/>
      <c r="E13" s="255"/>
      <c r="F13" s="255"/>
      <c r="G13" s="255"/>
      <c r="H13" s="255"/>
      <c r="I13" s="266"/>
    </row>
    <row r="14" spans="1:9" ht="15.75" customHeight="1" x14ac:dyDescent="0.25">
      <c r="A14" s="316"/>
      <c r="B14" s="278" t="s">
        <v>572</v>
      </c>
      <c r="C14" s="278"/>
      <c r="D14" s="278"/>
      <c r="E14" s="278"/>
      <c r="F14" s="278"/>
      <c r="G14" s="278"/>
      <c r="H14" s="278"/>
      <c r="I14" s="277"/>
    </row>
    <row r="15" spans="1:9" ht="6.95" customHeight="1" thickBot="1" x14ac:dyDescent="0.3">
      <c r="A15" s="255"/>
      <c r="B15" s="297"/>
      <c r="C15" s="297"/>
      <c r="D15" s="297"/>
      <c r="E15" s="297"/>
      <c r="F15" s="297"/>
      <c r="G15" s="297"/>
      <c r="H15" s="255"/>
      <c r="I15" s="255"/>
    </row>
    <row r="16" spans="1:9" ht="15.6" customHeight="1" x14ac:dyDescent="0.25">
      <c r="A16" s="876" t="s">
        <v>440</v>
      </c>
      <c r="B16" s="877"/>
      <c r="C16" s="877" t="s">
        <v>439</v>
      </c>
      <c r="D16" s="877" t="s">
        <v>438</v>
      </c>
      <c r="E16" s="877"/>
      <c r="F16" s="877"/>
      <c r="G16" s="877"/>
      <c r="H16" s="880" t="s">
        <v>437</v>
      </c>
      <c r="I16" s="882" t="s">
        <v>436</v>
      </c>
    </row>
    <row r="17" spans="1:15" ht="15.6" customHeight="1" x14ac:dyDescent="0.25">
      <c r="A17" s="878"/>
      <c r="B17" s="879"/>
      <c r="C17" s="879"/>
      <c r="D17" s="879"/>
      <c r="E17" s="879"/>
      <c r="F17" s="879"/>
      <c r="G17" s="879"/>
      <c r="H17" s="881"/>
      <c r="I17" s="883"/>
    </row>
    <row r="18" spans="1:15" ht="9.75" customHeight="1" x14ac:dyDescent="0.25">
      <c r="A18" s="931"/>
      <c r="B18" s="932"/>
      <c r="C18" s="932"/>
      <c r="D18" s="932"/>
      <c r="E18" s="932"/>
      <c r="F18" s="932"/>
      <c r="G18" s="932"/>
      <c r="H18" s="932"/>
      <c r="I18" s="933"/>
    </row>
    <row r="19" spans="1:15" ht="15.6" customHeight="1" x14ac:dyDescent="0.25">
      <c r="A19" s="382"/>
      <c r="B19" s="309" t="s">
        <v>435</v>
      </c>
      <c r="C19" s="310" t="s">
        <v>495</v>
      </c>
      <c r="D19" s="267" t="s">
        <v>605</v>
      </c>
      <c r="E19" s="255"/>
      <c r="F19" s="255"/>
      <c r="G19" s="294"/>
      <c r="H19" s="282" t="s">
        <v>424</v>
      </c>
      <c r="I19" s="353"/>
    </row>
    <row r="20" spans="1:15" ht="15.6" customHeight="1" x14ac:dyDescent="0.25">
      <c r="A20" s="382"/>
      <c r="B20" s="304" t="s">
        <v>458</v>
      </c>
      <c r="C20" s="359" t="s">
        <v>607</v>
      </c>
      <c r="D20" s="360" t="s">
        <v>606</v>
      </c>
      <c r="E20" s="361"/>
      <c r="F20" s="361"/>
      <c r="G20" s="362"/>
      <c r="H20" s="363"/>
      <c r="I20" s="350"/>
      <c r="K20" s="255"/>
      <c r="L20" s="255"/>
      <c r="M20" s="255"/>
      <c r="N20" s="296"/>
    </row>
    <row r="21" spans="1:15" ht="15.6" customHeight="1" x14ac:dyDescent="0.25">
      <c r="A21" s="382"/>
      <c r="B21" s="306"/>
      <c r="C21" s="359"/>
      <c r="D21" s="971"/>
      <c r="E21" s="972"/>
      <c r="F21" s="972"/>
      <c r="G21" s="973"/>
      <c r="H21" s="363"/>
      <c r="I21" s="351"/>
      <c r="K21" s="255"/>
      <c r="L21" s="255"/>
      <c r="M21" s="255"/>
      <c r="N21" s="255"/>
    </row>
    <row r="22" spans="1:15" ht="15.6" customHeight="1" x14ac:dyDescent="0.25">
      <c r="A22" s="382"/>
      <c r="B22" s="307"/>
      <c r="C22" s="364"/>
      <c r="D22" s="360"/>
      <c r="E22" s="361"/>
      <c r="F22" s="361"/>
      <c r="G22" s="362"/>
      <c r="H22" s="365"/>
      <c r="I22" s="355"/>
      <c r="K22" s="255"/>
      <c r="L22" s="255"/>
      <c r="M22" s="255"/>
      <c r="N22" s="255"/>
    </row>
    <row r="23" spans="1:15" ht="15.6" customHeight="1" x14ac:dyDescent="0.25">
      <c r="A23" s="382"/>
      <c r="B23" s="305" t="s">
        <v>432</v>
      </c>
      <c r="C23" s="366"/>
      <c r="D23" s="367"/>
      <c r="E23" s="367"/>
      <c r="F23" s="367"/>
      <c r="G23" s="368"/>
      <c r="H23" s="369"/>
      <c r="I23" s="349"/>
      <c r="K23" s="255"/>
      <c r="L23" s="255"/>
      <c r="M23" s="255"/>
      <c r="N23" s="255"/>
    </row>
    <row r="24" spans="1:15" ht="15.6" customHeight="1" x14ac:dyDescent="0.25">
      <c r="A24" s="382"/>
      <c r="B24" s="304" t="s">
        <v>459</v>
      </c>
      <c r="C24" s="370"/>
      <c r="D24" s="361"/>
      <c r="E24" s="361"/>
      <c r="F24" s="361"/>
      <c r="G24" s="361"/>
      <c r="H24" s="371"/>
      <c r="I24" s="351"/>
      <c r="K24" s="255"/>
      <c r="L24" s="255"/>
      <c r="M24" s="255"/>
      <c r="N24" s="255"/>
    </row>
    <row r="25" spans="1:15" ht="15.6" customHeight="1" x14ac:dyDescent="0.25">
      <c r="A25" s="382"/>
      <c r="B25" s="306"/>
      <c r="C25" s="370"/>
      <c r="D25" s="361"/>
      <c r="E25" s="361"/>
      <c r="F25" s="361"/>
      <c r="G25" s="361"/>
      <c r="H25" s="371"/>
      <c r="I25" s="351"/>
      <c r="K25" s="255"/>
      <c r="L25" s="255"/>
      <c r="M25" s="255"/>
      <c r="N25" s="255"/>
    </row>
    <row r="26" spans="1:15" ht="15.6" customHeight="1" x14ac:dyDescent="0.25">
      <c r="A26" s="382"/>
      <c r="B26" s="307"/>
      <c r="C26" s="377"/>
      <c r="D26" s="378"/>
      <c r="E26" s="378"/>
      <c r="F26" s="378"/>
      <c r="G26" s="378"/>
      <c r="H26" s="379"/>
      <c r="I26" s="352"/>
      <c r="K26" s="255"/>
      <c r="L26" s="255"/>
      <c r="M26" s="255"/>
      <c r="N26" s="255"/>
    </row>
    <row r="27" spans="1:15" ht="15.6" customHeight="1" x14ac:dyDescent="0.25">
      <c r="A27" s="380"/>
      <c r="B27" s="308" t="s">
        <v>431</v>
      </c>
      <c r="C27" s="273" t="s">
        <v>429</v>
      </c>
      <c r="D27" s="267" t="s">
        <v>608</v>
      </c>
      <c r="E27" s="255"/>
      <c r="F27" s="255"/>
      <c r="G27" s="266"/>
      <c r="H27" s="272" t="s">
        <v>425</v>
      </c>
      <c r="I27" s="354"/>
      <c r="K27" s="255"/>
      <c r="L27" s="255"/>
      <c r="M27" s="255"/>
      <c r="N27" s="255"/>
    </row>
    <row r="28" spans="1:15" ht="15.6" customHeight="1" x14ac:dyDescent="0.25">
      <c r="A28" s="380"/>
      <c r="B28" s="304" t="s">
        <v>460</v>
      </c>
      <c r="C28" s="268" t="s">
        <v>433</v>
      </c>
      <c r="D28" s="267" t="s">
        <v>609</v>
      </c>
      <c r="E28" s="255"/>
      <c r="F28" s="255"/>
      <c r="G28" s="266"/>
      <c r="H28" s="265" t="s">
        <v>497</v>
      </c>
      <c r="I28" s="351"/>
    </row>
    <row r="29" spans="1:15" ht="15.6" customHeight="1" x14ac:dyDescent="0.25">
      <c r="A29" s="380"/>
      <c r="B29" s="306"/>
      <c r="C29" s="268"/>
      <c r="D29" s="267"/>
      <c r="E29" s="255"/>
      <c r="F29" s="255"/>
      <c r="G29" s="266"/>
      <c r="H29" s="265"/>
      <c r="I29" s="351"/>
    </row>
    <row r="30" spans="1:15" ht="15.6" customHeight="1" x14ac:dyDescent="0.25">
      <c r="A30" s="381"/>
      <c r="B30" s="254"/>
      <c r="C30" s="265"/>
      <c r="D30" s="267"/>
      <c r="E30" s="255"/>
      <c r="F30" s="255"/>
      <c r="G30" s="266"/>
      <c r="H30" s="265"/>
      <c r="I30" s="355"/>
    </row>
    <row r="31" spans="1:15" ht="15.6" customHeight="1" x14ac:dyDescent="0.25">
      <c r="A31" s="927" t="s">
        <v>428</v>
      </c>
      <c r="B31" s="860"/>
      <c r="C31" s="860"/>
      <c r="D31" s="860"/>
      <c r="E31" s="860"/>
      <c r="F31" s="860"/>
      <c r="G31" s="860"/>
      <c r="H31" s="860"/>
      <c r="I31" s="928"/>
      <c r="K31" s="255"/>
      <c r="L31" s="255"/>
      <c r="M31" s="255"/>
      <c r="N31" s="255"/>
      <c r="O31" s="255"/>
    </row>
    <row r="32" spans="1:15" ht="15.6" customHeight="1" x14ac:dyDescent="0.25">
      <c r="A32" s="929"/>
      <c r="B32" s="863"/>
      <c r="C32" s="863"/>
      <c r="D32" s="863"/>
      <c r="E32" s="863"/>
      <c r="F32" s="863"/>
      <c r="G32" s="863"/>
      <c r="H32" s="863"/>
      <c r="I32" s="930"/>
      <c r="K32" s="255"/>
      <c r="L32" s="255"/>
      <c r="M32" s="255"/>
      <c r="N32" s="255"/>
      <c r="O32" s="255"/>
    </row>
    <row r="33" spans="1:15" ht="9.75" customHeight="1" x14ac:dyDescent="0.25">
      <c r="A33" s="856"/>
      <c r="B33" s="857"/>
      <c r="C33" s="857"/>
      <c r="D33" s="857"/>
      <c r="E33" s="857"/>
      <c r="F33" s="857"/>
      <c r="G33" s="857"/>
      <c r="H33" s="857"/>
      <c r="I33" s="858"/>
      <c r="K33" s="255"/>
      <c r="L33" s="255"/>
      <c r="M33" s="255"/>
      <c r="N33" s="255"/>
      <c r="O33" s="255"/>
    </row>
    <row r="34" spans="1:15" ht="15.6" customHeight="1" x14ac:dyDescent="0.25">
      <c r="A34" s="383"/>
      <c r="B34" s="290" t="s">
        <v>427</v>
      </c>
      <c r="C34" s="283" t="s">
        <v>500</v>
      </c>
      <c r="D34" s="267" t="s">
        <v>610</v>
      </c>
      <c r="E34" s="255"/>
      <c r="F34" s="255"/>
      <c r="G34" s="266"/>
      <c r="H34" s="282" t="s">
        <v>424</v>
      </c>
      <c r="I34" s="376"/>
      <c r="K34" s="255"/>
      <c r="L34" s="255"/>
      <c r="M34" s="255"/>
      <c r="N34" s="255"/>
      <c r="O34" s="255"/>
    </row>
    <row r="35" spans="1:15" ht="15.6" customHeight="1" x14ac:dyDescent="0.25">
      <c r="A35" s="383"/>
      <c r="B35" s="319" t="s">
        <v>461</v>
      </c>
      <c r="C35" s="283" t="s">
        <v>534</v>
      </c>
      <c r="D35" s="267" t="s">
        <v>611</v>
      </c>
      <c r="E35" s="255"/>
      <c r="F35" s="255"/>
      <c r="G35" s="266"/>
      <c r="H35" s="282"/>
      <c r="I35" s="351" t="s">
        <v>612</v>
      </c>
      <c r="K35" s="255"/>
      <c r="L35" s="255"/>
      <c r="M35" s="255"/>
      <c r="N35" s="255"/>
      <c r="O35" s="255"/>
    </row>
    <row r="36" spans="1:15" ht="15.6" customHeight="1" x14ac:dyDescent="0.25">
      <c r="A36" s="383"/>
      <c r="B36" s="269"/>
      <c r="C36" s="283"/>
      <c r="D36" s="267"/>
      <c r="E36" s="255"/>
      <c r="F36" s="255"/>
      <c r="G36" s="266"/>
      <c r="H36" s="282"/>
      <c r="I36" s="351"/>
      <c r="K36" s="255"/>
      <c r="L36" s="255"/>
      <c r="M36" s="255"/>
      <c r="N36" s="255"/>
      <c r="O36" s="255"/>
    </row>
    <row r="37" spans="1:15" ht="15.6" customHeight="1" x14ac:dyDescent="0.25">
      <c r="A37" s="383"/>
      <c r="B37" s="281"/>
      <c r="C37" s="280"/>
      <c r="D37" s="279"/>
      <c r="E37" s="278"/>
      <c r="F37" s="278"/>
      <c r="G37" s="277"/>
      <c r="H37" s="276"/>
      <c r="I37" s="352"/>
    </row>
    <row r="38" spans="1:15" ht="15.6" customHeight="1" x14ac:dyDescent="0.25">
      <c r="A38" s="383"/>
      <c r="B38" s="274" t="s">
        <v>423</v>
      </c>
      <c r="C38" s="273" t="s">
        <v>429</v>
      </c>
      <c r="D38" s="267" t="s">
        <v>613</v>
      </c>
      <c r="E38" s="255"/>
      <c r="F38" s="255"/>
      <c r="G38" s="266"/>
      <c r="H38" s="272" t="s">
        <v>425</v>
      </c>
      <c r="I38" s="354"/>
    </row>
    <row r="39" spans="1:15" ht="15.6" customHeight="1" x14ac:dyDescent="0.25">
      <c r="A39" s="383"/>
      <c r="B39" s="270" t="s">
        <v>462</v>
      </c>
      <c r="C39" s="268" t="s">
        <v>495</v>
      </c>
      <c r="D39" s="267" t="s">
        <v>614</v>
      </c>
      <c r="E39" s="255"/>
      <c r="F39" s="255"/>
      <c r="G39" s="266"/>
      <c r="H39" s="265" t="s">
        <v>497</v>
      </c>
      <c r="I39" s="385" t="s">
        <v>591</v>
      </c>
    </row>
    <row r="40" spans="1:15" ht="15.6" customHeight="1" x14ac:dyDescent="0.25">
      <c r="A40" s="383"/>
      <c r="B40" s="269"/>
      <c r="C40" s="268" t="s">
        <v>495</v>
      </c>
      <c r="D40" s="267" t="s">
        <v>615</v>
      </c>
      <c r="E40" s="255"/>
      <c r="F40" s="255"/>
      <c r="G40" s="266"/>
      <c r="H40" s="265" t="s">
        <v>497</v>
      </c>
      <c r="I40" s="350"/>
    </row>
    <row r="41" spans="1:15" ht="15.6" customHeight="1" x14ac:dyDescent="0.25">
      <c r="A41" s="384"/>
      <c r="B41" s="358"/>
      <c r="C41" s="291" t="s">
        <v>434</v>
      </c>
      <c r="D41" s="279" t="s">
        <v>568</v>
      </c>
      <c r="E41" s="278"/>
      <c r="F41" s="278"/>
      <c r="G41" s="277"/>
      <c r="H41" s="291"/>
      <c r="I41" s="352"/>
    </row>
    <row r="42" spans="1:15" ht="6.95" customHeight="1" x14ac:dyDescent="0.25">
      <c r="A42" s="255"/>
      <c r="B42" s="257"/>
      <c r="C42" s="256"/>
      <c r="D42" s="255"/>
      <c r="E42" s="255"/>
      <c r="F42" s="255"/>
      <c r="G42" s="255"/>
      <c r="H42" s="255"/>
      <c r="I42" s="255"/>
    </row>
    <row r="43" spans="1:15" ht="15.6" customHeight="1" x14ac:dyDescent="0.25">
      <c r="A43" s="867" t="s">
        <v>422</v>
      </c>
      <c r="B43" s="868"/>
      <c r="C43" s="868"/>
      <c r="D43" s="869"/>
      <c r="E43" s="867" t="s">
        <v>421</v>
      </c>
      <c r="F43" s="868"/>
      <c r="G43" s="867" t="s">
        <v>420</v>
      </c>
      <c r="H43" s="868"/>
      <c r="I43" s="869"/>
    </row>
    <row r="44" spans="1:15" ht="15.6" customHeight="1" x14ac:dyDescent="0.25">
      <c r="A44" s="870"/>
      <c r="B44" s="871"/>
      <c r="C44" s="871"/>
      <c r="D44" s="872"/>
      <c r="E44" s="870"/>
      <c r="F44" s="871"/>
      <c r="G44" s="873"/>
      <c r="H44" s="874"/>
      <c r="I44" s="875"/>
    </row>
    <row r="45" spans="1:15" ht="15.6" customHeight="1" x14ac:dyDescent="0.25">
      <c r="A45" s="935" t="s">
        <v>616</v>
      </c>
      <c r="B45" s="925"/>
      <c r="C45" s="925"/>
      <c r="D45" s="925"/>
      <c r="E45" s="954"/>
      <c r="F45" s="955"/>
      <c r="G45" s="851" t="s">
        <v>555</v>
      </c>
      <c r="H45" s="851"/>
      <c r="I45" s="852"/>
    </row>
    <row r="46" spans="1:15" ht="15.6" customHeight="1" x14ac:dyDescent="0.25">
      <c r="A46" s="956"/>
      <c r="B46" s="957"/>
      <c r="C46" s="957"/>
      <c r="D46" s="957"/>
      <c r="E46" s="958"/>
      <c r="F46" s="959"/>
      <c r="G46" s="825" t="s">
        <v>556</v>
      </c>
      <c r="H46" s="825"/>
      <c r="I46" s="826"/>
    </row>
    <row r="47" spans="1:15" ht="15.6" customHeight="1" x14ac:dyDescent="0.25">
      <c r="A47" s="819"/>
      <c r="B47" s="820"/>
      <c r="C47" s="820"/>
      <c r="D47" s="820"/>
      <c r="E47" s="374"/>
      <c r="F47" s="375"/>
      <c r="G47" s="825"/>
      <c r="H47" s="825"/>
      <c r="I47" s="826"/>
    </row>
    <row r="48" spans="1:15" ht="15.6" customHeight="1" x14ac:dyDescent="0.25">
      <c r="A48" s="970"/>
      <c r="B48" s="922"/>
      <c r="C48" s="922"/>
      <c r="D48" s="922"/>
      <c r="E48" s="960"/>
      <c r="F48" s="961"/>
      <c r="G48" s="840"/>
      <c r="H48" s="840"/>
      <c r="I48" s="841"/>
    </row>
    <row r="49" spans="1:9" ht="15.6" customHeight="1" x14ac:dyDescent="0.25">
      <c r="A49" s="962"/>
      <c r="B49" s="963"/>
      <c r="C49" s="963"/>
      <c r="D49" s="964"/>
      <c r="E49" s="965"/>
      <c r="F49" s="966"/>
      <c r="G49" s="843"/>
      <c r="H49" s="843"/>
      <c r="I49" s="844"/>
    </row>
    <row r="50" spans="1:9" ht="15.6" customHeight="1" x14ac:dyDescent="0.25">
      <c r="A50" s="827"/>
      <c r="B50" s="828"/>
      <c r="C50" s="828"/>
      <c r="D50" s="828"/>
      <c r="E50" s="830"/>
      <c r="F50" s="831"/>
      <c r="G50" s="833"/>
      <c r="H50" s="833"/>
      <c r="I50" s="834"/>
    </row>
    <row r="51" spans="1:9" ht="15.75" customHeight="1" x14ac:dyDescent="0.25"/>
    <row r="52" spans="1:9" ht="15.75" customHeight="1" x14ac:dyDescent="0.25"/>
    <row r="53" spans="1:9" ht="15.75" customHeight="1" x14ac:dyDescent="0.25"/>
    <row r="54" spans="1:9" ht="15.75" customHeight="1" x14ac:dyDescent="0.25"/>
    <row r="55" spans="1:9" ht="15.75" customHeight="1" x14ac:dyDescent="0.25"/>
  </sheetData>
  <mergeCells count="39">
    <mergeCell ref="A1:E2"/>
    <mergeCell ref="F1:H2"/>
    <mergeCell ref="I1:I2"/>
    <mergeCell ref="A4:B4"/>
    <mergeCell ref="A5:B6"/>
    <mergeCell ref="C5:H6"/>
    <mergeCell ref="I5:I6"/>
    <mergeCell ref="A7:B8"/>
    <mergeCell ref="C7:H8"/>
    <mergeCell ref="I7:I8"/>
    <mergeCell ref="A16:B17"/>
    <mergeCell ref="C16:C17"/>
    <mergeCell ref="D16:G17"/>
    <mergeCell ref="H16:H17"/>
    <mergeCell ref="I16:I17"/>
    <mergeCell ref="A18:I18"/>
    <mergeCell ref="D21:G21"/>
    <mergeCell ref="A31:I32"/>
    <mergeCell ref="A33:I33"/>
    <mergeCell ref="A43:D44"/>
    <mergeCell ref="E43:F44"/>
    <mergeCell ref="G43:I44"/>
    <mergeCell ref="A45:D45"/>
    <mergeCell ref="E45:F45"/>
    <mergeCell ref="G45:I45"/>
    <mergeCell ref="A46:D46"/>
    <mergeCell ref="E46:F46"/>
    <mergeCell ref="G46:I46"/>
    <mergeCell ref="A50:D50"/>
    <mergeCell ref="E50:F50"/>
    <mergeCell ref="G50:I50"/>
    <mergeCell ref="A47:D47"/>
    <mergeCell ref="G47:I47"/>
    <mergeCell ref="A48:D48"/>
    <mergeCell ref="E48:F48"/>
    <mergeCell ref="G48:I48"/>
    <mergeCell ref="A49:D49"/>
    <mergeCell ref="E49:F49"/>
    <mergeCell ref="G49:I49"/>
  </mergeCells>
  <hyperlinks>
    <hyperlink ref="I35" r:id="rId1" xr:uid="{0309F14F-72A8-4CDC-B612-D468CD18AD78}"/>
    <hyperlink ref="I39" r:id="rId2" location="doc/19893/11" display="https://edu.suissetec.ch/ - doc/19893/11" xr:uid="{E6514D10-9DE0-4505-8731-7423BDF1A09D}"/>
  </hyperlinks>
  <pageMargins left="0.25" right="0.25" top="0.75" bottom="0.75" header="0.3" footer="0.3"/>
  <pageSetup paperSize="9" orientation="portrait" r:id="rId3"/>
  <headerFooter>
    <oddHeader>&amp;LGBS SG&amp;CSSPb23-25&amp;RBKU</oddHeader>
    <oddFooter>&amp;R&amp;"Century Gothic,Standard"&amp;9ART &amp;D</oddFooter>
  </headerFooter>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DCE55-8007-475E-B227-2BD3DE9AE115}">
  <dimension ref="A1:O55"/>
  <sheetViews>
    <sheetView view="pageLayout" topLeftCell="A13" zoomScaleNormal="100" workbookViewId="0">
      <selection activeCell="E30" sqref="E30"/>
    </sheetView>
  </sheetViews>
  <sheetFormatPr baseColWidth="10" defaultColWidth="11.42578125" defaultRowHeight="15" x14ac:dyDescent="0.25"/>
  <cols>
    <col min="1" max="1" width="1.5703125" customWidth="1"/>
    <col min="2" max="2" width="13.85546875" customWidth="1"/>
    <col min="3" max="3" width="4.7109375" customWidth="1"/>
    <col min="4" max="4" width="16.28515625" customWidth="1"/>
    <col min="5" max="5" width="13.28515625" customWidth="1"/>
    <col min="6" max="6" width="13" customWidth="1"/>
    <col min="7" max="7" width="12.7109375" customWidth="1"/>
    <col min="8" max="8" width="4.85546875" customWidth="1"/>
    <col min="9" max="9" width="16.7109375" customWidth="1"/>
  </cols>
  <sheetData>
    <row r="1" spans="1:9" ht="15" customHeight="1" x14ac:dyDescent="0.25">
      <c r="A1" s="884" t="s">
        <v>443</v>
      </c>
      <c r="B1" s="885"/>
      <c r="C1" s="885"/>
      <c r="D1" s="885"/>
      <c r="E1" s="886"/>
      <c r="F1" s="890">
        <f>Kompetenzraster!R23</f>
        <v>45602</v>
      </c>
      <c r="G1" s="891"/>
      <c r="H1" s="892"/>
      <c r="I1" s="896">
        <v>10</v>
      </c>
    </row>
    <row r="2" spans="1:9" ht="15" customHeight="1" x14ac:dyDescent="0.25">
      <c r="A2" s="887"/>
      <c r="B2" s="888"/>
      <c r="C2" s="888"/>
      <c r="D2" s="888"/>
      <c r="E2" s="889"/>
      <c r="F2" s="893"/>
      <c r="G2" s="894"/>
      <c r="H2" s="895"/>
      <c r="I2" s="896"/>
    </row>
    <row r="3" spans="1:9" ht="15.75" customHeight="1" x14ac:dyDescent="0.25">
      <c r="A3" s="255"/>
      <c r="B3" s="303"/>
      <c r="C3" s="303"/>
      <c r="D3" s="303"/>
      <c r="E3" s="303"/>
      <c r="F3" s="301"/>
      <c r="G3" s="301"/>
      <c r="H3" s="301"/>
      <c r="I3" s="301"/>
    </row>
    <row r="4" spans="1:9" ht="15.75" customHeight="1" x14ac:dyDescent="0.25">
      <c r="A4" s="897" t="s">
        <v>442</v>
      </c>
      <c r="B4" s="897"/>
      <c r="C4" s="303"/>
      <c r="D4" s="303"/>
      <c r="E4" s="303"/>
      <c r="F4" s="301"/>
      <c r="G4" s="301"/>
      <c r="H4" s="301"/>
      <c r="I4" s="301"/>
    </row>
    <row r="5" spans="1:9" ht="14.25" customHeight="1" x14ac:dyDescent="0.25">
      <c r="A5" s="974" t="s">
        <v>445</v>
      </c>
      <c r="B5" s="975"/>
      <c r="C5" s="978" t="s">
        <v>564</v>
      </c>
      <c r="D5" s="979"/>
      <c r="E5" s="979"/>
      <c r="F5" s="979"/>
      <c r="G5" s="979"/>
      <c r="H5" s="980"/>
      <c r="I5" s="984">
        <v>3.7</v>
      </c>
    </row>
    <row r="6" spans="1:9" ht="14.25" customHeight="1" x14ac:dyDescent="0.25">
      <c r="A6" s="976"/>
      <c r="B6" s="977"/>
      <c r="C6" s="981"/>
      <c r="D6" s="982"/>
      <c r="E6" s="982"/>
      <c r="F6" s="982"/>
      <c r="G6" s="982"/>
      <c r="H6" s="983"/>
      <c r="I6" s="984"/>
    </row>
    <row r="7" spans="1:9" ht="14.25" customHeight="1" x14ac:dyDescent="0.25">
      <c r="A7" s="911" t="s">
        <v>446</v>
      </c>
      <c r="B7" s="912"/>
      <c r="C7" s="899" t="s">
        <v>617</v>
      </c>
      <c r="D7" s="900"/>
      <c r="E7" s="900"/>
      <c r="F7" s="900"/>
      <c r="G7" s="900"/>
      <c r="H7" s="901"/>
      <c r="I7" s="919">
        <v>3.3</v>
      </c>
    </row>
    <row r="8" spans="1:9" ht="14.25" customHeight="1" x14ac:dyDescent="0.25">
      <c r="A8" s="913"/>
      <c r="B8" s="914"/>
      <c r="C8" s="902"/>
      <c r="D8" s="903"/>
      <c r="E8" s="903"/>
      <c r="F8" s="903"/>
      <c r="G8" s="903"/>
      <c r="H8" s="904"/>
      <c r="I8" s="920"/>
    </row>
    <row r="9" spans="1:9" ht="15.75" customHeight="1" x14ac:dyDescent="0.25">
      <c r="A9" s="255"/>
      <c r="B9" s="302"/>
      <c r="C9" s="302"/>
      <c r="D9" s="302"/>
      <c r="E9" s="302"/>
      <c r="F9" s="302"/>
      <c r="G9" s="302"/>
      <c r="H9" s="302"/>
      <c r="I9" s="301"/>
    </row>
    <row r="10" spans="1:9" ht="15.75" customHeight="1" x14ac:dyDescent="0.25">
      <c r="A10" s="300" t="s">
        <v>441</v>
      </c>
      <c r="B10" s="299"/>
      <c r="C10" s="299"/>
      <c r="D10" s="299"/>
      <c r="E10" s="299"/>
      <c r="F10" s="299"/>
      <c r="G10" s="299"/>
      <c r="H10" s="299"/>
      <c r="I10" s="298"/>
    </row>
    <row r="11" spans="1:9" ht="15.75" customHeight="1" x14ac:dyDescent="0.25">
      <c r="A11" s="388"/>
      <c r="B11" s="255" t="s">
        <v>618</v>
      </c>
      <c r="C11" s="255"/>
      <c r="D11" s="255"/>
      <c r="E11" s="255"/>
      <c r="F11" s="255"/>
      <c r="G11" s="255"/>
      <c r="H11" s="255"/>
      <c r="I11" s="266"/>
    </row>
    <row r="12" spans="1:9" ht="15.75" customHeight="1" x14ac:dyDescent="0.25">
      <c r="A12" s="389"/>
      <c r="B12" s="255" t="s">
        <v>629</v>
      </c>
      <c r="C12" s="255"/>
      <c r="D12" s="255"/>
      <c r="E12" s="255"/>
      <c r="F12" s="255"/>
      <c r="G12" s="255"/>
      <c r="H12" s="255"/>
      <c r="I12" s="266"/>
    </row>
    <row r="13" spans="1:9" ht="15.75" customHeight="1" x14ac:dyDescent="0.25">
      <c r="A13" s="315"/>
      <c r="B13" s="255" t="s">
        <v>630</v>
      </c>
      <c r="C13" s="255"/>
      <c r="D13" s="255"/>
      <c r="E13" s="255"/>
      <c r="F13" s="255"/>
      <c r="G13" s="255"/>
      <c r="H13" s="255"/>
      <c r="I13" s="266"/>
    </row>
    <row r="14" spans="1:9" ht="15.75" customHeight="1" x14ac:dyDescent="0.25">
      <c r="A14" s="316"/>
      <c r="B14" s="278" t="s">
        <v>631</v>
      </c>
      <c r="C14" s="278"/>
      <c r="D14" s="278"/>
      <c r="E14" s="278"/>
      <c r="F14" s="278"/>
      <c r="G14" s="278"/>
      <c r="H14" s="278"/>
      <c r="I14" s="277"/>
    </row>
    <row r="15" spans="1:9" ht="6.95" customHeight="1" thickBot="1" x14ac:dyDescent="0.3">
      <c r="A15" s="255"/>
      <c r="B15" s="297"/>
      <c r="C15" s="297"/>
      <c r="D15" s="297"/>
      <c r="E15" s="297"/>
      <c r="F15" s="297"/>
      <c r="G15" s="297"/>
      <c r="H15" s="255"/>
      <c r="I15" s="255"/>
    </row>
    <row r="16" spans="1:9" ht="15.6" customHeight="1" x14ac:dyDescent="0.25">
      <c r="A16" s="876" t="s">
        <v>440</v>
      </c>
      <c r="B16" s="877"/>
      <c r="C16" s="877" t="s">
        <v>439</v>
      </c>
      <c r="D16" s="877" t="s">
        <v>438</v>
      </c>
      <c r="E16" s="877"/>
      <c r="F16" s="877"/>
      <c r="G16" s="877"/>
      <c r="H16" s="880" t="s">
        <v>437</v>
      </c>
      <c r="I16" s="882" t="s">
        <v>436</v>
      </c>
    </row>
    <row r="17" spans="1:15" ht="15.6" customHeight="1" x14ac:dyDescent="0.25">
      <c r="A17" s="878"/>
      <c r="B17" s="879"/>
      <c r="C17" s="879"/>
      <c r="D17" s="879"/>
      <c r="E17" s="879"/>
      <c r="F17" s="879"/>
      <c r="G17" s="879"/>
      <c r="H17" s="881"/>
      <c r="I17" s="883"/>
    </row>
    <row r="18" spans="1:15" ht="9.75" customHeight="1" x14ac:dyDescent="0.25">
      <c r="A18" s="985"/>
      <c r="B18" s="986"/>
      <c r="C18" s="986"/>
      <c r="D18" s="986"/>
      <c r="E18" s="986"/>
      <c r="F18" s="986"/>
      <c r="G18" s="986"/>
      <c r="H18" s="986"/>
      <c r="I18" s="987"/>
    </row>
    <row r="19" spans="1:15" ht="15.6" customHeight="1" x14ac:dyDescent="0.25">
      <c r="A19" s="390"/>
      <c r="B19" s="309" t="s">
        <v>435</v>
      </c>
      <c r="C19" s="310" t="s">
        <v>495</v>
      </c>
      <c r="D19" s="267" t="s">
        <v>588</v>
      </c>
      <c r="E19" s="255"/>
      <c r="F19" s="255"/>
      <c r="G19" s="294"/>
      <c r="H19" s="282" t="s">
        <v>424</v>
      </c>
      <c r="I19" s="353"/>
    </row>
    <row r="20" spans="1:15" ht="15.6" customHeight="1" x14ac:dyDescent="0.25">
      <c r="A20" s="390"/>
      <c r="B20" s="304" t="s">
        <v>458</v>
      </c>
      <c r="C20" s="283" t="s">
        <v>534</v>
      </c>
      <c r="D20" s="267" t="s">
        <v>619</v>
      </c>
      <c r="E20" s="255"/>
      <c r="F20" s="255"/>
      <c r="G20" s="266"/>
      <c r="H20" s="282" t="s">
        <v>497</v>
      </c>
      <c r="I20" s="350"/>
      <c r="K20" s="255"/>
      <c r="L20" s="255"/>
      <c r="M20" s="255"/>
      <c r="N20" s="296"/>
    </row>
    <row r="21" spans="1:15" ht="15.6" customHeight="1" x14ac:dyDescent="0.25">
      <c r="A21" s="390"/>
      <c r="B21" s="306"/>
      <c r="C21" s="283"/>
      <c r="D21" s="967"/>
      <c r="E21" s="968"/>
      <c r="F21" s="968"/>
      <c r="G21" s="969"/>
      <c r="H21" s="282"/>
      <c r="I21" s="386"/>
      <c r="K21" s="255"/>
      <c r="L21" s="255"/>
      <c r="M21" s="255"/>
      <c r="N21" s="255"/>
    </row>
    <row r="22" spans="1:15" ht="15.6" customHeight="1" x14ac:dyDescent="0.25">
      <c r="A22" s="390"/>
      <c r="B22" s="307"/>
      <c r="C22" s="280"/>
      <c r="D22" s="267"/>
      <c r="E22" s="255"/>
      <c r="F22" s="255"/>
      <c r="G22" s="266"/>
      <c r="H22" s="276"/>
      <c r="I22" s="387"/>
      <c r="K22" s="255"/>
      <c r="L22" s="255"/>
      <c r="M22" s="255"/>
      <c r="N22" s="255"/>
    </row>
    <row r="23" spans="1:15" ht="15.6" customHeight="1" x14ac:dyDescent="0.25">
      <c r="A23" s="390"/>
      <c r="B23" s="305" t="s">
        <v>432</v>
      </c>
      <c r="C23" s="273" t="s">
        <v>495</v>
      </c>
      <c r="D23" s="287" t="s">
        <v>620</v>
      </c>
      <c r="E23" s="287"/>
      <c r="F23" s="287"/>
      <c r="G23" s="293"/>
      <c r="H23" s="347" t="s">
        <v>424</v>
      </c>
      <c r="I23" s="349"/>
      <c r="K23" s="255"/>
      <c r="L23" s="255"/>
      <c r="M23" s="255"/>
      <c r="N23" s="255"/>
    </row>
    <row r="24" spans="1:15" ht="15.6" customHeight="1" x14ac:dyDescent="0.25">
      <c r="A24" s="390"/>
      <c r="B24" s="304" t="s">
        <v>459</v>
      </c>
      <c r="C24" s="268" t="s">
        <v>534</v>
      </c>
      <c r="D24" s="255" t="s">
        <v>621</v>
      </c>
      <c r="E24" s="255"/>
      <c r="F24" s="255"/>
      <c r="G24" s="255"/>
      <c r="H24" s="310" t="s">
        <v>497</v>
      </c>
      <c r="I24" s="386"/>
      <c r="K24" s="255"/>
      <c r="L24" s="255"/>
      <c r="M24" s="255"/>
      <c r="N24" s="255"/>
    </row>
    <row r="25" spans="1:15" ht="15.6" customHeight="1" x14ac:dyDescent="0.25">
      <c r="A25" s="390"/>
      <c r="B25" s="306"/>
      <c r="C25" s="268"/>
      <c r="D25" s="255"/>
      <c r="E25" s="255"/>
      <c r="F25" s="255"/>
      <c r="G25" s="255"/>
      <c r="H25" s="310"/>
      <c r="I25" s="386"/>
      <c r="K25" s="255"/>
      <c r="L25" s="255"/>
      <c r="M25" s="255"/>
      <c r="N25" s="255"/>
    </row>
    <row r="26" spans="1:15" ht="15.6" customHeight="1" x14ac:dyDescent="0.25">
      <c r="A26" s="390"/>
      <c r="B26" s="307"/>
      <c r="C26" s="292"/>
      <c r="D26" s="278"/>
      <c r="E26" s="278"/>
      <c r="F26" s="278"/>
      <c r="G26" s="278"/>
      <c r="H26" s="348"/>
      <c r="I26" s="352"/>
      <c r="K26" s="255"/>
      <c r="L26" s="255"/>
      <c r="M26" s="255"/>
      <c r="N26" s="255"/>
    </row>
    <row r="27" spans="1:15" ht="15.6" customHeight="1" x14ac:dyDescent="0.25">
      <c r="A27" s="390"/>
      <c r="B27" s="308" t="s">
        <v>431</v>
      </c>
      <c r="C27" s="273" t="s">
        <v>500</v>
      </c>
      <c r="D27" s="267" t="s">
        <v>622</v>
      </c>
      <c r="E27" s="255"/>
      <c r="F27" s="255"/>
      <c r="G27" s="266"/>
      <c r="H27" s="272" t="s">
        <v>497</v>
      </c>
      <c r="I27" s="354"/>
      <c r="K27" s="255"/>
      <c r="L27" s="255"/>
      <c r="M27" s="255"/>
      <c r="N27" s="255"/>
    </row>
    <row r="28" spans="1:15" ht="15.6" customHeight="1" x14ac:dyDescent="0.25">
      <c r="A28" s="390"/>
      <c r="B28" s="304" t="s">
        <v>460</v>
      </c>
      <c r="C28" s="268"/>
      <c r="D28" s="267"/>
      <c r="E28" s="255"/>
      <c r="F28" s="255"/>
      <c r="G28" s="266"/>
      <c r="H28" s="265"/>
      <c r="I28" s="351"/>
    </row>
    <row r="29" spans="1:15" ht="15.6" customHeight="1" x14ac:dyDescent="0.25">
      <c r="A29" s="390"/>
      <c r="B29" s="306"/>
      <c r="C29" s="268"/>
      <c r="D29" s="267"/>
      <c r="E29" s="255"/>
      <c r="F29" s="255"/>
      <c r="G29" s="266"/>
      <c r="H29" s="265"/>
      <c r="I29" s="351"/>
    </row>
    <row r="30" spans="1:15" ht="15.6" customHeight="1" x14ac:dyDescent="0.25">
      <c r="A30" s="391"/>
      <c r="B30" s="254"/>
      <c r="C30" s="265"/>
      <c r="D30" s="267"/>
      <c r="E30" s="255"/>
      <c r="F30" s="255"/>
      <c r="G30" s="266"/>
      <c r="H30" s="265"/>
      <c r="I30" s="355"/>
    </row>
    <row r="31" spans="1:15" ht="15.6" customHeight="1" x14ac:dyDescent="0.25">
      <c r="A31" s="927" t="s">
        <v>428</v>
      </c>
      <c r="B31" s="860"/>
      <c r="C31" s="860"/>
      <c r="D31" s="860"/>
      <c r="E31" s="860"/>
      <c r="F31" s="860"/>
      <c r="G31" s="860"/>
      <c r="H31" s="860"/>
      <c r="I31" s="928"/>
      <c r="K31" s="255"/>
      <c r="L31" s="255"/>
      <c r="M31" s="255"/>
      <c r="N31" s="255"/>
      <c r="O31" s="255"/>
    </row>
    <row r="32" spans="1:15" ht="15.6" customHeight="1" x14ac:dyDescent="0.25">
      <c r="A32" s="929"/>
      <c r="B32" s="863"/>
      <c r="C32" s="863"/>
      <c r="D32" s="863"/>
      <c r="E32" s="863"/>
      <c r="F32" s="863"/>
      <c r="G32" s="863"/>
      <c r="H32" s="863"/>
      <c r="I32" s="930"/>
      <c r="K32" s="255"/>
      <c r="L32" s="255"/>
      <c r="M32" s="255"/>
      <c r="N32" s="255"/>
      <c r="O32" s="255"/>
    </row>
    <row r="33" spans="1:15" ht="9.75" customHeight="1" x14ac:dyDescent="0.25">
      <c r="A33" s="931"/>
      <c r="B33" s="932"/>
      <c r="C33" s="932"/>
      <c r="D33" s="932"/>
      <c r="E33" s="932"/>
      <c r="F33" s="932"/>
      <c r="G33" s="932"/>
      <c r="H33" s="932"/>
      <c r="I33" s="933"/>
      <c r="K33" s="255"/>
      <c r="L33" s="255"/>
      <c r="M33" s="255"/>
      <c r="N33" s="255"/>
      <c r="O33" s="255"/>
    </row>
    <row r="34" spans="1:15" ht="15.6" customHeight="1" x14ac:dyDescent="0.25">
      <c r="A34" s="356"/>
      <c r="B34" s="290" t="s">
        <v>427</v>
      </c>
      <c r="C34" s="283" t="s">
        <v>426</v>
      </c>
      <c r="D34" s="267" t="s">
        <v>623</v>
      </c>
      <c r="E34" s="255"/>
      <c r="F34" s="255"/>
      <c r="G34" s="266"/>
      <c r="H34" s="282" t="s">
        <v>425</v>
      </c>
      <c r="I34" s="376"/>
      <c r="K34" s="255"/>
      <c r="L34" s="255"/>
      <c r="M34" s="255"/>
      <c r="N34" s="255"/>
      <c r="O34" s="255"/>
    </row>
    <row r="35" spans="1:15" ht="15.6" customHeight="1" x14ac:dyDescent="0.25">
      <c r="A35" s="356"/>
      <c r="B35" s="319" t="s">
        <v>461</v>
      </c>
      <c r="C35" s="283" t="s">
        <v>430</v>
      </c>
      <c r="D35" s="267" t="s">
        <v>624</v>
      </c>
      <c r="E35" s="255"/>
      <c r="F35" s="255"/>
      <c r="G35" s="266"/>
      <c r="H35" s="282" t="s">
        <v>497</v>
      </c>
      <c r="I35" s="351"/>
      <c r="K35" s="255"/>
      <c r="L35" s="255"/>
      <c r="M35" s="255"/>
      <c r="N35" s="255"/>
      <c r="O35" s="255"/>
    </row>
    <row r="36" spans="1:15" ht="15.6" customHeight="1" x14ac:dyDescent="0.25">
      <c r="A36" s="356"/>
      <c r="B36" s="269"/>
      <c r="C36" s="283"/>
      <c r="D36" s="267"/>
      <c r="E36" s="255"/>
      <c r="F36" s="255"/>
      <c r="G36" s="266"/>
      <c r="H36" s="282"/>
      <c r="I36" s="351"/>
      <c r="K36" s="255"/>
      <c r="L36" s="255"/>
      <c r="M36" s="255"/>
      <c r="N36" s="255"/>
      <c r="O36" s="255"/>
    </row>
    <row r="37" spans="1:15" ht="15.6" customHeight="1" x14ac:dyDescent="0.25">
      <c r="A37" s="356"/>
      <c r="B37" s="281"/>
      <c r="C37" s="280"/>
      <c r="D37" s="279"/>
      <c r="E37" s="278"/>
      <c r="F37" s="278"/>
      <c r="G37" s="277"/>
      <c r="H37" s="276"/>
      <c r="I37" s="352"/>
    </row>
    <row r="38" spans="1:15" ht="15.6" customHeight="1" x14ac:dyDescent="0.25">
      <c r="A38" s="356"/>
      <c r="B38" s="274" t="s">
        <v>423</v>
      </c>
      <c r="C38" s="273" t="s">
        <v>429</v>
      </c>
      <c r="D38" s="267" t="s">
        <v>625</v>
      </c>
      <c r="E38" s="255"/>
      <c r="F38" s="255"/>
      <c r="G38" s="266"/>
      <c r="H38" s="272" t="s">
        <v>497</v>
      </c>
      <c r="I38" s="354" t="s">
        <v>591</v>
      </c>
    </row>
    <row r="39" spans="1:15" ht="15.6" customHeight="1" x14ac:dyDescent="0.25">
      <c r="A39" s="356"/>
      <c r="B39" s="270" t="s">
        <v>462</v>
      </c>
      <c r="C39" s="268" t="s">
        <v>430</v>
      </c>
      <c r="D39" s="267" t="s">
        <v>626</v>
      </c>
      <c r="E39" s="255"/>
      <c r="F39" s="255"/>
      <c r="G39" s="266"/>
      <c r="H39" s="265" t="s">
        <v>425</v>
      </c>
      <c r="I39" s="351"/>
    </row>
    <row r="40" spans="1:15" ht="15.6" customHeight="1" x14ac:dyDescent="0.25">
      <c r="A40" s="356"/>
      <c r="B40" s="269"/>
      <c r="C40" s="268" t="s">
        <v>495</v>
      </c>
      <c r="D40" s="267" t="s">
        <v>457</v>
      </c>
      <c r="E40" s="255"/>
      <c r="F40" s="255"/>
      <c r="G40" s="266"/>
      <c r="H40" s="265" t="s">
        <v>424</v>
      </c>
      <c r="I40" s="350"/>
    </row>
    <row r="41" spans="1:15" ht="15.6" customHeight="1" x14ac:dyDescent="0.25">
      <c r="A41" s="357"/>
      <c r="B41" s="358"/>
      <c r="C41" s="291"/>
      <c r="D41" s="279"/>
      <c r="E41" s="278"/>
      <c r="F41" s="278"/>
      <c r="G41" s="277"/>
      <c r="H41" s="291"/>
      <c r="I41" s="352"/>
    </row>
    <row r="42" spans="1:15" ht="6.95" customHeight="1" x14ac:dyDescent="0.25">
      <c r="A42" s="255"/>
      <c r="B42" s="257"/>
      <c r="C42" s="256"/>
      <c r="D42" s="255"/>
      <c r="E42" s="255"/>
      <c r="F42" s="255"/>
      <c r="G42" s="255"/>
      <c r="H42" s="255"/>
      <c r="I42" s="255"/>
    </row>
    <row r="43" spans="1:15" ht="15.6" customHeight="1" x14ac:dyDescent="0.25">
      <c r="A43" s="867" t="s">
        <v>422</v>
      </c>
      <c r="B43" s="868"/>
      <c r="C43" s="868"/>
      <c r="D43" s="869"/>
      <c r="E43" s="867" t="s">
        <v>421</v>
      </c>
      <c r="F43" s="868"/>
      <c r="G43" s="867" t="s">
        <v>420</v>
      </c>
      <c r="H43" s="868"/>
      <c r="I43" s="869"/>
    </row>
    <row r="44" spans="1:15" ht="15.6" customHeight="1" x14ac:dyDescent="0.25">
      <c r="A44" s="870"/>
      <c r="B44" s="871"/>
      <c r="C44" s="871"/>
      <c r="D44" s="872"/>
      <c r="E44" s="870"/>
      <c r="F44" s="871"/>
      <c r="G44" s="873"/>
      <c r="H44" s="874"/>
      <c r="I44" s="875"/>
    </row>
    <row r="45" spans="1:15" ht="15.6" customHeight="1" x14ac:dyDescent="0.25">
      <c r="A45" s="988" t="s">
        <v>627</v>
      </c>
      <c r="B45" s="989"/>
      <c r="C45" s="989"/>
      <c r="D45" s="989"/>
      <c r="E45" s="954"/>
      <c r="F45" s="955"/>
      <c r="G45" s="990"/>
      <c r="H45" s="990"/>
      <c r="I45" s="991"/>
    </row>
    <row r="46" spans="1:15" ht="15.6" customHeight="1" x14ac:dyDescent="0.25">
      <c r="A46" s="992"/>
      <c r="B46" s="993"/>
      <c r="C46" s="993"/>
      <c r="D46" s="993"/>
      <c r="E46" s="958"/>
      <c r="F46" s="959"/>
      <c r="G46" s="994"/>
      <c r="H46" s="994"/>
      <c r="I46" s="995"/>
    </row>
    <row r="47" spans="1:15" ht="15.6" customHeight="1" x14ac:dyDescent="0.25">
      <c r="A47" s="996"/>
      <c r="B47" s="997"/>
      <c r="C47" s="997"/>
      <c r="D47" s="997"/>
      <c r="E47" s="374"/>
      <c r="F47" s="375"/>
      <c r="G47" s="994"/>
      <c r="H47" s="994"/>
      <c r="I47" s="995"/>
    </row>
    <row r="48" spans="1:15" ht="15.6" customHeight="1" x14ac:dyDescent="0.25">
      <c r="A48" s="970"/>
      <c r="B48" s="922"/>
      <c r="C48" s="922"/>
      <c r="D48" s="922"/>
      <c r="E48" s="960"/>
      <c r="F48" s="961"/>
      <c r="G48" s="840" t="s">
        <v>628</v>
      </c>
      <c r="H48" s="840"/>
      <c r="I48" s="841"/>
    </row>
    <row r="49" spans="1:9" ht="15.6" customHeight="1" x14ac:dyDescent="0.25">
      <c r="A49" s="962"/>
      <c r="B49" s="963"/>
      <c r="C49" s="963"/>
      <c r="D49" s="964"/>
      <c r="E49" s="965"/>
      <c r="F49" s="966"/>
      <c r="G49" s="843"/>
      <c r="H49" s="843"/>
      <c r="I49" s="844"/>
    </row>
    <row r="50" spans="1:9" ht="15.6" customHeight="1" x14ac:dyDescent="0.25">
      <c r="A50" s="827"/>
      <c r="B50" s="828"/>
      <c r="C50" s="828"/>
      <c r="D50" s="828"/>
      <c r="E50" s="830"/>
      <c r="F50" s="831"/>
      <c r="G50" s="833"/>
      <c r="H50" s="833"/>
      <c r="I50" s="834"/>
    </row>
    <row r="51" spans="1:9" ht="15.75" customHeight="1" x14ac:dyDescent="0.25"/>
    <row r="52" spans="1:9" ht="15.75" customHeight="1" x14ac:dyDescent="0.25"/>
    <row r="53" spans="1:9" ht="15.75" customHeight="1" x14ac:dyDescent="0.25"/>
    <row r="54" spans="1:9" ht="15.75" customHeight="1" x14ac:dyDescent="0.25"/>
    <row r="55" spans="1:9" ht="15.75" customHeight="1" x14ac:dyDescent="0.25"/>
  </sheetData>
  <mergeCells count="39">
    <mergeCell ref="A50:D50"/>
    <mergeCell ref="E50:F50"/>
    <mergeCell ref="G50:I50"/>
    <mergeCell ref="A47:D47"/>
    <mergeCell ref="G47:I47"/>
    <mergeCell ref="A48:D48"/>
    <mergeCell ref="E48:F48"/>
    <mergeCell ref="G48:I48"/>
    <mergeCell ref="A49:D49"/>
    <mergeCell ref="E49:F49"/>
    <mergeCell ref="G49:I49"/>
    <mergeCell ref="A45:D45"/>
    <mergeCell ref="E45:F45"/>
    <mergeCell ref="G45:I45"/>
    <mergeCell ref="A46:D46"/>
    <mergeCell ref="E46:F46"/>
    <mergeCell ref="G46:I46"/>
    <mergeCell ref="A18:I18"/>
    <mergeCell ref="D21:G21"/>
    <mergeCell ref="A31:I32"/>
    <mergeCell ref="A33:I33"/>
    <mergeCell ref="A43:D44"/>
    <mergeCell ref="E43:F44"/>
    <mergeCell ref="G43:I44"/>
    <mergeCell ref="A7:B8"/>
    <mergeCell ref="C7:H8"/>
    <mergeCell ref="I7:I8"/>
    <mergeCell ref="A16:B17"/>
    <mergeCell ref="C16:C17"/>
    <mergeCell ref="D16:G17"/>
    <mergeCell ref="H16:H17"/>
    <mergeCell ref="I16:I17"/>
    <mergeCell ref="A1:E2"/>
    <mergeCell ref="F1:H2"/>
    <mergeCell ref="I1:I2"/>
    <mergeCell ref="A4:B4"/>
    <mergeCell ref="A5:B6"/>
    <mergeCell ref="C5:H6"/>
    <mergeCell ref="I5:I6"/>
  </mergeCells>
  <hyperlinks>
    <hyperlink ref="I38" r:id="rId1" location="doc/11881/44" display="https://edu.suissetec.ch/ - doc/11881/44" xr:uid="{1F797965-2D64-4B3E-A53F-ACDF8C74B8DF}"/>
  </hyperlinks>
  <pageMargins left="0.25" right="0.25" top="0.75" bottom="0.75" header="0.3" footer="0.3"/>
  <pageSetup paperSize="9" orientation="portrait" r:id="rId2"/>
  <headerFooter>
    <oddHeader>&amp;LGBS SG&amp;CSSPb23-25&amp;RBKU</oddHeader>
    <oddFooter>&amp;R&amp;"Century Gothic,Standard"&amp;9ART &amp;D</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BFF57-BDBD-42C3-9C29-D0008E1E5E19}">
  <dimension ref="A1:O55"/>
  <sheetViews>
    <sheetView view="pageLayout" zoomScale="85" zoomScaleNormal="100" zoomScalePageLayoutView="85" workbookViewId="0">
      <selection activeCell="E30" sqref="E30"/>
    </sheetView>
  </sheetViews>
  <sheetFormatPr baseColWidth="10" defaultColWidth="11.42578125" defaultRowHeight="15" x14ac:dyDescent="0.25"/>
  <cols>
    <col min="1" max="1" width="1.5703125" customWidth="1"/>
    <col min="2" max="2" width="13.85546875" customWidth="1"/>
    <col min="3" max="3" width="4.7109375" customWidth="1"/>
    <col min="4" max="4" width="16.28515625" customWidth="1"/>
    <col min="5" max="5" width="13.28515625" customWidth="1"/>
    <col min="6" max="6" width="13" customWidth="1"/>
    <col min="7" max="7" width="12.7109375" customWidth="1"/>
    <col min="8" max="8" width="4.85546875" customWidth="1"/>
    <col min="9" max="9" width="16.7109375" customWidth="1"/>
  </cols>
  <sheetData>
    <row r="1" spans="1:9" ht="15" customHeight="1" x14ac:dyDescent="0.25">
      <c r="A1" s="884" t="s">
        <v>443</v>
      </c>
      <c r="B1" s="885"/>
      <c r="C1" s="885"/>
      <c r="D1" s="885"/>
      <c r="E1" s="886"/>
      <c r="F1" s="890">
        <f>Kompetenzraster!R25</f>
        <v>45609</v>
      </c>
      <c r="G1" s="891"/>
      <c r="H1" s="892"/>
      <c r="I1" s="896">
        <v>10</v>
      </c>
    </row>
    <row r="2" spans="1:9" ht="15" customHeight="1" x14ac:dyDescent="0.25">
      <c r="A2" s="887"/>
      <c r="B2" s="888"/>
      <c r="C2" s="888"/>
      <c r="D2" s="888"/>
      <c r="E2" s="889"/>
      <c r="F2" s="893"/>
      <c r="G2" s="894"/>
      <c r="H2" s="895"/>
      <c r="I2" s="896"/>
    </row>
    <row r="3" spans="1:9" ht="15.75" customHeight="1" x14ac:dyDescent="0.25">
      <c r="A3" s="255"/>
      <c r="B3" s="303"/>
      <c r="C3" s="303"/>
      <c r="D3" s="303"/>
      <c r="E3" s="303"/>
      <c r="F3" s="301"/>
      <c r="G3" s="301"/>
      <c r="H3" s="301"/>
      <c r="I3" s="301"/>
    </row>
    <row r="4" spans="1:9" ht="15.75" customHeight="1" x14ac:dyDescent="0.25">
      <c r="A4" s="897" t="s">
        <v>442</v>
      </c>
      <c r="B4" s="897"/>
      <c r="C4" s="303"/>
      <c r="D4" s="303"/>
      <c r="E4" s="303"/>
      <c r="F4" s="301"/>
      <c r="G4" s="301"/>
      <c r="H4" s="301"/>
      <c r="I4" s="301"/>
    </row>
    <row r="5" spans="1:9" ht="14.25" customHeight="1" x14ac:dyDescent="0.25">
      <c r="A5" s="974" t="s">
        <v>445</v>
      </c>
      <c r="B5" s="975"/>
      <c r="C5" s="978" t="s">
        <v>564</v>
      </c>
      <c r="D5" s="979"/>
      <c r="E5" s="979"/>
      <c r="F5" s="979"/>
      <c r="G5" s="979"/>
      <c r="H5" s="980"/>
      <c r="I5" s="984">
        <v>3.7</v>
      </c>
    </row>
    <row r="6" spans="1:9" ht="14.25" customHeight="1" x14ac:dyDescent="0.25">
      <c r="A6" s="976"/>
      <c r="B6" s="977"/>
      <c r="C6" s="981"/>
      <c r="D6" s="982"/>
      <c r="E6" s="982"/>
      <c r="F6" s="982"/>
      <c r="G6" s="982"/>
      <c r="H6" s="983"/>
      <c r="I6" s="984"/>
    </row>
    <row r="7" spans="1:9" ht="14.25" customHeight="1" x14ac:dyDescent="0.25">
      <c r="A7" s="911" t="s">
        <v>446</v>
      </c>
      <c r="B7" s="912"/>
      <c r="C7" s="899" t="s">
        <v>617</v>
      </c>
      <c r="D7" s="900"/>
      <c r="E7" s="900"/>
      <c r="F7" s="900"/>
      <c r="G7" s="900"/>
      <c r="H7" s="901"/>
      <c r="I7" s="919">
        <v>3.3</v>
      </c>
    </row>
    <row r="8" spans="1:9" ht="14.25" customHeight="1" x14ac:dyDescent="0.25">
      <c r="A8" s="913"/>
      <c r="B8" s="914"/>
      <c r="C8" s="902"/>
      <c r="D8" s="903"/>
      <c r="E8" s="903"/>
      <c r="F8" s="903"/>
      <c r="G8" s="903"/>
      <c r="H8" s="904"/>
      <c r="I8" s="920"/>
    </row>
    <row r="9" spans="1:9" ht="15.75" customHeight="1" x14ac:dyDescent="0.25">
      <c r="A9" s="255"/>
      <c r="B9" s="302"/>
      <c r="C9" s="302"/>
      <c r="D9" s="302"/>
      <c r="E9" s="302"/>
      <c r="F9" s="302"/>
      <c r="G9" s="302"/>
      <c r="H9" s="302"/>
      <c r="I9" s="301"/>
    </row>
    <row r="10" spans="1:9" ht="15.75" customHeight="1" x14ac:dyDescent="0.25">
      <c r="A10" s="300" t="s">
        <v>441</v>
      </c>
      <c r="B10" s="299"/>
      <c r="C10" s="299"/>
      <c r="D10" s="299"/>
      <c r="E10" s="299"/>
      <c r="F10" s="299"/>
      <c r="G10" s="299"/>
      <c r="H10" s="299"/>
      <c r="I10" s="298"/>
    </row>
    <row r="11" spans="1:9" ht="15.75" customHeight="1" x14ac:dyDescent="0.25">
      <c r="A11" s="388"/>
      <c r="B11" s="255" t="s">
        <v>618</v>
      </c>
      <c r="C11" s="255"/>
      <c r="D11" s="255"/>
      <c r="E11" s="255"/>
      <c r="F11" s="255"/>
      <c r="G11" s="255"/>
      <c r="H11" s="255"/>
      <c r="I11" s="266"/>
    </row>
    <row r="12" spans="1:9" ht="15.75" customHeight="1" x14ac:dyDescent="0.25">
      <c r="A12" s="389"/>
      <c r="B12" s="255" t="s">
        <v>629</v>
      </c>
      <c r="C12" s="255"/>
      <c r="D12" s="255"/>
      <c r="E12" s="255"/>
      <c r="F12" s="255"/>
      <c r="G12" s="255"/>
      <c r="H12" s="255"/>
      <c r="I12" s="266"/>
    </row>
    <row r="13" spans="1:9" ht="15.75" customHeight="1" x14ac:dyDescent="0.25">
      <c r="A13" s="315"/>
      <c r="B13" s="255" t="s">
        <v>630</v>
      </c>
      <c r="C13" s="255"/>
      <c r="D13" s="255"/>
      <c r="E13" s="255"/>
      <c r="F13" s="255"/>
      <c r="G13" s="255"/>
      <c r="H13" s="255"/>
      <c r="I13" s="266"/>
    </row>
    <row r="14" spans="1:9" ht="15.75" customHeight="1" x14ac:dyDescent="0.25">
      <c r="A14" s="316"/>
      <c r="B14" s="278" t="s">
        <v>631</v>
      </c>
      <c r="C14" s="278"/>
      <c r="D14" s="278"/>
      <c r="E14" s="278"/>
      <c r="F14" s="278"/>
      <c r="G14" s="278"/>
      <c r="H14" s="278"/>
      <c r="I14" s="277"/>
    </row>
    <row r="15" spans="1:9" ht="6.95" customHeight="1" thickBot="1" x14ac:dyDescent="0.3">
      <c r="A15" s="255"/>
      <c r="B15" s="297"/>
      <c r="C15" s="297"/>
      <c r="D15" s="297"/>
      <c r="E15" s="297"/>
      <c r="F15" s="297"/>
      <c r="G15" s="297"/>
      <c r="H15" s="255"/>
      <c r="I15" s="255"/>
    </row>
    <row r="16" spans="1:9" ht="15.6" customHeight="1" x14ac:dyDescent="0.25">
      <c r="A16" s="876" t="s">
        <v>440</v>
      </c>
      <c r="B16" s="877"/>
      <c r="C16" s="877" t="s">
        <v>439</v>
      </c>
      <c r="D16" s="877" t="s">
        <v>438</v>
      </c>
      <c r="E16" s="877"/>
      <c r="F16" s="877"/>
      <c r="G16" s="877"/>
      <c r="H16" s="880" t="s">
        <v>437</v>
      </c>
      <c r="I16" s="882" t="s">
        <v>436</v>
      </c>
    </row>
    <row r="17" spans="1:15" ht="15.6" customHeight="1" x14ac:dyDescent="0.25">
      <c r="A17" s="878"/>
      <c r="B17" s="879"/>
      <c r="C17" s="879"/>
      <c r="D17" s="879"/>
      <c r="E17" s="879"/>
      <c r="F17" s="879"/>
      <c r="G17" s="879"/>
      <c r="H17" s="881"/>
      <c r="I17" s="883"/>
    </row>
    <row r="18" spans="1:15" ht="9.75" customHeight="1" x14ac:dyDescent="0.25">
      <c r="A18" s="985"/>
      <c r="B18" s="986"/>
      <c r="C18" s="986"/>
      <c r="D18" s="986"/>
      <c r="E18" s="986"/>
      <c r="F18" s="986"/>
      <c r="G18" s="986"/>
      <c r="H18" s="986"/>
      <c r="I18" s="987"/>
    </row>
    <row r="19" spans="1:15" ht="15.6" customHeight="1" x14ac:dyDescent="0.25">
      <c r="A19" s="390"/>
      <c r="B19" s="309" t="s">
        <v>435</v>
      </c>
      <c r="C19" s="310" t="s">
        <v>495</v>
      </c>
      <c r="D19" s="267" t="s">
        <v>588</v>
      </c>
      <c r="E19" s="255"/>
      <c r="F19" s="255"/>
      <c r="G19" s="294"/>
      <c r="H19" s="282" t="s">
        <v>424</v>
      </c>
      <c r="I19" s="353"/>
    </row>
    <row r="20" spans="1:15" ht="15.6" customHeight="1" x14ac:dyDescent="0.25">
      <c r="A20" s="390"/>
      <c r="B20" s="304" t="s">
        <v>458</v>
      </c>
      <c r="C20" s="283" t="s">
        <v>534</v>
      </c>
      <c r="D20" s="267" t="s">
        <v>632</v>
      </c>
      <c r="E20" s="255"/>
      <c r="F20" s="255"/>
      <c r="G20" s="266"/>
      <c r="H20" s="282" t="s">
        <v>497</v>
      </c>
      <c r="I20" s="350"/>
      <c r="K20" s="255"/>
      <c r="L20" s="255"/>
      <c r="M20" s="255"/>
      <c r="N20" s="296"/>
    </row>
    <row r="21" spans="1:15" ht="15.6" customHeight="1" x14ac:dyDescent="0.25">
      <c r="A21" s="390"/>
      <c r="B21" s="306"/>
      <c r="C21" s="283"/>
      <c r="D21" s="967"/>
      <c r="E21" s="968"/>
      <c r="F21" s="968"/>
      <c r="G21" s="969"/>
      <c r="H21" s="282"/>
      <c r="I21" s="386"/>
      <c r="K21" s="255"/>
      <c r="L21" s="255"/>
      <c r="M21" s="255"/>
      <c r="N21" s="255"/>
    </row>
    <row r="22" spans="1:15" ht="15.6" customHeight="1" x14ac:dyDescent="0.25">
      <c r="A22" s="390"/>
      <c r="B22" s="307"/>
      <c r="C22" s="280"/>
      <c r="D22" s="267"/>
      <c r="E22" s="255"/>
      <c r="F22" s="255"/>
      <c r="G22" s="266"/>
      <c r="H22" s="276"/>
      <c r="I22" s="387"/>
      <c r="K22" s="255"/>
      <c r="L22" s="255"/>
      <c r="M22" s="255"/>
      <c r="N22" s="255"/>
    </row>
    <row r="23" spans="1:15" ht="15.6" customHeight="1" x14ac:dyDescent="0.25">
      <c r="A23" s="390"/>
      <c r="B23" s="305" t="s">
        <v>432</v>
      </c>
      <c r="C23" s="273" t="s">
        <v>500</v>
      </c>
      <c r="D23" s="287" t="s">
        <v>633</v>
      </c>
      <c r="E23" s="287"/>
      <c r="F23" s="287"/>
      <c r="G23" s="293"/>
      <c r="H23" s="347" t="s">
        <v>497</v>
      </c>
      <c r="I23" s="349"/>
      <c r="K23" s="255"/>
      <c r="L23" s="255"/>
      <c r="M23" s="255"/>
      <c r="N23" s="255"/>
    </row>
    <row r="24" spans="1:15" ht="15.6" customHeight="1" x14ac:dyDescent="0.25">
      <c r="A24" s="390"/>
      <c r="B24" s="304" t="s">
        <v>459</v>
      </c>
      <c r="C24" s="268"/>
      <c r="D24" s="255"/>
      <c r="E24" s="255"/>
      <c r="F24" s="255"/>
      <c r="G24" s="255"/>
      <c r="H24" s="310"/>
      <c r="I24" s="386"/>
      <c r="K24" s="255"/>
      <c r="L24" s="255"/>
      <c r="M24" s="255"/>
      <c r="N24" s="255"/>
    </row>
    <row r="25" spans="1:15" ht="15.6" customHeight="1" x14ac:dyDescent="0.25">
      <c r="A25" s="390"/>
      <c r="B25" s="306"/>
      <c r="C25" s="268"/>
      <c r="D25" s="255"/>
      <c r="E25" s="255"/>
      <c r="F25" s="255"/>
      <c r="G25" s="255"/>
      <c r="H25" s="310"/>
      <c r="I25" s="386"/>
      <c r="K25" s="255"/>
      <c r="L25" s="255"/>
      <c r="M25" s="255"/>
      <c r="N25" s="255"/>
    </row>
    <row r="26" spans="1:15" ht="15.6" customHeight="1" x14ac:dyDescent="0.25">
      <c r="A26" s="390"/>
      <c r="B26" s="307"/>
      <c r="C26" s="292"/>
      <c r="D26" s="278"/>
      <c r="E26" s="278"/>
      <c r="F26" s="278"/>
      <c r="G26" s="278"/>
      <c r="H26" s="348"/>
      <c r="I26" s="352"/>
      <c r="K26" s="255"/>
      <c r="L26" s="255"/>
      <c r="M26" s="255"/>
      <c r="N26" s="255"/>
    </row>
    <row r="27" spans="1:15" ht="15.6" customHeight="1" x14ac:dyDescent="0.25">
      <c r="A27" s="390"/>
      <c r="B27" s="308" t="s">
        <v>431</v>
      </c>
      <c r="C27" s="273" t="s">
        <v>495</v>
      </c>
      <c r="D27" s="267" t="s">
        <v>634</v>
      </c>
      <c r="E27" s="255"/>
      <c r="F27" s="255"/>
      <c r="G27" s="266"/>
      <c r="H27" s="272" t="s">
        <v>497</v>
      </c>
      <c r="I27" s="354"/>
      <c r="K27" s="255"/>
      <c r="L27" s="255"/>
      <c r="M27" s="255"/>
      <c r="N27" s="255"/>
    </row>
    <row r="28" spans="1:15" ht="15.6" customHeight="1" x14ac:dyDescent="0.25">
      <c r="A28" s="390"/>
      <c r="B28" s="304" t="s">
        <v>460</v>
      </c>
      <c r="C28" s="268" t="s">
        <v>534</v>
      </c>
      <c r="D28" s="267" t="s">
        <v>635</v>
      </c>
      <c r="E28" s="255"/>
      <c r="F28" s="255"/>
      <c r="G28" s="266"/>
      <c r="H28" s="265"/>
      <c r="I28" s="351" t="s">
        <v>640</v>
      </c>
    </row>
    <row r="29" spans="1:15" ht="15.6" customHeight="1" x14ac:dyDescent="0.25">
      <c r="A29" s="390"/>
      <c r="B29" s="306"/>
      <c r="C29" s="268"/>
      <c r="D29" s="267"/>
      <c r="E29" s="255"/>
      <c r="F29" s="255"/>
      <c r="G29" s="266"/>
      <c r="H29" s="265"/>
      <c r="I29" s="351"/>
    </row>
    <row r="30" spans="1:15" ht="15.6" customHeight="1" x14ac:dyDescent="0.25">
      <c r="A30" s="391"/>
      <c r="B30" s="254"/>
      <c r="C30" s="265"/>
      <c r="D30" s="267"/>
      <c r="E30" s="255"/>
      <c r="F30" s="255"/>
      <c r="G30" s="266"/>
      <c r="H30" s="265"/>
      <c r="I30" s="355"/>
    </row>
    <row r="31" spans="1:15" ht="15.6" customHeight="1" x14ac:dyDescent="0.25">
      <c r="A31" s="927" t="s">
        <v>428</v>
      </c>
      <c r="B31" s="860"/>
      <c r="C31" s="860"/>
      <c r="D31" s="860"/>
      <c r="E31" s="860"/>
      <c r="F31" s="860"/>
      <c r="G31" s="860"/>
      <c r="H31" s="860"/>
      <c r="I31" s="928"/>
      <c r="K31" s="255"/>
      <c r="L31" s="255"/>
      <c r="M31" s="255"/>
      <c r="N31" s="255"/>
      <c r="O31" s="255"/>
    </row>
    <row r="32" spans="1:15" ht="15.6" customHeight="1" x14ac:dyDescent="0.25">
      <c r="A32" s="929"/>
      <c r="B32" s="863"/>
      <c r="C32" s="863"/>
      <c r="D32" s="863"/>
      <c r="E32" s="863"/>
      <c r="F32" s="863"/>
      <c r="G32" s="863"/>
      <c r="H32" s="863"/>
      <c r="I32" s="930"/>
      <c r="K32" s="255"/>
      <c r="L32" s="255"/>
      <c r="M32" s="255"/>
      <c r="N32" s="255"/>
      <c r="O32" s="255"/>
    </row>
    <row r="33" spans="1:15" ht="9.75" customHeight="1" x14ac:dyDescent="0.25">
      <c r="A33" s="931"/>
      <c r="B33" s="932"/>
      <c r="C33" s="932"/>
      <c r="D33" s="932"/>
      <c r="E33" s="932"/>
      <c r="F33" s="932"/>
      <c r="G33" s="932"/>
      <c r="H33" s="932"/>
      <c r="I33" s="933"/>
      <c r="K33" s="255"/>
      <c r="L33" s="255"/>
      <c r="M33" s="255"/>
      <c r="N33" s="255"/>
      <c r="O33" s="255"/>
    </row>
    <row r="34" spans="1:15" ht="15.6" customHeight="1" x14ac:dyDescent="0.25">
      <c r="A34" s="356"/>
      <c r="B34" s="290" t="s">
        <v>427</v>
      </c>
      <c r="C34" s="283" t="s">
        <v>495</v>
      </c>
      <c r="D34" s="267" t="s">
        <v>636</v>
      </c>
      <c r="E34" s="255"/>
      <c r="F34" s="255"/>
      <c r="G34" s="266"/>
      <c r="H34" s="282" t="s">
        <v>425</v>
      </c>
      <c r="I34" s="376"/>
      <c r="K34" s="255"/>
      <c r="L34" s="255"/>
      <c r="M34" s="255"/>
      <c r="N34" s="255"/>
      <c r="O34" s="255"/>
    </row>
    <row r="35" spans="1:15" ht="15.6" customHeight="1" x14ac:dyDescent="0.25">
      <c r="A35" s="356"/>
      <c r="B35" s="319" t="s">
        <v>461</v>
      </c>
      <c r="C35" s="283" t="s">
        <v>534</v>
      </c>
      <c r="D35" s="267" t="s">
        <v>637</v>
      </c>
      <c r="E35" s="255"/>
      <c r="F35" s="255"/>
      <c r="G35" s="266"/>
      <c r="H35" s="282" t="s">
        <v>497</v>
      </c>
      <c r="I35" s="351"/>
      <c r="K35" s="255"/>
      <c r="L35" s="255"/>
      <c r="M35" s="255"/>
      <c r="N35" s="255"/>
      <c r="O35" s="255"/>
    </row>
    <row r="36" spans="1:15" ht="15.6" customHeight="1" x14ac:dyDescent="0.25">
      <c r="A36" s="356"/>
      <c r="B36" s="269"/>
      <c r="C36" s="283"/>
      <c r="D36" s="267"/>
      <c r="E36" s="255"/>
      <c r="F36" s="255"/>
      <c r="G36" s="266"/>
      <c r="H36" s="282"/>
      <c r="I36" s="351"/>
      <c r="K36" s="255"/>
      <c r="L36" s="255"/>
      <c r="M36" s="255"/>
      <c r="N36" s="255"/>
      <c r="O36" s="255"/>
    </row>
    <row r="37" spans="1:15" ht="15.6" customHeight="1" x14ac:dyDescent="0.25">
      <c r="A37" s="356"/>
      <c r="B37" s="281"/>
      <c r="C37" s="280"/>
      <c r="D37" s="279"/>
      <c r="E37" s="278"/>
      <c r="F37" s="278"/>
      <c r="G37" s="277"/>
      <c r="H37" s="276"/>
      <c r="I37" s="352"/>
    </row>
    <row r="38" spans="1:15" ht="15.6" customHeight="1" x14ac:dyDescent="0.25">
      <c r="A38" s="356"/>
      <c r="B38" s="274" t="s">
        <v>423</v>
      </c>
      <c r="C38" s="273" t="s">
        <v>429</v>
      </c>
      <c r="D38" s="267" t="s">
        <v>625</v>
      </c>
      <c r="E38" s="255"/>
      <c r="F38" s="255"/>
      <c r="G38" s="266"/>
      <c r="H38" s="272" t="s">
        <v>497</v>
      </c>
      <c r="I38" s="354" t="s">
        <v>591</v>
      </c>
    </row>
    <row r="39" spans="1:15" ht="15.6" customHeight="1" x14ac:dyDescent="0.25">
      <c r="A39" s="356"/>
      <c r="B39" s="270" t="s">
        <v>462</v>
      </c>
      <c r="C39" s="268" t="s">
        <v>430</v>
      </c>
      <c r="D39" s="267" t="s">
        <v>626</v>
      </c>
      <c r="E39" s="255"/>
      <c r="F39" s="255"/>
      <c r="G39" s="266"/>
      <c r="H39" s="265" t="s">
        <v>425</v>
      </c>
      <c r="I39" s="351"/>
    </row>
    <row r="40" spans="1:15" ht="15.6" customHeight="1" x14ac:dyDescent="0.25">
      <c r="A40" s="356"/>
      <c r="B40" s="269"/>
      <c r="C40" s="268" t="s">
        <v>495</v>
      </c>
      <c r="D40" s="267" t="s">
        <v>457</v>
      </c>
      <c r="E40" s="255"/>
      <c r="F40" s="255"/>
      <c r="G40" s="266"/>
      <c r="H40" s="265" t="s">
        <v>424</v>
      </c>
      <c r="I40" s="350"/>
    </row>
    <row r="41" spans="1:15" ht="15.6" customHeight="1" x14ac:dyDescent="0.25">
      <c r="A41" s="357"/>
      <c r="B41" s="358"/>
      <c r="C41" s="291"/>
      <c r="D41" s="279"/>
      <c r="E41" s="278"/>
      <c r="F41" s="278"/>
      <c r="G41" s="277"/>
      <c r="H41" s="291"/>
      <c r="I41" s="352"/>
    </row>
    <row r="42" spans="1:15" ht="6.95" customHeight="1" x14ac:dyDescent="0.25">
      <c r="A42" s="255"/>
      <c r="B42" s="257"/>
      <c r="C42" s="256"/>
      <c r="D42" s="255"/>
      <c r="E42" s="255"/>
      <c r="F42" s="255"/>
      <c r="G42" s="255"/>
      <c r="H42" s="255"/>
      <c r="I42" s="255"/>
    </row>
    <row r="43" spans="1:15" ht="15.6" customHeight="1" x14ac:dyDescent="0.25">
      <c r="A43" s="867" t="s">
        <v>422</v>
      </c>
      <c r="B43" s="868"/>
      <c r="C43" s="868"/>
      <c r="D43" s="869"/>
      <c r="E43" s="867" t="s">
        <v>421</v>
      </c>
      <c r="F43" s="868"/>
      <c r="G43" s="867" t="s">
        <v>420</v>
      </c>
      <c r="H43" s="868"/>
      <c r="I43" s="869"/>
    </row>
    <row r="44" spans="1:15" ht="15.6" customHeight="1" x14ac:dyDescent="0.25">
      <c r="A44" s="870"/>
      <c r="B44" s="871"/>
      <c r="C44" s="871"/>
      <c r="D44" s="872"/>
      <c r="E44" s="870"/>
      <c r="F44" s="871"/>
      <c r="G44" s="873"/>
      <c r="H44" s="874"/>
      <c r="I44" s="875"/>
    </row>
    <row r="45" spans="1:15" ht="15.6" customHeight="1" x14ac:dyDescent="0.25">
      <c r="A45" s="988" t="s">
        <v>638</v>
      </c>
      <c r="B45" s="989"/>
      <c r="C45" s="989"/>
      <c r="D45" s="989"/>
      <c r="E45" s="954"/>
      <c r="F45" s="955"/>
      <c r="G45" s="990" t="s">
        <v>641</v>
      </c>
      <c r="H45" s="990"/>
      <c r="I45" s="991"/>
    </row>
    <row r="46" spans="1:15" ht="15.6" customHeight="1" x14ac:dyDescent="0.25">
      <c r="A46" s="992" t="s">
        <v>639</v>
      </c>
      <c r="B46" s="993"/>
      <c r="C46" s="993"/>
      <c r="D46" s="993"/>
      <c r="E46" s="958"/>
      <c r="F46" s="959"/>
      <c r="G46" s="994"/>
      <c r="H46" s="994"/>
      <c r="I46" s="995"/>
    </row>
    <row r="47" spans="1:15" ht="15.6" customHeight="1" x14ac:dyDescent="0.25">
      <c r="A47" s="996"/>
      <c r="B47" s="997"/>
      <c r="C47" s="997"/>
      <c r="D47" s="997"/>
      <c r="E47" s="374"/>
      <c r="F47" s="375"/>
      <c r="G47" s="994"/>
      <c r="H47" s="994"/>
      <c r="I47" s="995"/>
    </row>
    <row r="48" spans="1:15" ht="15.6" customHeight="1" x14ac:dyDescent="0.25">
      <c r="A48" s="970"/>
      <c r="B48" s="922"/>
      <c r="C48" s="922"/>
      <c r="D48" s="922"/>
      <c r="E48" s="960"/>
      <c r="F48" s="961"/>
      <c r="G48" s="840" t="s">
        <v>628</v>
      </c>
      <c r="H48" s="840"/>
      <c r="I48" s="841"/>
    </row>
    <row r="49" spans="1:9" ht="15.6" customHeight="1" x14ac:dyDescent="0.25">
      <c r="A49" s="962"/>
      <c r="B49" s="963"/>
      <c r="C49" s="963"/>
      <c r="D49" s="964"/>
      <c r="E49" s="965"/>
      <c r="F49" s="966"/>
      <c r="G49" s="843"/>
      <c r="H49" s="843"/>
      <c r="I49" s="844"/>
    </row>
    <row r="50" spans="1:9" ht="15.6" customHeight="1" x14ac:dyDescent="0.25">
      <c r="A50" s="827"/>
      <c r="B50" s="828"/>
      <c r="C50" s="828"/>
      <c r="D50" s="828"/>
      <c r="E50" s="830"/>
      <c r="F50" s="831"/>
      <c r="G50" s="833"/>
      <c r="H50" s="833"/>
      <c r="I50" s="834"/>
    </row>
    <row r="51" spans="1:9" ht="15.75" customHeight="1" x14ac:dyDescent="0.25"/>
    <row r="52" spans="1:9" ht="15.75" customHeight="1" x14ac:dyDescent="0.25"/>
    <row r="53" spans="1:9" ht="15.75" customHeight="1" x14ac:dyDescent="0.25"/>
    <row r="54" spans="1:9" ht="15.75" customHeight="1" x14ac:dyDescent="0.25"/>
    <row r="55" spans="1:9" ht="15.75" customHeight="1" x14ac:dyDescent="0.25"/>
  </sheetData>
  <mergeCells count="39">
    <mergeCell ref="A50:D50"/>
    <mergeCell ref="E50:F50"/>
    <mergeCell ref="G50:I50"/>
    <mergeCell ref="A47:D47"/>
    <mergeCell ref="G47:I47"/>
    <mergeCell ref="A48:D48"/>
    <mergeCell ref="E48:F48"/>
    <mergeCell ref="G48:I48"/>
    <mergeCell ref="A49:D49"/>
    <mergeCell ref="E49:F49"/>
    <mergeCell ref="G49:I49"/>
    <mergeCell ref="A45:D45"/>
    <mergeCell ref="E45:F45"/>
    <mergeCell ref="G45:I45"/>
    <mergeCell ref="A46:D46"/>
    <mergeCell ref="E46:F46"/>
    <mergeCell ref="G46:I46"/>
    <mergeCell ref="A18:I18"/>
    <mergeCell ref="D21:G21"/>
    <mergeCell ref="A31:I32"/>
    <mergeCell ref="A33:I33"/>
    <mergeCell ref="A43:D44"/>
    <mergeCell ref="E43:F44"/>
    <mergeCell ref="G43:I44"/>
    <mergeCell ref="A7:B8"/>
    <mergeCell ref="C7:H8"/>
    <mergeCell ref="I7:I8"/>
    <mergeCell ref="A16:B17"/>
    <mergeCell ref="C16:C17"/>
    <mergeCell ref="D16:G17"/>
    <mergeCell ref="H16:H17"/>
    <mergeCell ref="I16:I17"/>
    <mergeCell ref="A1:E2"/>
    <mergeCell ref="F1:H2"/>
    <mergeCell ref="I1:I2"/>
    <mergeCell ref="A4:B4"/>
    <mergeCell ref="A5:B6"/>
    <mergeCell ref="C5:H6"/>
    <mergeCell ref="I5:I6"/>
  </mergeCells>
  <hyperlinks>
    <hyperlink ref="I38" r:id="rId1" location="doc/11881/44" display="https://edu.suissetec.ch/ - doc/11881/44" xr:uid="{C431095D-A47E-4750-BC76-075CE18E38EC}"/>
    <hyperlink ref="I28" r:id="rId2" xr:uid="{4E2AFB02-F406-4D00-B463-0763DF50FA84}"/>
  </hyperlinks>
  <pageMargins left="0.25" right="0.25" top="0.75" bottom="0.75" header="0.3" footer="0.3"/>
  <pageSetup paperSize="9" orientation="portrait" r:id="rId3"/>
  <headerFooter>
    <oddHeader>&amp;LGBS SG&amp;CSSPb23-25&amp;RBKU</oddHeader>
    <oddFooter>&amp;R&amp;"Century Gothic,Standard"&amp;9ART &amp;D</oddFooter>
  </headerFooter>
  <drawing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16651-95EB-4DCD-A7B5-2304084E7FF6}">
  <dimension ref="A1:O55"/>
  <sheetViews>
    <sheetView view="pageLayout" topLeftCell="A7" zoomScale="85" zoomScaleNormal="100" zoomScalePageLayoutView="85" workbookViewId="0">
      <selection activeCell="E30" sqref="E30"/>
    </sheetView>
  </sheetViews>
  <sheetFormatPr baseColWidth="10" defaultColWidth="11.42578125" defaultRowHeight="15" x14ac:dyDescent="0.25"/>
  <cols>
    <col min="1" max="1" width="1.5703125" customWidth="1"/>
    <col min="2" max="2" width="13.85546875" customWidth="1"/>
    <col min="3" max="3" width="4.7109375" customWidth="1"/>
    <col min="4" max="4" width="16.28515625" customWidth="1"/>
    <col min="5" max="5" width="13.28515625" customWidth="1"/>
    <col min="6" max="6" width="13" customWidth="1"/>
    <col min="7" max="7" width="12.7109375" customWidth="1"/>
    <col min="8" max="8" width="4.85546875" customWidth="1"/>
    <col min="9" max="9" width="16.7109375" customWidth="1"/>
  </cols>
  <sheetData>
    <row r="1" spans="1:9" ht="15" customHeight="1" x14ac:dyDescent="0.25">
      <c r="A1" s="884" t="s">
        <v>443</v>
      </c>
      <c r="B1" s="885"/>
      <c r="C1" s="885"/>
      <c r="D1" s="885"/>
      <c r="E1" s="886"/>
      <c r="F1" s="890">
        <f>Kompetenzraster!R27</f>
        <v>45616</v>
      </c>
      <c r="G1" s="891"/>
      <c r="H1" s="892"/>
      <c r="I1" s="896">
        <v>12</v>
      </c>
    </row>
    <row r="2" spans="1:9" ht="15" customHeight="1" x14ac:dyDescent="0.25">
      <c r="A2" s="887"/>
      <c r="B2" s="888"/>
      <c r="C2" s="888"/>
      <c r="D2" s="888"/>
      <c r="E2" s="889"/>
      <c r="F2" s="893"/>
      <c r="G2" s="894"/>
      <c r="H2" s="895"/>
      <c r="I2" s="896"/>
    </row>
    <row r="3" spans="1:9" ht="8.4499999999999993" customHeight="1" x14ac:dyDescent="0.25">
      <c r="A3" s="255"/>
      <c r="B3" s="303"/>
      <c r="C3" s="303"/>
      <c r="D3" s="303"/>
      <c r="E3" s="303"/>
      <c r="F3" s="301"/>
      <c r="G3" s="301"/>
      <c r="H3" s="301"/>
      <c r="I3" s="301"/>
    </row>
    <row r="4" spans="1:9" ht="15.75" customHeight="1" x14ac:dyDescent="0.25">
      <c r="A4" s="897" t="s">
        <v>442</v>
      </c>
      <c r="B4" s="897"/>
      <c r="C4" s="303"/>
      <c r="D4" s="303"/>
      <c r="E4" s="303"/>
      <c r="F4" s="301"/>
      <c r="G4" s="301"/>
      <c r="H4" s="301"/>
      <c r="I4" s="301"/>
    </row>
    <row r="5" spans="1:9" ht="14.25" customHeight="1" x14ac:dyDescent="0.25">
      <c r="A5" s="974" t="s">
        <v>445</v>
      </c>
      <c r="B5" s="975"/>
      <c r="C5" s="978" t="s">
        <v>564</v>
      </c>
      <c r="D5" s="979"/>
      <c r="E5" s="979"/>
      <c r="F5" s="979"/>
      <c r="G5" s="979"/>
      <c r="H5" s="980"/>
      <c r="I5" s="984">
        <v>3.7</v>
      </c>
    </row>
    <row r="6" spans="1:9" ht="14.25" customHeight="1" x14ac:dyDescent="0.25">
      <c r="A6" s="976"/>
      <c r="B6" s="977"/>
      <c r="C6" s="981"/>
      <c r="D6" s="982"/>
      <c r="E6" s="982"/>
      <c r="F6" s="982"/>
      <c r="G6" s="982"/>
      <c r="H6" s="983"/>
      <c r="I6" s="984"/>
    </row>
    <row r="7" spans="1:9" ht="14.25" customHeight="1" x14ac:dyDescent="0.25">
      <c r="A7" s="911" t="s">
        <v>446</v>
      </c>
      <c r="B7" s="912"/>
      <c r="C7" s="899" t="s">
        <v>617</v>
      </c>
      <c r="D7" s="900"/>
      <c r="E7" s="900"/>
      <c r="F7" s="900"/>
      <c r="G7" s="900"/>
      <c r="H7" s="901"/>
      <c r="I7" s="919">
        <v>3.3</v>
      </c>
    </row>
    <row r="8" spans="1:9" ht="14.25" customHeight="1" x14ac:dyDescent="0.25">
      <c r="A8" s="913"/>
      <c r="B8" s="914"/>
      <c r="C8" s="902"/>
      <c r="D8" s="903"/>
      <c r="E8" s="903"/>
      <c r="F8" s="903"/>
      <c r="G8" s="903"/>
      <c r="H8" s="904"/>
      <c r="I8" s="920"/>
    </row>
    <row r="9" spans="1:9" ht="5.85" customHeight="1" x14ac:dyDescent="0.25">
      <c r="A9" s="255"/>
      <c r="B9" s="302"/>
      <c r="C9" s="302"/>
      <c r="D9" s="302"/>
      <c r="E9" s="302"/>
      <c r="F9" s="302"/>
      <c r="G9" s="302"/>
      <c r="H9" s="302"/>
      <c r="I9" s="301"/>
    </row>
    <row r="10" spans="1:9" ht="15.75" customHeight="1" x14ac:dyDescent="0.25">
      <c r="A10" s="300" t="s">
        <v>441</v>
      </c>
      <c r="B10" s="299"/>
      <c r="C10" s="299"/>
      <c r="D10" s="299"/>
      <c r="E10" s="299"/>
      <c r="F10" s="299"/>
      <c r="G10" s="299"/>
      <c r="H10" s="299"/>
      <c r="I10" s="298"/>
    </row>
    <row r="11" spans="1:9" ht="15.75" customHeight="1" x14ac:dyDescent="0.25">
      <c r="A11" s="388"/>
      <c r="B11" s="255" t="s">
        <v>618</v>
      </c>
      <c r="C11" s="255"/>
      <c r="D11" s="255"/>
      <c r="E11" s="255"/>
      <c r="F11" s="255"/>
      <c r="G11" s="255"/>
      <c r="H11" s="255"/>
      <c r="I11" s="266"/>
    </row>
    <row r="12" spans="1:9" ht="15.75" customHeight="1" x14ac:dyDescent="0.25">
      <c r="A12" s="389"/>
      <c r="B12" s="255" t="s">
        <v>629</v>
      </c>
      <c r="C12" s="255"/>
      <c r="D12" s="255"/>
      <c r="E12" s="255"/>
      <c r="F12" s="255"/>
      <c r="G12" s="255"/>
      <c r="H12" s="255"/>
      <c r="I12" s="266"/>
    </row>
    <row r="13" spans="1:9" ht="15.75" customHeight="1" x14ac:dyDescent="0.25">
      <c r="A13" s="315"/>
      <c r="B13" s="255" t="s">
        <v>630</v>
      </c>
      <c r="C13" s="255"/>
      <c r="D13" s="255"/>
      <c r="E13" s="255"/>
      <c r="F13" s="255"/>
      <c r="G13" s="255"/>
      <c r="H13" s="255"/>
      <c r="I13" s="266"/>
    </row>
    <row r="14" spans="1:9" ht="15.75" customHeight="1" x14ac:dyDescent="0.25">
      <c r="A14" s="316"/>
      <c r="B14" s="278" t="s">
        <v>631</v>
      </c>
      <c r="C14" s="278"/>
      <c r="D14" s="278"/>
      <c r="E14" s="278"/>
      <c r="F14" s="278"/>
      <c r="G14" s="278"/>
      <c r="H14" s="278"/>
      <c r="I14" s="277"/>
    </row>
    <row r="15" spans="1:9" ht="5.85" customHeight="1" thickBot="1" x14ac:dyDescent="0.3">
      <c r="A15" s="255"/>
      <c r="B15" s="297"/>
      <c r="C15" s="297"/>
      <c r="D15" s="297"/>
      <c r="E15" s="297"/>
      <c r="F15" s="297"/>
      <c r="G15" s="297"/>
      <c r="H15" s="255"/>
      <c r="I15" s="255"/>
    </row>
    <row r="16" spans="1:9" ht="15.6" customHeight="1" x14ac:dyDescent="0.25">
      <c r="A16" s="876" t="s">
        <v>440</v>
      </c>
      <c r="B16" s="877"/>
      <c r="C16" s="877" t="s">
        <v>439</v>
      </c>
      <c r="D16" s="877" t="s">
        <v>438</v>
      </c>
      <c r="E16" s="877"/>
      <c r="F16" s="877"/>
      <c r="G16" s="877"/>
      <c r="H16" s="880" t="s">
        <v>437</v>
      </c>
      <c r="I16" s="882" t="s">
        <v>436</v>
      </c>
    </row>
    <row r="17" spans="1:15" ht="15.6" customHeight="1" x14ac:dyDescent="0.25">
      <c r="A17" s="878"/>
      <c r="B17" s="879"/>
      <c r="C17" s="879"/>
      <c r="D17" s="879"/>
      <c r="E17" s="879"/>
      <c r="F17" s="879"/>
      <c r="G17" s="879"/>
      <c r="H17" s="881"/>
      <c r="I17" s="883"/>
    </row>
    <row r="18" spans="1:15" ht="9.75" customHeight="1" x14ac:dyDescent="0.25">
      <c r="A18" s="985"/>
      <c r="B18" s="986"/>
      <c r="C18" s="986"/>
      <c r="D18" s="986"/>
      <c r="E18" s="986"/>
      <c r="F18" s="986"/>
      <c r="G18" s="986"/>
      <c r="H18" s="986"/>
      <c r="I18" s="987"/>
    </row>
    <row r="19" spans="1:15" ht="15.6" customHeight="1" x14ac:dyDescent="0.25">
      <c r="A19" s="390"/>
      <c r="B19" s="309" t="s">
        <v>435</v>
      </c>
      <c r="C19" s="310" t="s">
        <v>495</v>
      </c>
      <c r="D19" s="267" t="s">
        <v>588</v>
      </c>
      <c r="E19" s="255"/>
      <c r="F19" s="255"/>
      <c r="G19" s="294"/>
      <c r="H19" s="282" t="s">
        <v>424</v>
      </c>
      <c r="I19" s="353"/>
    </row>
    <row r="20" spans="1:15" ht="15.6" customHeight="1" x14ac:dyDescent="0.25">
      <c r="A20" s="390"/>
      <c r="B20" s="304" t="s">
        <v>458</v>
      </c>
      <c r="C20" s="283" t="s">
        <v>534</v>
      </c>
      <c r="D20" s="267" t="s">
        <v>642</v>
      </c>
      <c r="E20" s="255"/>
      <c r="F20" s="255"/>
      <c r="G20" s="266"/>
      <c r="H20" s="282" t="s">
        <v>497</v>
      </c>
      <c r="I20" s="350"/>
      <c r="K20" s="255"/>
      <c r="L20" s="255"/>
      <c r="M20" s="255"/>
      <c r="N20" s="296"/>
    </row>
    <row r="21" spans="1:15" ht="15.6" customHeight="1" x14ac:dyDescent="0.25">
      <c r="A21" s="390"/>
      <c r="B21" s="306"/>
      <c r="C21" s="283"/>
      <c r="D21" s="967"/>
      <c r="E21" s="968"/>
      <c r="F21" s="968"/>
      <c r="G21" s="969"/>
      <c r="H21" s="282"/>
      <c r="I21" s="386"/>
      <c r="K21" s="255"/>
      <c r="L21" s="255"/>
      <c r="M21" s="255"/>
      <c r="N21" s="255"/>
    </row>
    <row r="22" spans="1:15" ht="15.6" customHeight="1" x14ac:dyDescent="0.25">
      <c r="A22" s="390"/>
      <c r="B22" s="307"/>
      <c r="C22" s="280"/>
      <c r="D22" s="267"/>
      <c r="E22" s="255"/>
      <c r="F22" s="255"/>
      <c r="G22" s="266"/>
      <c r="H22" s="276"/>
      <c r="I22" s="387"/>
      <c r="K22" s="255"/>
      <c r="L22" s="255"/>
      <c r="M22" s="255"/>
      <c r="N22" s="255"/>
    </row>
    <row r="23" spans="1:15" ht="15.6" customHeight="1" x14ac:dyDescent="0.25">
      <c r="A23" s="390"/>
      <c r="B23" s="305" t="s">
        <v>432</v>
      </c>
      <c r="C23" s="273" t="s">
        <v>429</v>
      </c>
      <c r="D23" s="287" t="s">
        <v>643</v>
      </c>
      <c r="E23" s="287"/>
      <c r="F23" s="287"/>
      <c r="G23" s="293"/>
      <c r="H23" s="347" t="s">
        <v>425</v>
      </c>
      <c r="I23" s="349"/>
      <c r="K23" s="255"/>
      <c r="L23" s="255"/>
      <c r="M23" s="255"/>
      <c r="N23" s="255"/>
    </row>
    <row r="24" spans="1:15" ht="15.6" customHeight="1" x14ac:dyDescent="0.25">
      <c r="A24" s="390"/>
      <c r="B24" s="304" t="s">
        <v>459</v>
      </c>
      <c r="C24" s="268" t="s">
        <v>495</v>
      </c>
      <c r="D24" s="255" t="s">
        <v>644</v>
      </c>
      <c r="E24" s="255"/>
      <c r="F24" s="255"/>
      <c r="G24" s="255"/>
      <c r="H24" s="310" t="s">
        <v>497</v>
      </c>
      <c r="I24" s="386"/>
      <c r="K24" s="255"/>
      <c r="L24" s="255"/>
      <c r="M24" s="255"/>
      <c r="N24" s="255"/>
    </row>
    <row r="25" spans="1:15" ht="15.6" customHeight="1" x14ac:dyDescent="0.25">
      <c r="A25" s="390"/>
      <c r="B25" s="306"/>
      <c r="C25" s="268"/>
      <c r="D25" s="255" t="s">
        <v>645</v>
      </c>
      <c r="E25" s="255"/>
      <c r="F25" s="255"/>
      <c r="G25" s="255"/>
      <c r="H25" s="310"/>
      <c r="I25" s="386"/>
      <c r="K25" s="255"/>
      <c r="L25" s="255"/>
      <c r="M25" s="255"/>
      <c r="N25" s="255"/>
    </row>
    <row r="26" spans="1:15" ht="15.6" customHeight="1" x14ac:dyDescent="0.25">
      <c r="A26" s="390"/>
      <c r="B26" s="307"/>
      <c r="C26" s="292"/>
      <c r="D26" s="278"/>
      <c r="E26" s="278"/>
      <c r="F26" s="278"/>
      <c r="G26" s="278"/>
      <c r="H26" s="348"/>
      <c r="I26" s="352"/>
      <c r="K26" s="255"/>
      <c r="L26" s="255"/>
      <c r="M26" s="255"/>
      <c r="N26" s="255"/>
    </row>
    <row r="27" spans="1:15" ht="15.6" customHeight="1" x14ac:dyDescent="0.25">
      <c r="A27" s="390"/>
      <c r="B27" s="308" t="s">
        <v>431</v>
      </c>
      <c r="C27" s="273" t="s">
        <v>495</v>
      </c>
      <c r="D27" s="267" t="s">
        <v>652</v>
      </c>
      <c r="E27" s="255"/>
      <c r="F27" s="255"/>
      <c r="G27" s="266"/>
      <c r="H27" s="272" t="s">
        <v>424</v>
      </c>
      <c r="I27" s="354"/>
      <c r="K27" s="255"/>
      <c r="L27" s="255"/>
      <c r="M27" s="255"/>
      <c r="N27" s="255"/>
    </row>
    <row r="28" spans="1:15" ht="15.6" customHeight="1" x14ac:dyDescent="0.25">
      <c r="A28" s="390"/>
      <c r="B28" s="304" t="s">
        <v>460</v>
      </c>
      <c r="C28" s="268" t="s">
        <v>534</v>
      </c>
      <c r="D28" s="267" t="s">
        <v>646</v>
      </c>
      <c r="E28" s="255"/>
      <c r="F28" s="255"/>
      <c r="G28" s="266"/>
      <c r="H28" s="265" t="s">
        <v>497</v>
      </c>
      <c r="I28" s="392"/>
    </row>
    <row r="29" spans="1:15" ht="15.6" customHeight="1" x14ac:dyDescent="0.25">
      <c r="A29" s="390"/>
      <c r="B29" s="306"/>
      <c r="C29" s="268"/>
      <c r="D29" s="267"/>
      <c r="E29" s="255"/>
      <c r="F29" s="255"/>
      <c r="G29" s="266"/>
      <c r="H29" s="265"/>
      <c r="I29" s="351"/>
    </row>
    <row r="30" spans="1:15" ht="15.6" customHeight="1" x14ac:dyDescent="0.25">
      <c r="A30" s="391"/>
      <c r="B30" s="254"/>
      <c r="C30" s="265"/>
      <c r="D30" s="267"/>
      <c r="E30" s="255"/>
      <c r="F30" s="255"/>
      <c r="G30" s="266"/>
      <c r="H30" s="265"/>
      <c r="I30" s="355"/>
    </row>
    <row r="31" spans="1:15" ht="15.6" customHeight="1" x14ac:dyDescent="0.25">
      <c r="A31" s="927" t="s">
        <v>428</v>
      </c>
      <c r="B31" s="860"/>
      <c r="C31" s="860"/>
      <c r="D31" s="860"/>
      <c r="E31" s="860"/>
      <c r="F31" s="860"/>
      <c r="G31" s="860"/>
      <c r="H31" s="860"/>
      <c r="I31" s="928"/>
      <c r="K31" s="255"/>
      <c r="L31" s="255"/>
      <c r="M31" s="255"/>
      <c r="N31" s="255"/>
      <c r="O31" s="255"/>
    </row>
    <row r="32" spans="1:15" ht="15.6" customHeight="1" x14ac:dyDescent="0.25">
      <c r="A32" s="929"/>
      <c r="B32" s="863"/>
      <c r="C32" s="863"/>
      <c r="D32" s="863"/>
      <c r="E32" s="863"/>
      <c r="F32" s="863"/>
      <c r="G32" s="863"/>
      <c r="H32" s="863"/>
      <c r="I32" s="930"/>
      <c r="K32" s="255"/>
      <c r="L32" s="255"/>
      <c r="M32" s="255"/>
      <c r="N32" s="255"/>
      <c r="O32" s="255"/>
    </row>
    <row r="33" spans="1:15" ht="9.75" customHeight="1" x14ac:dyDescent="0.25">
      <c r="A33" s="931"/>
      <c r="B33" s="932"/>
      <c r="C33" s="932"/>
      <c r="D33" s="932"/>
      <c r="E33" s="932"/>
      <c r="F33" s="932"/>
      <c r="G33" s="932"/>
      <c r="H33" s="932"/>
      <c r="I33" s="933"/>
      <c r="K33" s="255"/>
      <c r="L33" s="255"/>
      <c r="M33" s="255"/>
      <c r="N33" s="255"/>
      <c r="O33" s="255"/>
    </row>
    <row r="34" spans="1:15" ht="15.6" customHeight="1" x14ac:dyDescent="0.25">
      <c r="A34" s="356"/>
      <c r="B34" s="290" t="s">
        <v>427</v>
      </c>
      <c r="C34" s="283" t="s">
        <v>495</v>
      </c>
      <c r="D34" s="267" t="s">
        <v>647</v>
      </c>
      <c r="E34" s="255"/>
      <c r="F34" s="255"/>
      <c r="G34" s="266"/>
      <c r="H34" s="282" t="s">
        <v>425</v>
      </c>
      <c r="I34" s="376"/>
      <c r="K34" s="255"/>
      <c r="L34" s="255"/>
      <c r="M34" s="255"/>
      <c r="N34" s="255"/>
      <c r="O34" s="255"/>
    </row>
    <row r="35" spans="1:15" ht="15.6" customHeight="1" x14ac:dyDescent="0.25">
      <c r="A35" s="356"/>
      <c r="B35" s="319" t="s">
        <v>461</v>
      </c>
      <c r="C35" s="283" t="s">
        <v>534</v>
      </c>
      <c r="D35" s="267" t="s">
        <v>648</v>
      </c>
      <c r="E35" s="255"/>
      <c r="F35" s="255"/>
      <c r="G35" s="266"/>
      <c r="H35" s="282" t="s">
        <v>497</v>
      </c>
      <c r="I35" s="351"/>
      <c r="K35" s="255"/>
      <c r="L35" s="255"/>
      <c r="M35" s="255"/>
      <c r="N35" s="255"/>
      <c r="O35" s="255"/>
    </row>
    <row r="36" spans="1:15" ht="15.6" customHeight="1" x14ac:dyDescent="0.25">
      <c r="A36" s="356"/>
      <c r="B36" s="269"/>
      <c r="C36" s="283"/>
      <c r="D36" s="267"/>
      <c r="E36" s="255"/>
      <c r="F36" s="255"/>
      <c r="G36" s="266"/>
      <c r="H36" s="282"/>
      <c r="I36" s="351"/>
      <c r="K36" s="255"/>
      <c r="L36" s="255"/>
      <c r="M36" s="255"/>
      <c r="N36" s="255"/>
      <c r="O36" s="255"/>
    </row>
    <row r="37" spans="1:15" ht="15.6" customHeight="1" x14ac:dyDescent="0.25">
      <c r="A37" s="356"/>
      <c r="B37" s="281"/>
      <c r="C37" s="280"/>
      <c r="D37" s="279"/>
      <c r="E37" s="278"/>
      <c r="F37" s="278"/>
      <c r="G37" s="277"/>
      <c r="H37" s="276"/>
      <c r="I37" s="352"/>
    </row>
    <row r="38" spans="1:15" ht="15.6" customHeight="1" x14ac:dyDescent="0.25">
      <c r="A38" s="356"/>
      <c r="B38" s="274" t="s">
        <v>423</v>
      </c>
      <c r="C38" s="273" t="s">
        <v>534</v>
      </c>
      <c r="D38" s="267" t="s">
        <v>649</v>
      </c>
      <c r="E38" s="255"/>
      <c r="F38" s="255"/>
      <c r="G38" s="266"/>
      <c r="H38" s="272" t="s">
        <v>497</v>
      </c>
      <c r="I38" s="354" t="s">
        <v>591</v>
      </c>
    </row>
    <row r="39" spans="1:15" ht="15.6" customHeight="1" x14ac:dyDescent="0.25">
      <c r="A39" s="356"/>
      <c r="B39" s="270" t="s">
        <v>462</v>
      </c>
      <c r="C39" s="268" t="s">
        <v>495</v>
      </c>
      <c r="D39" s="267" t="s">
        <v>650</v>
      </c>
      <c r="E39" s="255"/>
      <c r="F39" s="255"/>
      <c r="G39" s="266"/>
      <c r="H39" s="265" t="s">
        <v>424</v>
      </c>
      <c r="I39" s="351"/>
    </row>
    <row r="40" spans="1:15" ht="15.6" customHeight="1" x14ac:dyDescent="0.25">
      <c r="A40" s="356"/>
      <c r="B40" s="269"/>
      <c r="C40" s="268"/>
      <c r="D40" s="267"/>
      <c r="E40" s="255"/>
      <c r="F40" s="255"/>
      <c r="G40" s="266"/>
      <c r="H40" s="265"/>
      <c r="I40" s="350"/>
    </row>
    <row r="41" spans="1:15" ht="15.6" customHeight="1" x14ac:dyDescent="0.25">
      <c r="A41" s="357"/>
      <c r="B41" s="358"/>
      <c r="C41" s="291"/>
      <c r="D41" s="279"/>
      <c r="E41" s="278"/>
      <c r="F41" s="278"/>
      <c r="G41" s="277"/>
      <c r="H41" s="291"/>
      <c r="I41" s="352"/>
    </row>
    <row r="42" spans="1:15" ht="5.85" customHeight="1" x14ac:dyDescent="0.25">
      <c r="A42" s="255"/>
      <c r="B42" s="257"/>
      <c r="C42" s="256"/>
      <c r="D42" s="255"/>
      <c r="E42" s="255"/>
      <c r="F42" s="255"/>
      <c r="G42" s="255"/>
      <c r="H42" s="255"/>
      <c r="I42" s="255"/>
    </row>
    <row r="43" spans="1:15" ht="15.6" customHeight="1" x14ac:dyDescent="0.25">
      <c r="A43" s="867" t="s">
        <v>422</v>
      </c>
      <c r="B43" s="868"/>
      <c r="C43" s="868"/>
      <c r="D43" s="869"/>
      <c r="E43" s="867" t="s">
        <v>421</v>
      </c>
      <c r="F43" s="868"/>
      <c r="G43" s="867" t="s">
        <v>420</v>
      </c>
      <c r="H43" s="868"/>
      <c r="I43" s="869"/>
    </row>
    <row r="44" spans="1:15" ht="15.6" customHeight="1" x14ac:dyDescent="0.25">
      <c r="A44" s="870"/>
      <c r="B44" s="871"/>
      <c r="C44" s="871"/>
      <c r="D44" s="872"/>
      <c r="E44" s="870"/>
      <c r="F44" s="871"/>
      <c r="G44" s="873"/>
      <c r="H44" s="874"/>
      <c r="I44" s="875"/>
    </row>
    <row r="45" spans="1:15" ht="15.6" customHeight="1" x14ac:dyDescent="0.25">
      <c r="A45" s="988"/>
      <c r="B45" s="989"/>
      <c r="C45" s="989"/>
      <c r="D45" s="989"/>
      <c r="E45" s="954"/>
      <c r="F45" s="955"/>
      <c r="G45" s="990"/>
      <c r="H45" s="990"/>
      <c r="I45" s="991"/>
    </row>
    <row r="46" spans="1:15" ht="15.6" customHeight="1" x14ac:dyDescent="0.25">
      <c r="A46" s="992"/>
      <c r="B46" s="993"/>
      <c r="C46" s="993"/>
      <c r="D46" s="993"/>
      <c r="E46" s="958"/>
      <c r="F46" s="959"/>
      <c r="G46" s="994"/>
      <c r="H46" s="994"/>
      <c r="I46" s="995"/>
    </row>
    <row r="47" spans="1:15" ht="15.6" customHeight="1" x14ac:dyDescent="0.25">
      <c r="A47" s="996"/>
      <c r="B47" s="997"/>
      <c r="C47" s="997"/>
      <c r="D47" s="997"/>
      <c r="E47" s="374"/>
      <c r="F47" s="375"/>
      <c r="G47" s="994"/>
      <c r="H47" s="994"/>
      <c r="I47" s="995"/>
    </row>
    <row r="48" spans="1:15" ht="15.6" customHeight="1" x14ac:dyDescent="0.25">
      <c r="A48" s="970" t="s">
        <v>651</v>
      </c>
      <c r="B48" s="922"/>
      <c r="C48" s="922"/>
      <c r="D48" s="922"/>
      <c r="E48" s="960"/>
      <c r="F48" s="961"/>
      <c r="G48" s="840" t="s">
        <v>628</v>
      </c>
      <c r="H48" s="840"/>
      <c r="I48" s="841"/>
    </row>
    <row r="49" spans="1:9" ht="15.6" customHeight="1" x14ac:dyDescent="0.25">
      <c r="A49" s="962"/>
      <c r="B49" s="963"/>
      <c r="C49" s="963"/>
      <c r="D49" s="964"/>
      <c r="E49" s="965"/>
      <c r="F49" s="966"/>
      <c r="G49" s="843"/>
      <c r="H49" s="843"/>
      <c r="I49" s="844"/>
    </row>
    <row r="50" spans="1:9" ht="15.6" customHeight="1" x14ac:dyDescent="0.25">
      <c r="A50" s="827"/>
      <c r="B50" s="828"/>
      <c r="C50" s="828"/>
      <c r="D50" s="828"/>
      <c r="E50" s="830"/>
      <c r="F50" s="831"/>
      <c r="G50" s="833"/>
      <c r="H50" s="833"/>
      <c r="I50" s="834"/>
    </row>
    <row r="51" spans="1:9" ht="15.75" customHeight="1" x14ac:dyDescent="0.25"/>
    <row r="52" spans="1:9" ht="15.75" customHeight="1" x14ac:dyDescent="0.25"/>
    <row r="53" spans="1:9" ht="15.75" customHeight="1" x14ac:dyDescent="0.25"/>
    <row r="54" spans="1:9" ht="15.75" customHeight="1" x14ac:dyDescent="0.25"/>
    <row r="55" spans="1:9" ht="15.75" customHeight="1" x14ac:dyDescent="0.25"/>
  </sheetData>
  <mergeCells count="39">
    <mergeCell ref="A50:D50"/>
    <mergeCell ref="E50:F50"/>
    <mergeCell ref="G50:I50"/>
    <mergeCell ref="A47:D47"/>
    <mergeCell ref="G47:I47"/>
    <mergeCell ref="A48:D48"/>
    <mergeCell ref="E48:F48"/>
    <mergeCell ref="G48:I48"/>
    <mergeCell ref="A49:D49"/>
    <mergeCell ref="E49:F49"/>
    <mergeCell ref="G49:I49"/>
    <mergeCell ref="A45:D45"/>
    <mergeCell ref="E45:F45"/>
    <mergeCell ref="G45:I45"/>
    <mergeCell ref="A46:D46"/>
    <mergeCell ref="E46:F46"/>
    <mergeCell ref="G46:I46"/>
    <mergeCell ref="A18:I18"/>
    <mergeCell ref="D21:G21"/>
    <mergeCell ref="A31:I32"/>
    <mergeCell ref="A33:I33"/>
    <mergeCell ref="A43:D44"/>
    <mergeCell ref="E43:F44"/>
    <mergeCell ref="G43:I44"/>
    <mergeCell ref="A7:B8"/>
    <mergeCell ref="C7:H8"/>
    <mergeCell ref="I7:I8"/>
    <mergeCell ref="A16:B17"/>
    <mergeCell ref="C16:C17"/>
    <mergeCell ref="D16:G17"/>
    <mergeCell ref="H16:H17"/>
    <mergeCell ref="I16:I17"/>
    <mergeCell ref="A1:E2"/>
    <mergeCell ref="F1:H2"/>
    <mergeCell ref="I1:I2"/>
    <mergeCell ref="A4:B4"/>
    <mergeCell ref="A5:B6"/>
    <mergeCell ref="C5:H6"/>
    <mergeCell ref="I5:I6"/>
  </mergeCells>
  <hyperlinks>
    <hyperlink ref="I38" r:id="rId1" location="doc/11881/44" display="https://edu.suissetec.ch/ - doc/11881/44" xr:uid="{A5539C3B-4AC1-4D15-AA31-849B9920AB2D}"/>
  </hyperlinks>
  <pageMargins left="0.25" right="0.25" top="0.75" bottom="0.75" header="0.3" footer="0.3"/>
  <pageSetup paperSize="9" orientation="portrait" r:id="rId2"/>
  <headerFooter>
    <oddHeader>&amp;LGBS SG&amp;CSSPb23-25&amp;RBKU</oddHeader>
    <oddFooter>&amp;R&amp;"Century Gothic,Standard"&amp;9ART &amp;D</oddFooter>
  </headerFooter>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5DC8F-0F14-4794-BE70-F7C10DEDAA9C}">
  <dimension ref="A1:O55"/>
  <sheetViews>
    <sheetView view="pageLayout" topLeftCell="A5" zoomScaleNormal="100" workbookViewId="0">
      <selection activeCell="F47" sqref="F47"/>
    </sheetView>
  </sheetViews>
  <sheetFormatPr baseColWidth="10" defaultColWidth="11.42578125" defaultRowHeight="15" x14ac:dyDescent="0.25"/>
  <cols>
    <col min="1" max="1" width="1.5703125" customWidth="1"/>
    <col min="2" max="2" width="13.85546875" customWidth="1"/>
    <col min="3" max="3" width="4.7109375" customWidth="1"/>
    <col min="4" max="4" width="16.28515625" customWidth="1"/>
    <col min="5" max="5" width="13.28515625" customWidth="1"/>
    <col min="6" max="6" width="13" customWidth="1"/>
    <col min="7" max="7" width="12.7109375" customWidth="1"/>
    <col min="8" max="8" width="4.85546875" customWidth="1"/>
    <col min="9" max="9" width="16.7109375" customWidth="1"/>
  </cols>
  <sheetData>
    <row r="1" spans="1:9" ht="15" customHeight="1" x14ac:dyDescent="0.25">
      <c r="A1" s="884" t="s">
        <v>443</v>
      </c>
      <c r="B1" s="885"/>
      <c r="C1" s="885"/>
      <c r="D1" s="885"/>
      <c r="E1" s="886"/>
      <c r="F1" s="890">
        <f>Kompetenzraster!R29</f>
        <v>45623</v>
      </c>
      <c r="G1" s="891"/>
      <c r="H1" s="892"/>
      <c r="I1" s="896">
        <v>13</v>
      </c>
    </row>
    <row r="2" spans="1:9" ht="15" customHeight="1" x14ac:dyDescent="0.25">
      <c r="A2" s="887"/>
      <c r="B2" s="888"/>
      <c r="C2" s="888"/>
      <c r="D2" s="888"/>
      <c r="E2" s="889"/>
      <c r="F2" s="893"/>
      <c r="G2" s="894"/>
      <c r="H2" s="895"/>
      <c r="I2" s="896"/>
    </row>
    <row r="3" spans="1:9" ht="8.4499999999999993" customHeight="1" x14ac:dyDescent="0.25">
      <c r="A3" s="255"/>
      <c r="B3" s="303"/>
      <c r="C3" s="303"/>
      <c r="D3" s="303"/>
      <c r="E3" s="303"/>
      <c r="F3" s="301"/>
      <c r="G3" s="301"/>
      <c r="H3" s="301"/>
      <c r="I3" s="301"/>
    </row>
    <row r="4" spans="1:9" ht="15.75" customHeight="1" x14ac:dyDescent="0.25">
      <c r="A4" s="897" t="s">
        <v>442</v>
      </c>
      <c r="B4" s="897"/>
      <c r="C4" s="303"/>
      <c r="D4" s="303"/>
      <c r="E4" s="303"/>
      <c r="F4" s="301"/>
      <c r="G4" s="301"/>
      <c r="H4" s="301"/>
      <c r="I4" s="301"/>
    </row>
    <row r="5" spans="1:9" ht="14.25" customHeight="1" x14ac:dyDescent="0.25">
      <c r="A5" s="974" t="s">
        <v>445</v>
      </c>
      <c r="B5" s="975"/>
      <c r="C5" s="978" t="s">
        <v>657</v>
      </c>
      <c r="D5" s="979"/>
      <c r="E5" s="979"/>
      <c r="F5" s="979"/>
      <c r="G5" s="979"/>
      <c r="H5" s="980"/>
      <c r="I5" s="998">
        <v>3.1</v>
      </c>
    </row>
    <row r="6" spans="1:9" ht="14.25" customHeight="1" x14ac:dyDescent="0.25">
      <c r="A6" s="976"/>
      <c r="B6" s="977"/>
      <c r="C6" s="981"/>
      <c r="D6" s="982"/>
      <c r="E6" s="982"/>
      <c r="F6" s="982"/>
      <c r="G6" s="982"/>
      <c r="H6" s="983"/>
      <c r="I6" s="998"/>
    </row>
    <row r="7" spans="1:9" ht="14.25" customHeight="1" x14ac:dyDescent="0.25">
      <c r="A7" s="911" t="s">
        <v>446</v>
      </c>
      <c r="B7" s="912"/>
      <c r="C7" s="899" t="s">
        <v>617</v>
      </c>
      <c r="D7" s="900"/>
      <c r="E7" s="900"/>
      <c r="F7" s="900"/>
      <c r="G7" s="900"/>
      <c r="H7" s="901"/>
      <c r="I7" s="919">
        <v>3.3</v>
      </c>
    </row>
    <row r="8" spans="1:9" ht="14.25" customHeight="1" x14ac:dyDescent="0.25">
      <c r="A8" s="913"/>
      <c r="B8" s="914"/>
      <c r="C8" s="902"/>
      <c r="D8" s="903"/>
      <c r="E8" s="903"/>
      <c r="F8" s="903"/>
      <c r="G8" s="903"/>
      <c r="H8" s="904"/>
      <c r="I8" s="920"/>
    </row>
    <row r="9" spans="1:9" ht="5.85" customHeight="1" x14ac:dyDescent="0.25">
      <c r="A9" s="255"/>
      <c r="B9" s="302"/>
      <c r="C9" s="302"/>
      <c r="D9" s="302"/>
      <c r="E9" s="302"/>
      <c r="F9" s="302"/>
      <c r="G9" s="302"/>
      <c r="H9" s="302"/>
      <c r="I9" s="301"/>
    </row>
    <row r="10" spans="1:9" ht="15.75" customHeight="1" x14ac:dyDescent="0.25">
      <c r="A10" s="300" t="s">
        <v>441</v>
      </c>
      <c r="B10" s="299"/>
      <c r="C10" s="299"/>
      <c r="D10" s="299"/>
      <c r="E10" s="299"/>
      <c r="F10" s="299"/>
      <c r="G10" s="299"/>
      <c r="H10" s="299"/>
      <c r="I10" s="298"/>
    </row>
    <row r="11" spans="1:9" ht="15.75" customHeight="1" x14ac:dyDescent="0.25">
      <c r="A11" s="388"/>
      <c r="B11" s="255" t="s">
        <v>618</v>
      </c>
      <c r="C11" s="255"/>
      <c r="D11" s="255"/>
      <c r="E11" s="255"/>
      <c r="F11" s="255"/>
      <c r="G11" s="255"/>
      <c r="H11" s="255"/>
      <c r="I11" s="266"/>
    </row>
    <row r="12" spans="1:9" ht="15.75" customHeight="1" x14ac:dyDescent="0.25">
      <c r="A12" s="389"/>
      <c r="B12" s="255" t="s">
        <v>629</v>
      </c>
      <c r="C12" s="255"/>
      <c r="D12" s="255"/>
      <c r="E12" s="255"/>
      <c r="F12" s="255"/>
      <c r="G12" s="255"/>
      <c r="H12" s="255"/>
      <c r="I12" s="266"/>
    </row>
    <row r="13" spans="1:9" ht="15.75" customHeight="1" x14ac:dyDescent="0.25">
      <c r="A13" s="315"/>
      <c r="B13" s="255" t="s">
        <v>630</v>
      </c>
      <c r="C13" s="255"/>
      <c r="D13" s="255"/>
      <c r="E13" s="255"/>
      <c r="F13" s="255"/>
      <c r="G13" s="255"/>
      <c r="H13" s="255"/>
      <c r="I13" s="266"/>
    </row>
    <row r="14" spans="1:9" ht="15.75" customHeight="1" x14ac:dyDescent="0.25">
      <c r="A14" s="316"/>
      <c r="B14" s="278" t="s">
        <v>631</v>
      </c>
      <c r="C14" s="278"/>
      <c r="D14" s="278"/>
      <c r="E14" s="278"/>
      <c r="F14" s="278"/>
      <c r="G14" s="278"/>
      <c r="H14" s="278"/>
      <c r="I14" s="277"/>
    </row>
    <row r="15" spans="1:9" ht="5.85" customHeight="1" thickBot="1" x14ac:dyDescent="0.3">
      <c r="A15" s="255"/>
      <c r="B15" s="297"/>
      <c r="C15" s="297"/>
      <c r="D15" s="297"/>
      <c r="E15" s="297"/>
      <c r="F15" s="297"/>
      <c r="G15" s="297"/>
      <c r="H15" s="255"/>
      <c r="I15" s="255"/>
    </row>
    <row r="16" spans="1:9" ht="15.6" customHeight="1" x14ac:dyDescent="0.25">
      <c r="A16" s="876" t="s">
        <v>440</v>
      </c>
      <c r="B16" s="877"/>
      <c r="C16" s="877" t="s">
        <v>439</v>
      </c>
      <c r="D16" s="877" t="s">
        <v>438</v>
      </c>
      <c r="E16" s="877"/>
      <c r="F16" s="877"/>
      <c r="G16" s="877"/>
      <c r="H16" s="880" t="s">
        <v>437</v>
      </c>
      <c r="I16" s="882" t="s">
        <v>436</v>
      </c>
    </row>
    <row r="17" spans="1:15" ht="15.6" customHeight="1" x14ac:dyDescent="0.25">
      <c r="A17" s="878"/>
      <c r="B17" s="879"/>
      <c r="C17" s="879"/>
      <c r="D17" s="879"/>
      <c r="E17" s="879"/>
      <c r="F17" s="879"/>
      <c r="G17" s="879"/>
      <c r="H17" s="881"/>
      <c r="I17" s="883"/>
    </row>
    <row r="18" spans="1:15" ht="9.75" customHeight="1" x14ac:dyDescent="0.25">
      <c r="A18" s="985"/>
      <c r="B18" s="986"/>
      <c r="C18" s="986"/>
      <c r="D18" s="986"/>
      <c r="E18" s="986"/>
      <c r="F18" s="986"/>
      <c r="G18" s="986"/>
      <c r="H18" s="986"/>
      <c r="I18" s="987"/>
    </row>
    <row r="19" spans="1:15" ht="15.6" customHeight="1" x14ac:dyDescent="0.25">
      <c r="A19" s="390"/>
      <c r="B19" s="309" t="s">
        <v>435</v>
      </c>
      <c r="C19" s="310" t="s">
        <v>495</v>
      </c>
      <c r="D19" s="267" t="s">
        <v>588</v>
      </c>
      <c r="E19" s="255"/>
      <c r="F19" s="255"/>
      <c r="G19" s="294"/>
      <c r="H19" s="282" t="s">
        <v>424</v>
      </c>
      <c r="I19" s="353"/>
    </row>
    <row r="20" spans="1:15" ht="15.6" customHeight="1" x14ac:dyDescent="0.25">
      <c r="A20" s="390"/>
      <c r="B20" s="304" t="s">
        <v>458</v>
      </c>
      <c r="C20" s="283" t="s">
        <v>430</v>
      </c>
      <c r="D20" s="267" t="s">
        <v>653</v>
      </c>
      <c r="E20" s="255"/>
      <c r="F20" s="255"/>
      <c r="G20" s="266"/>
      <c r="H20" s="282" t="s">
        <v>497</v>
      </c>
      <c r="I20" s="350"/>
      <c r="K20" s="255"/>
      <c r="L20" s="255"/>
      <c r="M20" s="255"/>
      <c r="N20" s="296"/>
    </row>
    <row r="21" spans="1:15" ht="15.6" customHeight="1" x14ac:dyDescent="0.25">
      <c r="A21" s="390"/>
      <c r="B21" s="306"/>
      <c r="C21" s="283" t="s">
        <v>429</v>
      </c>
      <c r="D21" s="951" t="s">
        <v>654</v>
      </c>
      <c r="E21" s="968"/>
      <c r="F21" s="968"/>
      <c r="G21" s="969"/>
      <c r="H21" s="282" t="s">
        <v>497</v>
      </c>
      <c r="I21" s="386"/>
      <c r="K21" s="255"/>
      <c r="L21" s="255"/>
      <c r="M21" s="255"/>
      <c r="N21" s="255"/>
    </row>
    <row r="22" spans="1:15" ht="15.6" customHeight="1" x14ac:dyDescent="0.25">
      <c r="A22" s="390"/>
      <c r="B22" s="307"/>
      <c r="C22" s="280"/>
      <c r="D22" s="267"/>
      <c r="E22" s="255"/>
      <c r="F22" s="255"/>
      <c r="G22" s="266"/>
      <c r="H22" s="276"/>
      <c r="I22" s="387"/>
      <c r="K22" s="255"/>
      <c r="L22" s="255"/>
      <c r="M22" s="255"/>
      <c r="N22" s="255"/>
    </row>
    <row r="23" spans="1:15" ht="15.6" customHeight="1" x14ac:dyDescent="0.25">
      <c r="A23" s="390"/>
      <c r="B23" s="305" t="s">
        <v>432</v>
      </c>
      <c r="C23" s="273" t="s">
        <v>430</v>
      </c>
      <c r="D23" s="287" t="s">
        <v>655</v>
      </c>
      <c r="E23" s="287"/>
      <c r="F23" s="287"/>
      <c r="G23" s="293"/>
      <c r="H23" s="347" t="s">
        <v>497</v>
      </c>
      <c r="I23" s="349"/>
      <c r="K23" s="255"/>
      <c r="L23" s="255"/>
      <c r="M23" s="255"/>
      <c r="N23" s="255"/>
    </row>
    <row r="24" spans="1:15" ht="15.6" customHeight="1" x14ac:dyDescent="0.25">
      <c r="A24" s="390"/>
      <c r="B24" s="304" t="s">
        <v>459</v>
      </c>
      <c r="C24" s="268" t="s">
        <v>426</v>
      </c>
      <c r="D24" s="255" t="s">
        <v>656</v>
      </c>
      <c r="E24" s="255"/>
      <c r="F24" s="255"/>
      <c r="G24" s="255"/>
      <c r="H24" s="310" t="s">
        <v>497</v>
      </c>
      <c r="I24" s="386"/>
      <c r="K24" s="255"/>
      <c r="L24" s="255"/>
      <c r="M24" s="255"/>
      <c r="N24" s="255"/>
    </row>
    <row r="25" spans="1:15" ht="15.6" customHeight="1" x14ac:dyDescent="0.25">
      <c r="A25" s="390"/>
      <c r="B25" s="306"/>
      <c r="C25" s="268"/>
      <c r="D25" s="255"/>
      <c r="E25" s="255"/>
      <c r="F25" s="255"/>
      <c r="G25" s="255"/>
      <c r="H25" s="310"/>
      <c r="I25" s="386"/>
      <c r="K25" s="255"/>
      <c r="L25" s="255"/>
      <c r="M25" s="255"/>
      <c r="N25" s="255"/>
    </row>
    <row r="26" spans="1:15" ht="15.6" customHeight="1" x14ac:dyDescent="0.25">
      <c r="A26" s="390"/>
      <c r="B26" s="307"/>
      <c r="C26" s="292"/>
      <c r="D26" s="278"/>
      <c r="E26" s="278"/>
      <c r="F26" s="278"/>
      <c r="G26" s="278"/>
      <c r="H26" s="348"/>
      <c r="I26" s="352"/>
      <c r="K26" s="255"/>
      <c r="L26" s="255"/>
      <c r="M26" s="255"/>
      <c r="N26" s="255"/>
    </row>
    <row r="27" spans="1:15" ht="15.6" customHeight="1" x14ac:dyDescent="0.25">
      <c r="A27" s="390"/>
      <c r="B27" s="308" t="s">
        <v>431</v>
      </c>
      <c r="C27" s="273" t="s">
        <v>434</v>
      </c>
      <c r="D27" s="267" t="s">
        <v>658</v>
      </c>
      <c r="E27" s="255"/>
      <c r="F27" s="255"/>
      <c r="G27" s="266"/>
      <c r="H27" s="272" t="s">
        <v>425</v>
      </c>
      <c r="I27" s="354"/>
      <c r="K27" s="255"/>
      <c r="L27" s="255"/>
      <c r="M27" s="255"/>
      <c r="N27" s="255"/>
    </row>
    <row r="28" spans="1:15" ht="15.6" customHeight="1" x14ac:dyDescent="0.25">
      <c r="A28" s="390"/>
      <c r="B28" s="304" t="s">
        <v>460</v>
      </c>
      <c r="C28" s="268" t="s">
        <v>545</v>
      </c>
      <c r="D28" s="267" t="s">
        <v>659</v>
      </c>
      <c r="E28" s="255"/>
      <c r="F28" s="255"/>
      <c r="G28" s="266"/>
      <c r="H28" s="265" t="s">
        <v>507</v>
      </c>
      <c r="I28" s="392"/>
    </row>
    <row r="29" spans="1:15" ht="15.6" customHeight="1" x14ac:dyDescent="0.25">
      <c r="A29" s="390"/>
      <c r="B29" s="306"/>
      <c r="C29" s="268"/>
      <c r="D29" s="267"/>
      <c r="E29" s="255"/>
      <c r="F29" s="255"/>
      <c r="G29" s="266"/>
      <c r="H29" s="265"/>
      <c r="I29" s="351"/>
    </row>
    <row r="30" spans="1:15" ht="15.6" customHeight="1" x14ac:dyDescent="0.25">
      <c r="A30" s="391"/>
      <c r="B30" s="254"/>
      <c r="C30" s="265"/>
      <c r="D30" s="267"/>
      <c r="E30" s="255"/>
      <c r="F30" s="255"/>
      <c r="G30" s="266"/>
      <c r="H30" s="265"/>
      <c r="I30" s="355"/>
    </row>
    <row r="31" spans="1:15" ht="15.6" customHeight="1" x14ac:dyDescent="0.25">
      <c r="A31" s="927" t="s">
        <v>428</v>
      </c>
      <c r="B31" s="860"/>
      <c r="C31" s="860"/>
      <c r="D31" s="860"/>
      <c r="E31" s="860"/>
      <c r="F31" s="860"/>
      <c r="G31" s="860"/>
      <c r="H31" s="860"/>
      <c r="I31" s="928"/>
      <c r="K31" s="255"/>
      <c r="L31" s="255"/>
      <c r="M31" s="255"/>
      <c r="N31" s="255"/>
      <c r="O31" s="255"/>
    </row>
    <row r="32" spans="1:15" ht="15.6" customHeight="1" x14ac:dyDescent="0.25">
      <c r="A32" s="929"/>
      <c r="B32" s="863"/>
      <c r="C32" s="863"/>
      <c r="D32" s="863"/>
      <c r="E32" s="863"/>
      <c r="F32" s="863"/>
      <c r="G32" s="863"/>
      <c r="H32" s="863"/>
      <c r="I32" s="930"/>
      <c r="K32" s="255"/>
      <c r="L32" s="255"/>
      <c r="M32" s="255"/>
      <c r="N32" s="255"/>
      <c r="O32" s="255"/>
    </row>
    <row r="33" spans="1:15" ht="9.75" customHeight="1" x14ac:dyDescent="0.25">
      <c r="A33" s="931"/>
      <c r="B33" s="932"/>
      <c r="C33" s="932"/>
      <c r="D33" s="932"/>
      <c r="E33" s="932"/>
      <c r="F33" s="932"/>
      <c r="G33" s="932"/>
      <c r="H33" s="932"/>
      <c r="I33" s="933"/>
      <c r="K33" s="255"/>
      <c r="L33" s="255"/>
      <c r="M33" s="255"/>
      <c r="N33" s="255"/>
      <c r="O33" s="255"/>
    </row>
    <row r="34" spans="1:15" ht="15.6" customHeight="1" x14ac:dyDescent="0.25">
      <c r="A34" s="356"/>
      <c r="B34" s="290" t="s">
        <v>427</v>
      </c>
      <c r="C34" s="283" t="s">
        <v>495</v>
      </c>
      <c r="D34" s="267" t="s">
        <v>647</v>
      </c>
      <c r="E34" s="255"/>
      <c r="F34" s="255"/>
      <c r="G34" s="266"/>
      <c r="H34" s="282" t="s">
        <v>425</v>
      </c>
      <c r="I34" s="376"/>
      <c r="K34" s="255"/>
      <c r="L34" s="255"/>
      <c r="M34" s="255"/>
      <c r="N34" s="255"/>
      <c r="O34" s="255"/>
    </row>
    <row r="35" spans="1:15" ht="15.6" customHeight="1" x14ac:dyDescent="0.25">
      <c r="A35" s="356"/>
      <c r="B35" s="319" t="s">
        <v>461</v>
      </c>
      <c r="C35" s="283" t="s">
        <v>534</v>
      </c>
      <c r="D35" s="267" t="s">
        <v>648</v>
      </c>
      <c r="E35" s="255"/>
      <c r="F35" s="255"/>
      <c r="G35" s="266"/>
      <c r="H35" s="282" t="s">
        <v>497</v>
      </c>
      <c r="I35" s="351"/>
      <c r="K35" s="255"/>
      <c r="L35" s="255"/>
      <c r="M35" s="255"/>
      <c r="N35" s="255"/>
      <c r="O35" s="255"/>
    </row>
    <row r="36" spans="1:15" ht="15.6" customHeight="1" x14ac:dyDescent="0.25">
      <c r="A36" s="356"/>
      <c r="B36" s="269"/>
      <c r="C36" s="283"/>
      <c r="D36" s="267"/>
      <c r="E36" s="255"/>
      <c r="F36" s="255"/>
      <c r="G36" s="266"/>
      <c r="H36" s="282"/>
      <c r="I36" s="351"/>
      <c r="K36" s="255"/>
      <c r="L36" s="255"/>
      <c r="M36" s="255"/>
      <c r="N36" s="255"/>
      <c r="O36" s="255"/>
    </row>
    <row r="37" spans="1:15" ht="15.6" customHeight="1" x14ac:dyDescent="0.25">
      <c r="A37" s="356"/>
      <c r="B37" s="281"/>
      <c r="C37" s="280"/>
      <c r="D37" s="279"/>
      <c r="E37" s="278"/>
      <c r="F37" s="278"/>
      <c r="G37" s="277"/>
      <c r="H37" s="276"/>
      <c r="I37" s="352"/>
    </row>
    <row r="38" spans="1:15" ht="15.6" customHeight="1" x14ac:dyDescent="0.25">
      <c r="A38" s="356"/>
      <c r="B38" s="274" t="s">
        <v>423</v>
      </c>
      <c r="C38" s="273" t="s">
        <v>534</v>
      </c>
      <c r="D38" s="267" t="s">
        <v>649</v>
      </c>
      <c r="E38" s="255"/>
      <c r="F38" s="255"/>
      <c r="G38" s="266"/>
      <c r="H38" s="272" t="s">
        <v>497</v>
      </c>
      <c r="I38" s="354" t="s">
        <v>591</v>
      </c>
    </row>
    <row r="39" spans="1:15" ht="15.6" customHeight="1" x14ac:dyDescent="0.25">
      <c r="A39" s="356"/>
      <c r="B39" s="270" t="s">
        <v>462</v>
      </c>
      <c r="C39" s="268" t="s">
        <v>495</v>
      </c>
      <c r="D39" s="267" t="s">
        <v>650</v>
      </c>
      <c r="E39" s="255"/>
      <c r="F39" s="255"/>
      <c r="G39" s="266"/>
      <c r="H39" s="265" t="s">
        <v>424</v>
      </c>
      <c r="I39" s="351"/>
    </row>
    <row r="40" spans="1:15" ht="15.6" customHeight="1" x14ac:dyDescent="0.25">
      <c r="A40" s="356"/>
      <c r="B40" s="269"/>
      <c r="C40" s="268"/>
      <c r="D40" s="267"/>
      <c r="E40" s="255"/>
      <c r="F40" s="255"/>
      <c r="G40" s="266"/>
      <c r="H40" s="265"/>
      <c r="I40" s="350"/>
    </row>
    <row r="41" spans="1:15" ht="15.6" customHeight="1" x14ac:dyDescent="0.25">
      <c r="A41" s="357"/>
      <c r="B41" s="358"/>
      <c r="C41" s="291"/>
      <c r="D41" s="279"/>
      <c r="E41" s="278"/>
      <c r="F41" s="278"/>
      <c r="G41" s="277"/>
      <c r="H41" s="291"/>
      <c r="I41" s="352"/>
    </row>
    <row r="42" spans="1:15" ht="5.85" customHeight="1" x14ac:dyDescent="0.25">
      <c r="A42" s="255"/>
      <c r="B42" s="257"/>
      <c r="C42" s="256"/>
      <c r="D42" s="255"/>
      <c r="E42" s="255"/>
      <c r="F42" s="255"/>
      <c r="G42" s="255"/>
      <c r="H42" s="255"/>
      <c r="I42" s="255"/>
    </row>
    <row r="43" spans="1:15" ht="15.6" customHeight="1" x14ac:dyDescent="0.25">
      <c r="A43" s="867" t="s">
        <v>422</v>
      </c>
      <c r="B43" s="868"/>
      <c r="C43" s="868"/>
      <c r="D43" s="869"/>
      <c r="E43" s="867" t="s">
        <v>421</v>
      </c>
      <c r="F43" s="868"/>
      <c r="G43" s="867" t="s">
        <v>420</v>
      </c>
      <c r="H43" s="868"/>
      <c r="I43" s="869"/>
    </row>
    <row r="44" spans="1:15" ht="15.6" customHeight="1" x14ac:dyDescent="0.25">
      <c r="A44" s="870"/>
      <c r="B44" s="871"/>
      <c r="C44" s="871"/>
      <c r="D44" s="872"/>
      <c r="E44" s="870"/>
      <c r="F44" s="871"/>
      <c r="G44" s="873"/>
      <c r="H44" s="874"/>
      <c r="I44" s="875"/>
    </row>
    <row r="45" spans="1:15" ht="15.6" customHeight="1" x14ac:dyDescent="0.25">
      <c r="A45" s="988"/>
      <c r="B45" s="989"/>
      <c r="C45" s="989"/>
      <c r="D45" s="989"/>
      <c r="E45" s="954"/>
      <c r="F45" s="955"/>
      <c r="G45" s="990" t="s">
        <v>660</v>
      </c>
      <c r="H45" s="990"/>
      <c r="I45" s="991"/>
    </row>
    <row r="46" spans="1:15" ht="15.6" customHeight="1" x14ac:dyDescent="0.25">
      <c r="A46" s="992"/>
      <c r="B46" s="993"/>
      <c r="C46" s="993"/>
      <c r="D46" s="993"/>
      <c r="E46" s="958"/>
      <c r="F46" s="959"/>
      <c r="G46" s="994"/>
      <c r="H46" s="994"/>
      <c r="I46" s="995"/>
    </row>
    <row r="47" spans="1:15" ht="15.6" customHeight="1" x14ac:dyDescent="0.25">
      <c r="A47" s="996"/>
      <c r="B47" s="997"/>
      <c r="C47" s="997"/>
      <c r="D47" s="997"/>
      <c r="E47" s="374"/>
      <c r="F47" s="375"/>
      <c r="G47" s="994"/>
      <c r="H47" s="994"/>
      <c r="I47" s="995"/>
    </row>
    <row r="48" spans="1:15" ht="15.6" customHeight="1" x14ac:dyDescent="0.25">
      <c r="A48" s="970" t="s">
        <v>651</v>
      </c>
      <c r="B48" s="922"/>
      <c r="C48" s="922"/>
      <c r="D48" s="922"/>
      <c r="E48" s="960"/>
      <c r="F48" s="961"/>
      <c r="G48" s="840" t="s">
        <v>628</v>
      </c>
      <c r="H48" s="840"/>
      <c r="I48" s="841"/>
    </row>
    <row r="49" spans="1:9" ht="15.6" customHeight="1" x14ac:dyDescent="0.25">
      <c r="A49" s="962"/>
      <c r="B49" s="963"/>
      <c r="C49" s="963"/>
      <c r="D49" s="964"/>
      <c r="E49" s="965"/>
      <c r="F49" s="966"/>
      <c r="G49" s="843"/>
      <c r="H49" s="843"/>
      <c r="I49" s="844"/>
    </row>
    <row r="50" spans="1:9" ht="15.6" customHeight="1" x14ac:dyDescent="0.25">
      <c r="A50" s="827"/>
      <c r="B50" s="828"/>
      <c r="C50" s="828"/>
      <c r="D50" s="828"/>
      <c r="E50" s="830"/>
      <c r="F50" s="831"/>
      <c r="G50" s="833"/>
      <c r="H50" s="833"/>
      <c r="I50" s="834"/>
    </row>
    <row r="51" spans="1:9" ht="15.75" customHeight="1" x14ac:dyDescent="0.25"/>
    <row r="52" spans="1:9" ht="15.75" customHeight="1" x14ac:dyDescent="0.25"/>
    <row r="53" spans="1:9" ht="15.75" customHeight="1" x14ac:dyDescent="0.25"/>
    <row r="54" spans="1:9" ht="15.75" customHeight="1" x14ac:dyDescent="0.25"/>
    <row r="55" spans="1:9" ht="15.75" customHeight="1" x14ac:dyDescent="0.25"/>
  </sheetData>
  <mergeCells count="39">
    <mergeCell ref="A1:E2"/>
    <mergeCell ref="F1:H2"/>
    <mergeCell ref="I1:I2"/>
    <mergeCell ref="A4:B4"/>
    <mergeCell ref="A5:B6"/>
    <mergeCell ref="C5:H6"/>
    <mergeCell ref="I5:I6"/>
    <mergeCell ref="A7:B8"/>
    <mergeCell ref="C7:H8"/>
    <mergeCell ref="I7:I8"/>
    <mergeCell ref="A16:B17"/>
    <mergeCell ref="C16:C17"/>
    <mergeCell ref="D16:G17"/>
    <mergeCell ref="H16:H17"/>
    <mergeCell ref="I16:I17"/>
    <mergeCell ref="A18:I18"/>
    <mergeCell ref="D21:G21"/>
    <mergeCell ref="A31:I32"/>
    <mergeCell ref="A33:I33"/>
    <mergeCell ref="A43:D44"/>
    <mergeCell ref="E43:F44"/>
    <mergeCell ref="G43:I44"/>
    <mergeCell ref="A45:D45"/>
    <mergeCell ref="E45:F45"/>
    <mergeCell ref="G45:I45"/>
    <mergeCell ref="A46:D46"/>
    <mergeCell ref="E46:F46"/>
    <mergeCell ref="G46:I46"/>
    <mergeCell ref="A50:D50"/>
    <mergeCell ref="E50:F50"/>
    <mergeCell ref="G50:I50"/>
    <mergeCell ref="A47:D47"/>
    <mergeCell ref="G47:I47"/>
    <mergeCell ref="A48:D48"/>
    <mergeCell ref="E48:F48"/>
    <mergeCell ref="G48:I48"/>
    <mergeCell ref="A49:D49"/>
    <mergeCell ref="E49:F49"/>
    <mergeCell ref="G49:I49"/>
  </mergeCells>
  <hyperlinks>
    <hyperlink ref="I38" r:id="rId1" location="doc/11881/44" display="https://edu.suissetec.ch/ - doc/11881/44" xr:uid="{7CF5CB38-7082-4593-9BBB-EE01C415ADD3}"/>
  </hyperlinks>
  <pageMargins left="0.25" right="0.25" top="0.75" bottom="0.75" header="0.3" footer="0.3"/>
  <pageSetup paperSize="9" orientation="portrait" r:id="rId2"/>
  <headerFooter>
    <oddHeader>&amp;LGBS SG&amp;CSSPb23-25&amp;RBKU</oddHeader>
    <oddFooter>&amp;R&amp;"Century Gothic,Standard"&amp;9ART &amp;D</oddFooter>
  </headerFooter>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F6802-2299-48F4-813F-5D1215FEAA6A}">
  <dimension ref="A1:O55"/>
  <sheetViews>
    <sheetView view="pageLayout" topLeftCell="A15" zoomScale="130" zoomScaleNormal="100" zoomScalePageLayoutView="130" workbookViewId="0">
      <selection activeCell="A45" sqref="A45:D47"/>
    </sheetView>
  </sheetViews>
  <sheetFormatPr baseColWidth="10" defaultColWidth="11.42578125" defaultRowHeight="15" x14ac:dyDescent="0.25"/>
  <cols>
    <col min="1" max="1" width="1.5703125" customWidth="1"/>
    <col min="2" max="2" width="13.85546875" customWidth="1"/>
    <col min="3" max="3" width="4.7109375" customWidth="1"/>
    <col min="4" max="4" width="16.28515625" customWidth="1"/>
    <col min="5" max="5" width="13.28515625" customWidth="1"/>
    <col min="6" max="6" width="13" customWidth="1"/>
    <col min="7" max="7" width="12.7109375" customWidth="1"/>
    <col min="8" max="8" width="4.85546875" customWidth="1"/>
    <col min="9" max="9" width="16.7109375" customWidth="1"/>
  </cols>
  <sheetData>
    <row r="1" spans="1:9" ht="15" customHeight="1" x14ac:dyDescent="0.25">
      <c r="A1" s="884" t="s">
        <v>443</v>
      </c>
      <c r="B1" s="885"/>
      <c r="C1" s="885"/>
      <c r="D1" s="885"/>
      <c r="E1" s="886"/>
      <c r="F1" s="890">
        <f>Kompetenzraster!R31</f>
        <v>45630</v>
      </c>
      <c r="G1" s="891"/>
      <c r="H1" s="892"/>
      <c r="I1" s="896">
        <v>14</v>
      </c>
    </row>
    <row r="2" spans="1:9" ht="15" customHeight="1" x14ac:dyDescent="0.25">
      <c r="A2" s="887"/>
      <c r="B2" s="888"/>
      <c r="C2" s="888"/>
      <c r="D2" s="888"/>
      <c r="E2" s="889"/>
      <c r="F2" s="893"/>
      <c r="G2" s="894"/>
      <c r="H2" s="895"/>
      <c r="I2" s="896"/>
    </row>
    <row r="3" spans="1:9" ht="8.4499999999999993" customHeight="1" x14ac:dyDescent="0.25">
      <c r="A3" s="255"/>
      <c r="B3" s="303"/>
      <c r="C3" s="303"/>
      <c r="D3" s="303"/>
      <c r="E3" s="303"/>
      <c r="F3" s="301"/>
      <c r="G3" s="301"/>
      <c r="H3" s="301"/>
      <c r="I3" s="301"/>
    </row>
    <row r="4" spans="1:9" ht="15.75" customHeight="1" x14ac:dyDescent="0.25">
      <c r="A4" s="897" t="s">
        <v>442</v>
      </c>
      <c r="B4" s="897"/>
      <c r="C4" s="303"/>
      <c r="D4" s="303"/>
      <c r="E4" s="303"/>
      <c r="F4" s="301"/>
      <c r="G4" s="301"/>
      <c r="H4" s="301"/>
      <c r="I4" s="301"/>
    </row>
    <row r="5" spans="1:9" ht="14.25" customHeight="1" x14ac:dyDescent="0.25">
      <c r="A5" s="974" t="s">
        <v>445</v>
      </c>
      <c r="B5" s="975"/>
      <c r="C5" s="978" t="s">
        <v>657</v>
      </c>
      <c r="D5" s="979"/>
      <c r="E5" s="979"/>
      <c r="F5" s="979"/>
      <c r="G5" s="979"/>
      <c r="H5" s="980"/>
      <c r="I5" s="998">
        <v>3.1</v>
      </c>
    </row>
    <row r="6" spans="1:9" ht="14.25" customHeight="1" x14ac:dyDescent="0.25">
      <c r="A6" s="976"/>
      <c r="B6" s="977"/>
      <c r="C6" s="981"/>
      <c r="D6" s="982"/>
      <c r="E6" s="982"/>
      <c r="F6" s="982"/>
      <c r="G6" s="982"/>
      <c r="H6" s="983"/>
      <c r="I6" s="998"/>
    </row>
    <row r="7" spans="1:9" ht="14.25" customHeight="1" x14ac:dyDescent="0.25">
      <c r="A7" s="911" t="s">
        <v>446</v>
      </c>
      <c r="B7" s="912"/>
      <c r="C7" s="899" t="s">
        <v>617</v>
      </c>
      <c r="D7" s="900"/>
      <c r="E7" s="900"/>
      <c r="F7" s="900"/>
      <c r="G7" s="900"/>
      <c r="H7" s="901"/>
      <c r="I7" s="919">
        <v>3.3</v>
      </c>
    </row>
    <row r="8" spans="1:9" ht="14.25" customHeight="1" x14ac:dyDescent="0.25">
      <c r="A8" s="913"/>
      <c r="B8" s="914"/>
      <c r="C8" s="902"/>
      <c r="D8" s="903"/>
      <c r="E8" s="903"/>
      <c r="F8" s="903"/>
      <c r="G8" s="903"/>
      <c r="H8" s="904"/>
      <c r="I8" s="920"/>
    </row>
    <row r="9" spans="1:9" ht="5.85" customHeight="1" x14ac:dyDescent="0.25">
      <c r="A9" s="255"/>
      <c r="B9" s="302"/>
      <c r="C9" s="302"/>
      <c r="D9" s="302"/>
      <c r="E9" s="302"/>
      <c r="F9" s="302"/>
      <c r="G9" s="302"/>
      <c r="H9" s="302"/>
      <c r="I9" s="301"/>
    </row>
    <row r="10" spans="1:9" ht="15.75" customHeight="1" x14ac:dyDescent="0.25">
      <c r="A10" s="300" t="s">
        <v>441</v>
      </c>
      <c r="B10" s="299"/>
      <c r="C10" s="299"/>
      <c r="D10" s="299"/>
      <c r="E10" s="299"/>
      <c r="F10" s="299"/>
      <c r="G10" s="299"/>
      <c r="H10" s="299"/>
      <c r="I10" s="298"/>
    </row>
    <row r="11" spans="1:9" ht="15.75" customHeight="1" x14ac:dyDescent="0.25">
      <c r="A11" s="388"/>
      <c r="B11" s="255" t="s">
        <v>661</v>
      </c>
      <c r="C11" s="255"/>
      <c r="D11" s="255"/>
      <c r="E11" s="255"/>
      <c r="F11" s="255"/>
      <c r="G11" s="255"/>
      <c r="H11" s="255"/>
      <c r="I11" s="266"/>
    </row>
    <row r="12" spans="1:9" ht="15.75" customHeight="1" x14ac:dyDescent="0.25">
      <c r="A12" s="389"/>
      <c r="B12" s="255" t="s">
        <v>629</v>
      </c>
      <c r="C12" s="255"/>
      <c r="D12" s="255"/>
      <c r="E12" s="255"/>
      <c r="F12" s="255"/>
      <c r="G12" s="255"/>
      <c r="H12" s="255"/>
      <c r="I12" s="266"/>
    </row>
    <row r="13" spans="1:9" ht="15.75" customHeight="1" x14ac:dyDescent="0.25">
      <c r="A13" s="315"/>
      <c r="B13" s="255" t="s">
        <v>630</v>
      </c>
      <c r="C13" s="255"/>
      <c r="D13" s="255"/>
      <c r="E13" s="255"/>
      <c r="F13" s="255"/>
      <c r="G13" s="255"/>
      <c r="H13" s="255"/>
      <c r="I13" s="266"/>
    </row>
    <row r="14" spans="1:9" ht="15.75" customHeight="1" x14ac:dyDescent="0.25">
      <c r="A14" s="316"/>
      <c r="B14" s="278" t="s">
        <v>631</v>
      </c>
      <c r="C14" s="278"/>
      <c r="D14" s="278"/>
      <c r="E14" s="278"/>
      <c r="F14" s="278"/>
      <c r="G14" s="278"/>
      <c r="H14" s="278"/>
      <c r="I14" s="277"/>
    </row>
    <row r="15" spans="1:9" ht="5.85" customHeight="1" thickBot="1" x14ac:dyDescent="0.3">
      <c r="A15" s="255"/>
      <c r="B15" s="297"/>
      <c r="C15" s="297"/>
      <c r="D15" s="297"/>
      <c r="E15" s="297"/>
      <c r="F15" s="297"/>
      <c r="G15" s="297"/>
      <c r="H15" s="255"/>
      <c r="I15" s="255"/>
    </row>
    <row r="16" spans="1:9" ht="15.6" customHeight="1" x14ac:dyDescent="0.25">
      <c r="A16" s="876" t="s">
        <v>440</v>
      </c>
      <c r="B16" s="877"/>
      <c r="C16" s="877" t="s">
        <v>439</v>
      </c>
      <c r="D16" s="877" t="s">
        <v>438</v>
      </c>
      <c r="E16" s="877"/>
      <c r="F16" s="877"/>
      <c r="G16" s="877"/>
      <c r="H16" s="880" t="s">
        <v>437</v>
      </c>
      <c r="I16" s="882" t="s">
        <v>436</v>
      </c>
    </row>
    <row r="17" spans="1:15" ht="15.6" customHeight="1" x14ac:dyDescent="0.25">
      <c r="A17" s="878"/>
      <c r="B17" s="879"/>
      <c r="C17" s="879"/>
      <c r="D17" s="879"/>
      <c r="E17" s="879"/>
      <c r="F17" s="879"/>
      <c r="G17" s="879"/>
      <c r="H17" s="881"/>
      <c r="I17" s="883"/>
    </row>
    <row r="18" spans="1:15" ht="9.75" customHeight="1" x14ac:dyDescent="0.25">
      <c r="A18" s="985"/>
      <c r="B18" s="986"/>
      <c r="C18" s="986"/>
      <c r="D18" s="986"/>
      <c r="E18" s="986"/>
      <c r="F18" s="986"/>
      <c r="G18" s="986"/>
      <c r="H18" s="986"/>
      <c r="I18" s="987"/>
    </row>
    <row r="19" spans="1:15" ht="15.6" customHeight="1" x14ac:dyDescent="0.25">
      <c r="A19" s="390"/>
      <c r="B19" s="309" t="s">
        <v>435</v>
      </c>
      <c r="C19" s="310" t="s">
        <v>495</v>
      </c>
      <c r="D19" s="267" t="s">
        <v>588</v>
      </c>
      <c r="E19" s="255"/>
      <c r="F19" s="255"/>
      <c r="G19" s="294"/>
      <c r="H19" s="282" t="s">
        <v>424</v>
      </c>
      <c r="I19" s="353"/>
    </row>
    <row r="20" spans="1:15" ht="15.6" customHeight="1" x14ac:dyDescent="0.25">
      <c r="A20" s="390"/>
      <c r="B20" s="304" t="s">
        <v>458</v>
      </c>
      <c r="C20" s="283" t="s">
        <v>430</v>
      </c>
      <c r="D20" s="267" t="s">
        <v>663</v>
      </c>
      <c r="E20" s="255"/>
      <c r="F20" s="255"/>
      <c r="G20" s="266"/>
      <c r="H20" s="282" t="s">
        <v>497</v>
      </c>
      <c r="I20" s="350"/>
      <c r="K20" s="255"/>
      <c r="L20" s="255"/>
      <c r="M20" s="255"/>
      <c r="N20" s="296"/>
    </row>
    <row r="21" spans="1:15" ht="15.6" customHeight="1" x14ac:dyDescent="0.25">
      <c r="A21" s="390"/>
      <c r="B21" s="306"/>
      <c r="C21" s="283" t="s">
        <v>429</v>
      </c>
      <c r="D21" s="951" t="s">
        <v>664</v>
      </c>
      <c r="E21" s="968"/>
      <c r="F21" s="968"/>
      <c r="G21" s="969"/>
      <c r="H21" s="282" t="s">
        <v>424</v>
      </c>
      <c r="I21" s="386"/>
      <c r="K21" s="255"/>
      <c r="L21" s="255"/>
      <c r="M21" s="255"/>
      <c r="N21" s="255"/>
    </row>
    <row r="22" spans="1:15" ht="15.6" customHeight="1" x14ac:dyDescent="0.25">
      <c r="A22" s="390"/>
      <c r="B22" s="307"/>
      <c r="C22" s="280"/>
      <c r="D22" s="267"/>
      <c r="E22" s="255"/>
      <c r="F22" s="255"/>
      <c r="G22" s="266"/>
      <c r="H22" s="276"/>
      <c r="I22" s="387"/>
      <c r="K22" s="255"/>
      <c r="L22" s="255"/>
      <c r="M22" s="255"/>
      <c r="N22" s="255"/>
    </row>
    <row r="23" spans="1:15" ht="15.6" customHeight="1" x14ac:dyDescent="0.25">
      <c r="A23" s="390"/>
      <c r="B23" s="305" t="s">
        <v>432</v>
      </c>
      <c r="C23" s="273" t="s">
        <v>495</v>
      </c>
      <c r="D23" s="287" t="s">
        <v>665</v>
      </c>
      <c r="E23" s="287"/>
      <c r="F23" s="287"/>
      <c r="G23" s="293"/>
      <c r="H23" s="347" t="s">
        <v>497</v>
      </c>
      <c r="I23" s="349"/>
      <c r="K23" s="255"/>
      <c r="L23" s="255"/>
      <c r="M23" s="255"/>
      <c r="N23" s="255"/>
    </row>
    <row r="24" spans="1:15" ht="15.6" customHeight="1" x14ac:dyDescent="0.25">
      <c r="A24" s="390"/>
      <c r="B24" s="304" t="s">
        <v>459</v>
      </c>
      <c r="C24" s="268" t="s">
        <v>534</v>
      </c>
      <c r="D24" s="255" t="s">
        <v>666</v>
      </c>
      <c r="E24" s="255"/>
      <c r="F24" s="255"/>
      <c r="G24" s="255"/>
      <c r="H24" s="310" t="s">
        <v>497</v>
      </c>
      <c r="I24" s="386"/>
      <c r="K24" s="255"/>
      <c r="L24" s="255"/>
      <c r="M24" s="255"/>
      <c r="N24" s="255"/>
    </row>
    <row r="25" spans="1:15" ht="15.6" customHeight="1" x14ac:dyDescent="0.25">
      <c r="A25" s="390"/>
      <c r="B25" s="306"/>
      <c r="C25" s="268"/>
      <c r="D25" s="255"/>
      <c r="E25" s="255"/>
      <c r="F25" s="255"/>
      <c r="G25" s="255"/>
      <c r="H25" s="310"/>
      <c r="I25" s="386"/>
      <c r="K25" s="255"/>
      <c r="L25" s="255"/>
      <c r="M25" s="255"/>
      <c r="N25" s="255"/>
    </row>
    <row r="26" spans="1:15" ht="15.6" customHeight="1" x14ac:dyDescent="0.25">
      <c r="A26" s="390"/>
      <c r="B26" s="307"/>
      <c r="C26" s="292"/>
      <c r="D26" s="278"/>
      <c r="E26" s="278"/>
      <c r="F26" s="278"/>
      <c r="G26" s="278"/>
      <c r="H26" s="348"/>
      <c r="I26" s="352"/>
      <c r="K26" s="255"/>
      <c r="L26" s="255"/>
      <c r="M26" s="255"/>
      <c r="N26" s="255"/>
    </row>
    <row r="27" spans="1:15" ht="15.6" customHeight="1" x14ac:dyDescent="0.25">
      <c r="A27" s="390"/>
      <c r="B27" s="308" t="s">
        <v>431</v>
      </c>
      <c r="C27" s="273" t="s">
        <v>495</v>
      </c>
      <c r="D27" s="267" t="s">
        <v>662</v>
      </c>
      <c r="E27" s="255"/>
      <c r="F27" s="255"/>
      <c r="G27" s="266"/>
      <c r="H27" s="272" t="s">
        <v>425</v>
      </c>
      <c r="I27" s="354"/>
      <c r="K27" s="255"/>
      <c r="L27" s="255"/>
      <c r="M27" s="255"/>
      <c r="N27" s="255"/>
    </row>
    <row r="28" spans="1:15" ht="15.6" customHeight="1" x14ac:dyDescent="0.25">
      <c r="A28" s="390"/>
      <c r="B28" s="304" t="s">
        <v>460</v>
      </c>
      <c r="C28" s="268" t="s">
        <v>534</v>
      </c>
      <c r="D28" s="267" t="s">
        <v>655</v>
      </c>
      <c r="E28" s="255"/>
      <c r="F28" s="255"/>
      <c r="G28" s="266"/>
      <c r="H28" s="265" t="s">
        <v>507</v>
      </c>
      <c r="I28" s="392"/>
    </row>
    <row r="29" spans="1:15" ht="15.6" customHeight="1" x14ac:dyDescent="0.25">
      <c r="A29" s="390"/>
      <c r="B29" s="306"/>
      <c r="C29" s="268"/>
      <c r="D29" s="267"/>
      <c r="E29" s="255"/>
      <c r="F29" s="255"/>
      <c r="G29" s="266"/>
      <c r="H29" s="265"/>
      <c r="I29" s="351"/>
    </row>
    <row r="30" spans="1:15" ht="15.6" customHeight="1" x14ac:dyDescent="0.25">
      <c r="A30" s="391"/>
      <c r="B30" s="254"/>
      <c r="C30" s="265"/>
      <c r="D30" s="267"/>
      <c r="E30" s="255"/>
      <c r="F30" s="255"/>
      <c r="G30" s="266"/>
      <c r="H30" s="265"/>
      <c r="I30" s="355"/>
    </row>
    <row r="31" spans="1:15" ht="15.6" customHeight="1" x14ac:dyDescent="0.25">
      <c r="A31" s="927" t="s">
        <v>428</v>
      </c>
      <c r="B31" s="860"/>
      <c r="C31" s="860"/>
      <c r="D31" s="860"/>
      <c r="E31" s="860"/>
      <c r="F31" s="860"/>
      <c r="G31" s="860"/>
      <c r="H31" s="860"/>
      <c r="I31" s="928"/>
      <c r="K31" s="255"/>
      <c r="L31" s="255"/>
      <c r="M31" s="255"/>
      <c r="N31" s="255"/>
      <c r="O31" s="255"/>
    </row>
    <row r="32" spans="1:15" ht="15.6" customHeight="1" x14ac:dyDescent="0.25">
      <c r="A32" s="929"/>
      <c r="B32" s="863"/>
      <c r="C32" s="863"/>
      <c r="D32" s="863"/>
      <c r="E32" s="863"/>
      <c r="F32" s="863"/>
      <c r="G32" s="863"/>
      <c r="H32" s="863"/>
      <c r="I32" s="930"/>
      <c r="K32" s="255"/>
      <c r="L32" s="255"/>
      <c r="M32" s="255"/>
      <c r="N32" s="255"/>
      <c r="O32" s="255"/>
    </row>
    <row r="33" spans="1:15" ht="9.75" customHeight="1" x14ac:dyDescent="0.25">
      <c r="A33" s="931"/>
      <c r="B33" s="932"/>
      <c r="C33" s="932"/>
      <c r="D33" s="932"/>
      <c r="E33" s="932"/>
      <c r="F33" s="932"/>
      <c r="G33" s="932"/>
      <c r="H33" s="932"/>
      <c r="I33" s="933"/>
      <c r="K33" s="255"/>
      <c r="L33" s="255"/>
      <c r="M33" s="255"/>
      <c r="N33" s="255"/>
      <c r="O33" s="255"/>
    </row>
    <row r="34" spans="1:15" ht="15.6" customHeight="1" x14ac:dyDescent="0.25">
      <c r="A34" s="356"/>
      <c r="B34" s="290" t="s">
        <v>427</v>
      </c>
      <c r="C34" s="283" t="s">
        <v>430</v>
      </c>
      <c r="D34" s="267" t="s">
        <v>672</v>
      </c>
      <c r="E34" s="255"/>
      <c r="F34" s="255"/>
      <c r="G34" s="266"/>
      <c r="H34" s="282" t="s">
        <v>424</v>
      </c>
      <c r="I34" s="376"/>
      <c r="K34" s="255"/>
      <c r="L34" s="255"/>
      <c r="M34" s="255"/>
      <c r="N34" s="255"/>
      <c r="O34" s="255"/>
    </row>
    <row r="35" spans="1:15" ht="15.6" customHeight="1" x14ac:dyDescent="0.25">
      <c r="A35" s="356"/>
      <c r="B35" s="319" t="s">
        <v>461</v>
      </c>
      <c r="C35" s="283" t="s">
        <v>426</v>
      </c>
      <c r="D35" s="267" t="s">
        <v>673</v>
      </c>
      <c r="E35" s="255"/>
      <c r="F35" s="255"/>
      <c r="G35" s="266"/>
      <c r="H35" s="282" t="s">
        <v>497</v>
      </c>
      <c r="I35" s="351"/>
      <c r="K35" s="255"/>
      <c r="L35" s="255"/>
      <c r="M35" s="255"/>
      <c r="N35" s="255"/>
      <c r="O35" s="255"/>
    </row>
    <row r="36" spans="1:15" ht="15.6" customHeight="1" x14ac:dyDescent="0.25">
      <c r="A36" s="356"/>
      <c r="B36" s="269"/>
      <c r="C36" s="283"/>
      <c r="D36" s="267"/>
      <c r="E36" s="255"/>
      <c r="F36" s="255"/>
      <c r="G36" s="266"/>
      <c r="H36" s="282"/>
      <c r="I36" s="351"/>
      <c r="K36" s="255"/>
      <c r="L36" s="255"/>
      <c r="M36" s="255"/>
      <c r="N36" s="255"/>
      <c r="O36" s="255"/>
    </row>
    <row r="37" spans="1:15" ht="15.6" customHeight="1" x14ac:dyDescent="0.25">
      <c r="A37" s="356"/>
      <c r="B37" s="281"/>
      <c r="C37" s="280"/>
      <c r="D37" s="279"/>
      <c r="E37" s="278"/>
      <c r="F37" s="278"/>
      <c r="G37" s="277"/>
      <c r="H37" s="276"/>
      <c r="I37" s="352"/>
    </row>
    <row r="38" spans="1:15" ht="15.6" customHeight="1" x14ac:dyDescent="0.25">
      <c r="A38" s="356"/>
      <c r="B38" s="274" t="s">
        <v>423</v>
      </c>
      <c r="C38" s="273" t="s">
        <v>430</v>
      </c>
      <c r="D38" s="267" t="s">
        <v>674</v>
      </c>
      <c r="E38" s="255"/>
      <c r="F38" s="255"/>
      <c r="G38" s="266"/>
      <c r="H38" s="272" t="s">
        <v>497</v>
      </c>
      <c r="I38" s="354"/>
    </row>
    <row r="39" spans="1:15" ht="15.6" customHeight="1" x14ac:dyDescent="0.25">
      <c r="A39" s="356"/>
      <c r="B39" s="270" t="s">
        <v>462</v>
      </c>
      <c r="C39" s="268" t="s">
        <v>495</v>
      </c>
      <c r="D39" s="267"/>
      <c r="E39" s="255"/>
      <c r="F39" s="255"/>
      <c r="G39" s="266"/>
      <c r="H39" s="265" t="s">
        <v>424</v>
      </c>
      <c r="I39" s="351"/>
    </row>
    <row r="40" spans="1:15" ht="15.6" customHeight="1" x14ac:dyDescent="0.25">
      <c r="A40" s="356"/>
      <c r="B40" s="269"/>
      <c r="C40" s="268"/>
      <c r="D40" s="267"/>
      <c r="E40" s="255"/>
      <c r="F40" s="255"/>
      <c r="G40" s="266"/>
      <c r="H40" s="265"/>
      <c r="I40" s="350"/>
    </row>
    <row r="41" spans="1:15" ht="15.6" customHeight="1" x14ac:dyDescent="0.25">
      <c r="A41" s="357"/>
      <c r="B41" s="358"/>
      <c r="C41" s="291"/>
      <c r="D41" s="279"/>
      <c r="E41" s="278"/>
      <c r="F41" s="278"/>
      <c r="G41" s="277"/>
      <c r="H41" s="291"/>
      <c r="I41" s="352"/>
    </row>
    <row r="42" spans="1:15" ht="5.85" customHeight="1" x14ac:dyDescent="0.25">
      <c r="A42" s="255"/>
      <c r="B42" s="257"/>
      <c r="C42" s="256"/>
      <c r="D42" s="255"/>
      <c r="E42" s="255"/>
      <c r="F42" s="255"/>
      <c r="G42" s="255"/>
      <c r="H42" s="255"/>
      <c r="I42" s="255"/>
    </row>
    <row r="43" spans="1:15" ht="15.6" customHeight="1" x14ac:dyDescent="0.25">
      <c r="A43" s="867" t="s">
        <v>422</v>
      </c>
      <c r="B43" s="868"/>
      <c r="C43" s="868"/>
      <c r="D43" s="869"/>
      <c r="E43" s="867" t="s">
        <v>421</v>
      </c>
      <c r="F43" s="868"/>
      <c r="G43" s="867" t="s">
        <v>420</v>
      </c>
      <c r="H43" s="868"/>
      <c r="I43" s="869"/>
    </row>
    <row r="44" spans="1:15" ht="15.6" customHeight="1" x14ac:dyDescent="0.25">
      <c r="A44" s="870"/>
      <c r="B44" s="871"/>
      <c r="C44" s="871"/>
      <c r="D44" s="872"/>
      <c r="E44" s="870"/>
      <c r="F44" s="871"/>
      <c r="G44" s="873"/>
      <c r="H44" s="874"/>
      <c r="I44" s="875"/>
    </row>
    <row r="45" spans="1:15" ht="15.6" customHeight="1" x14ac:dyDescent="0.25">
      <c r="A45" s="988" t="s">
        <v>667</v>
      </c>
      <c r="B45" s="989"/>
      <c r="C45" s="989"/>
      <c r="D45" s="989"/>
      <c r="E45" s="954"/>
      <c r="F45" s="955"/>
      <c r="G45" s="990" t="s">
        <v>660</v>
      </c>
      <c r="H45" s="990"/>
      <c r="I45" s="991"/>
    </row>
    <row r="46" spans="1:15" ht="15.6" customHeight="1" x14ac:dyDescent="0.25">
      <c r="A46" s="992" t="s">
        <v>671</v>
      </c>
      <c r="B46" s="993"/>
      <c r="C46" s="993"/>
      <c r="D46" s="993"/>
      <c r="E46" s="958"/>
      <c r="F46" s="959"/>
      <c r="G46" s="994"/>
      <c r="H46" s="994"/>
      <c r="I46" s="995"/>
    </row>
    <row r="47" spans="1:15" ht="15.6" customHeight="1" x14ac:dyDescent="0.25">
      <c r="A47" s="999"/>
      <c r="B47" s="1000"/>
      <c r="C47" s="1000"/>
      <c r="D47" s="1000"/>
      <c r="E47" s="374"/>
      <c r="F47" s="375"/>
      <c r="G47" s="994"/>
      <c r="H47" s="994"/>
      <c r="I47" s="995"/>
    </row>
    <row r="48" spans="1:15" ht="15.6" customHeight="1" x14ac:dyDescent="0.25">
      <c r="A48" s="970"/>
      <c r="B48" s="922"/>
      <c r="C48" s="922"/>
      <c r="D48" s="922"/>
      <c r="E48" s="960"/>
      <c r="F48" s="961"/>
      <c r="G48" s="840" t="s">
        <v>628</v>
      </c>
      <c r="H48" s="840"/>
      <c r="I48" s="841"/>
    </row>
    <row r="49" spans="1:9" ht="15.6" customHeight="1" x14ac:dyDescent="0.25">
      <c r="A49" s="962"/>
      <c r="B49" s="963"/>
      <c r="C49" s="963"/>
      <c r="D49" s="964"/>
      <c r="E49" s="965"/>
      <c r="F49" s="966"/>
      <c r="G49" s="843"/>
      <c r="H49" s="843"/>
      <c r="I49" s="844"/>
    </row>
    <row r="50" spans="1:9" ht="15.6" customHeight="1" x14ac:dyDescent="0.25">
      <c r="A50" s="827"/>
      <c r="B50" s="828"/>
      <c r="C50" s="828"/>
      <c r="D50" s="828"/>
      <c r="E50" s="830"/>
      <c r="F50" s="831"/>
      <c r="G50" s="833"/>
      <c r="H50" s="833"/>
      <c r="I50" s="834"/>
    </row>
    <row r="51" spans="1:9" ht="15.75" customHeight="1" x14ac:dyDescent="0.25"/>
    <row r="52" spans="1:9" ht="15.75" customHeight="1" x14ac:dyDescent="0.25"/>
    <row r="53" spans="1:9" ht="15.75" customHeight="1" x14ac:dyDescent="0.25"/>
    <row r="54" spans="1:9" ht="15.75" customHeight="1" x14ac:dyDescent="0.25"/>
    <row r="55" spans="1:9" ht="15.75" customHeight="1" x14ac:dyDescent="0.25"/>
  </sheetData>
  <mergeCells count="39">
    <mergeCell ref="A50:D50"/>
    <mergeCell ref="E50:F50"/>
    <mergeCell ref="G50:I50"/>
    <mergeCell ref="A47:D47"/>
    <mergeCell ref="G47:I47"/>
    <mergeCell ref="A48:D48"/>
    <mergeCell ref="E48:F48"/>
    <mergeCell ref="G48:I48"/>
    <mergeCell ref="A49:D49"/>
    <mergeCell ref="E49:F49"/>
    <mergeCell ref="G49:I49"/>
    <mergeCell ref="A45:D45"/>
    <mergeCell ref="E45:F45"/>
    <mergeCell ref="G45:I45"/>
    <mergeCell ref="A46:D46"/>
    <mergeCell ref="E46:F46"/>
    <mergeCell ref="G46:I46"/>
    <mergeCell ref="A18:I18"/>
    <mergeCell ref="D21:G21"/>
    <mergeCell ref="A31:I32"/>
    <mergeCell ref="A33:I33"/>
    <mergeCell ref="A43:D44"/>
    <mergeCell ref="E43:F44"/>
    <mergeCell ref="G43:I44"/>
    <mergeCell ref="A7:B8"/>
    <mergeCell ref="C7:H8"/>
    <mergeCell ref="I7:I8"/>
    <mergeCell ref="A16:B17"/>
    <mergeCell ref="C16:C17"/>
    <mergeCell ref="D16:G17"/>
    <mergeCell ref="H16:H17"/>
    <mergeCell ref="I16:I17"/>
    <mergeCell ref="A1:E2"/>
    <mergeCell ref="F1:H2"/>
    <mergeCell ref="I1:I2"/>
    <mergeCell ref="A4:B4"/>
    <mergeCell ref="A5:B6"/>
    <mergeCell ref="C5:H6"/>
    <mergeCell ref="I5:I6"/>
  </mergeCells>
  <pageMargins left="0.25" right="0.25" top="0.75" bottom="0.75" header="0.3" footer="0.3"/>
  <pageSetup paperSize="9" orientation="portrait" r:id="rId1"/>
  <headerFooter>
    <oddHeader>&amp;LGBS SG&amp;CSSPb23-25&amp;RBKU</oddHeader>
    <oddFooter>&amp;R&amp;"Century Gothic,Standard"&amp;9ART &amp;D</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409C9-1967-4CA0-8EE9-B2C72EE955F1}">
  <dimension ref="A1:O56"/>
  <sheetViews>
    <sheetView view="pageLayout" zoomScale="130" zoomScaleNormal="100" zoomScalePageLayoutView="130" workbookViewId="0">
      <selection activeCell="B12" sqref="B12"/>
    </sheetView>
  </sheetViews>
  <sheetFormatPr baseColWidth="10" defaultColWidth="11.42578125" defaultRowHeight="15" x14ac:dyDescent="0.25"/>
  <cols>
    <col min="1" max="1" width="1.5703125" customWidth="1"/>
    <col min="2" max="2" width="13.85546875" customWidth="1"/>
    <col min="3" max="3" width="4.7109375" customWidth="1"/>
    <col min="4" max="4" width="16.28515625" customWidth="1"/>
    <col min="5" max="5" width="13.28515625" customWidth="1"/>
    <col min="6" max="6" width="13" customWidth="1"/>
    <col min="7" max="7" width="12.7109375" customWidth="1"/>
    <col min="8" max="8" width="4.85546875" customWidth="1"/>
    <col min="9" max="9" width="16.7109375" customWidth="1"/>
  </cols>
  <sheetData>
    <row r="1" spans="1:9" ht="15" customHeight="1" x14ac:dyDescent="0.25">
      <c r="A1" s="884" t="s">
        <v>443</v>
      </c>
      <c r="B1" s="885"/>
      <c r="C1" s="885"/>
      <c r="D1" s="885"/>
      <c r="E1" s="886"/>
      <c r="F1" s="890">
        <f>Kompetenzraster!R33</f>
        <v>45637</v>
      </c>
      <c r="G1" s="891"/>
      <c r="H1" s="892"/>
      <c r="I1" s="896">
        <v>15</v>
      </c>
    </row>
    <row r="2" spans="1:9" ht="15" customHeight="1" x14ac:dyDescent="0.25">
      <c r="A2" s="887"/>
      <c r="B2" s="888"/>
      <c r="C2" s="888"/>
      <c r="D2" s="888"/>
      <c r="E2" s="889"/>
      <c r="F2" s="893"/>
      <c r="G2" s="894"/>
      <c r="H2" s="895"/>
      <c r="I2" s="896"/>
    </row>
    <row r="3" spans="1:9" ht="8.4499999999999993" customHeight="1" x14ac:dyDescent="0.25">
      <c r="A3" s="255"/>
      <c r="B3" s="303"/>
      <c r="C3" s="303"/>
      <c r="D3" s="303"/>
      <c r="E3" s="303"/>
      <c r="F3" s="301"/>
      <c r="G3" s="301"/>
      <c r="H3" s="301"/>
      <c r="I3" s="301"/>
    </row>
    <row r="4" spans="1:9" ht="15.75" customHeight="1" x14ac:dyDescent="0.25">
      <c r="A4" s="897" t="s">
        <v>442</v>
      </c>
      <c r="B4" s="897"/>
      <c r="C4" s="303"/>
      <c r="D4" s="303"/>
      <c r="E4" s="303"/>
      <c r="F4" s="301"/>
      <c r="G4" s="301"/>
      <c r="H4" s="301"/>
      <c r="I4" s="301"/>
    </row>
    <row r="5" spans="1:9" ht="14.25" customHeight="1" x14ac:dyDescent="0.25">
      <c r="A5" s="974" t="s">
        <v>445</v>
      </c>
      <c r="B5" s="975"/>
      <c r="C5" s="978" t="s">
        <v>657</v>
      </c>
      <c r="D5" s="979"/>
      <c r="E5" s="979"/>
      <c r="F5" s="979"/>
      <c r="G5" s="979"/>
      <c r="H5" s="980"/>
      <c r="I5" s="998">
        <v>3.1</v>
      </c>
    </row>
    <row r="6" spans="1:9" ht="14.25" customHeight="1" x14ac:dyDescent="0.25">
      <c r="A6" s="976"/>
      <c r="B6" s="977"/>
      <c r="C6" s="981"/>
      <c r="D6" s="982"/>
      <c r="E6" s="982"/>
      <c r="F6" s="982"/>
      <c r="G6" s="982"/>
      <c r="H6" s="983"/>
      <c r="I6" s="998"/>
    </row>
    <row r="7" spans="1:9" ht="14.25" customHeight="1" x14ac:dyDescent="0.25">
      <c r="A7" s="911" t="s">
        <v>446</v>
      </c>
      <c r="B7" s="912"/>
      <c r="C7" s="899" t="s">
        <v>617</v>
      </c>
      <c r="D7" s="900"/>
      <c r="E7" s="900"/>
      <c r="F7" s="900"/>
      <c r="G7" s="900"/>
      <c r="H7" s="901"/>
      <c r="I7" s="919">
        <v>3.3</v>
      </c>
    </row>
    <row r="8" spans="1:9" ht="14.25" customHeight="1" x14ac:dyDescent="0.25">
      <c r="A8" s="913"/>
      <c r="B8" s="914"/>
      <c r="C8" s="902"/>
      <c r="D8" s="903"/>
      <c r="E8" s="903"/>
      <c r="F8" s="903"/>
      <c r="G8" s="903"/>
      <c r="H8" s="904"/>
      <c r="I8" s="920"/>
    </row>
    <row r="9" spans="1:9" ht="5.85" customHeight="1" x14ac:dyDescent="0.25">
      <c r="A9" s="255"/>
      <c r="B9" s="302"/>
      <c r="C9" s="302"/>
      <c r="D9" s="302"/>
      <c r="E9" s="302"/>
      <c r="F9" s="302"/>
      <c r="G9" s="302"/>
      <c r="H9" s="302"/>
      <c r="I9" s="301"/>
    </row>
    <row r="10" spans="1:9" ht="15.75" customHeight="1" x14ac:dyDescent="0.25">
      <c r="A10" s="300" t="s">
        <v>441</v>
      </c>
      <c r="B10" s="299"/>
      <c r="C10" s="299"/>
      <c r="D10" s="299"/>
      <c r="E10" s="299"/>
      <c r="F10" s="299"/>
      <c r="G10" s="299"/>
      <c r="H10" s="299"/>
      <c r="I10" s="298"/>
    </row>
    <row r="11" spans="1:9" ht="15.75" customHeight="1" x14ac:dyDescent="0.25">
      <c r="A11" s="388"/>
      <c r="B11" s="255" t="s">
        <v>661</v>
      </c>
      <c r="C11" s="255"/>
      <c r="D11" s="255"/>
      <c r="E11" s="255"/>
      <c r="F11" s="255"/>
      <c r="G11" s="255"/>
      <c r="H11" s="255"/>
      <c r="I11" s="266"/>
    </row>
    <row r="12" spans="1:9" ht="15.75" customHeight="1" x14ac:dyDescent="0.25">
      <c r="A12" s="389"/>
      <c r="B12" s="255" t="s">
        <v>629</v>
      </c>
      <c r="C12" s="255"/>
      <c r="D12" s="255"/>
      <c r="E12" s="255"/>
      <c r="F12" s="255"/>
      <c r="G12" s="255"/>
      <c r="H12" s="255"/>
      <c r="I12" s="266"/>
    </row>
    <row r="13" spans="1:9" ht="15.75" customHeight="1" x14ac:dyDescent="0.25">
      <c r="A13" s="315"/>
      <c r="B13" s="255" t="s">
        <v>630</v>
      </c>
      <c r="C13" s="255"/>
      <c r="D13" s="255"/>
      <c r="E13" s="255"/>
      <c r="F13" s="255"/>
      <c r="G13" s="255"/>
      <c r="H13" s="255"/>
      <c r="I13" s="266"/>
    </row>
    <row r="14" spans="1:9" ht="15.75" customHeight="1" x14ac:dyDescent="0.25">
      <c r="A14" s="316"/>
      <c r="B14" s="278" t="s">
        <v>631</v>
      </c>
      <c r="C14" s="278"/>
      <c r="D14" s="278"/>
      <c r="E14" s="278"/>
      <c r="F14" s="278"/>
      <c r="G14" s="278"/>
      <c r="H14" s="278"/>
      <c r="I14" s="277"/>
    </row>
    <row r="15" spans="1:9" ht="5.85" customHeight="1" thickBot="1" x14ac:dyDescent="0.3">
      <c r="A15" s="255"/>
      <c r="B15" s="297"/>
      <c r="C15" s="297"/>
      <c r="D15" s="297"/>
      <c r="E15" s="297"/>
      <c r="F15" s="297"/>
      <c r="G15" s="297"/>
      <c r="H15" s="255"/>
      <c r="I15" s="255"/>
    </row>
    <row r="16" spans="1:9" ht="15.6" customHeight="1" x14ac:dyDescent="0.25">
      <c r="A16" s="876" t="s">
        <v>440</v>
      </c>
      <c r="B16" s="877"/>
      <c r="C16" s="877" t="s">
        <v>439</v>
      </c>
      <c r="D16" s="877" t="s">
        <v>438</v>
      </c>
      <c r="E16" s="877"/>
      <c r="F16" s="877"/>
      <c r="G16" s="877"/>
      <c r="H16" s="880" t="s">
        <v>437</v>
      </c>
      <c r="I16" s="882" t="s">
        <v>436</v>
      </c>
    </row>
    <row r="17" spans="1:15" ht="15.6" customHeight="1" x14ac:dyDescent="0.25">
      <c r="A17" s="878"/>
      <c r="B17" s="879"/>
      <c r="C17" s="879"/>
      <c r="D17" s="879"/>
      <c r="E17" s="879"/>
      <c r="F17" s="879"/>
      <c r="G17" s="879"/>
      <c r="H17" s="881"/>
      <c r="I17" s="883"/>
    </row>
    <row r="18" spans="1:15" ht="9.75" customHeight="1" x14ac:dyDescent="0.25">
      <c r="A18" s="985"/>
      <c r="B18" s="986"/>
      <c r="C18" s="986"/>
      <c r="D18" s="986"/>
      <c r="E18" s="986"/>
      <c r="F18" s="986"/>
      <c r="G18" s="986"/>
      <c r="H18" s="986"/>
      <c r="I18" s="987"/>
    </row>
    <row r="19" spans="1:15" ht="15.6" customHeight="1" x14ac:dyDescent="0.25">
      <c r="A19" s="390"/>
      <c r="B19" s="309" t="s">
        <v>435</v>
      </c>
      <c r="C19" s="310" t="s">
        <v>495</v>
      </c>
      <c r="D19" s="267" t="s">
        <v>588</v>
      </c>
      <c r="E19" s="255"/>
      <c r="F19" s="255"/>
      <c r="G19" s="294"/>
      <c r="H19" s="282" t="s">
        <v>424</v>
      </c>
      <c r="I19" s="353"/>
    </row>
    <row r="20" spans="1:15" ht="15.6" customHeight="1" x14ac:dyDescent="0.25">
      <c r="A20" s="390"/>
      <c r="B20" s="304" t="s">
        <v>458</v>
      </c>
      <c r="C20" s="359" t="s">
        <v>545</v>
      </c>
      <c r="D20" s="360" t="s">
        <v>668</v>
      </c>
      <c r="E20" s="361"/>
      <c r="F20" s="361"/>
      <c r="G20" s="362"/>
      <c r="H20" s="363" t="s">
        <v>497</v>
      </c>
      <c r="I20" s="350" t="s">
        <v>669</v>
      </c>
      <c r="K20" s="255"/>
      <c r="L20" s="255"/>
      <c r="M20" s="255"/>
      <c r="N20" s="296"/>
    </row>
    <row r="21" spans="1:15" ht="15.6" customHeight="1" x14ac:dyDescent="0.25">
      <c r="A21" s="390"/>
      <c r="B21" s="306"/>
      <c r="C21" s="359"/>
      <c r="D21" s="948"/>
      <c r="E21" s="972"/>
      <c r="F21" s="972"/>
      <c r="G21" s="973"/>
      <c r="H21" s="363"/>
      <c r="I21" s="395" t="s">
        <v>544</v>
      </c>
      <c r="K21" s="255"/>
      <c r="L21" s="255"/>
      <c r="M21" s="255"/>
      <c r="N21" s="255"/>
    </row>
    <row r="22" spans="1:15" ht="15.6" customHeight="1" x14ac:dyDescent="0.25">
      <c r="A22" s="390"/>
      <c r="B22" s="307"/>
      <c r="C22" s="364"/>
      <c r="D22" s="360"/>
      <c r="E22" s="361"/>
      <c r="F22" s="361"/>
      <c r="G22" s="362"/>
      <c r="H22" s="365"/>
      <c r="I22" s="387"/>
      <c r="K22" s="255"/>
      <c r="L22" s="255"/>
      <c r="M22" s="255"/>
      <c r="N22" s="255"/>
    </row>
    <row r="23" spans="1:15" ht="15.6" customHeight="1" x14ac:dyDescent="0.25">
      <c r="A23" s="390"/>
      <c r="B23" s="305" t="s">
        <v>432</v>
      </c>
      <c r="C23" s="366"/>
      <c r="D23" s="367"/>
      <c r="E23" s="367"/>
      <c r="F23" s="367"/>
      <c r="G23" s="368"/>
      <c r="H23" s="369"/>
      <c r="I23" s="349"/>
      <c r="K23" s="255"/>
      <c r="L23" s="255"/>
      <c r="M23" s="255"/>
      <c r="N23" s="255"/>
    </row>
    <row r="24" spans="1:15" ht="15.6" customHeight="1" x14ac:dyDescent="0.25">
      <c r="A24" s="390"/>
      <c r="B24" s="304" t="s">
        <v>459</v>
      </c>
      <c r="C24" s="268" t="s">
        <v>434</v>
      </c>
      <c r="D24" s="255" t="s">
        <v>670</v>
      </c>
      <c r="E24" s="255"/>
      <c r="F24" s="255"/>
      <c r="G24" s="255"/>
      <c r="H24" s="310"/>
      <c r="I24" s="386"/>
      <c r="K24" s="255"/>
      <c r="L24" s="255"/>
      <c r="M24" s="255"/>
      <c r="N24" s="255"/>
    </row>
    <row r="25" spans="1:15" ht="15.6" customHeight="1" x14ac:dyDescent="0.25">
      <c r="A25" s="390"/>
      <c r="B25" s="306"/>
      <c r="C25" s="268" t="s">
        <v>433</v>
      </c>
      <c r="D25" s="267" t="s">
        <v>675</v>
      </c>
      <c r="E25" s="255"/>
      <c r="F25" s="255"/>
      <c r="G25" s="255"/>
      <c r="H25" s="310"/>
      <c r="I25" s="386"/>
      <c r="K25" s="255"/>
      <c r="L25" s="255"/>
      <c r="M25" s="255"/>
      <c r="N25" s="255"/>
    </row>
    <row r="26" spans="1:15" ht="15.6" customHeight="1" x14ac:dyDescent="0.25">
      <c r="A26" s="390"/>
      <c r="B26" s="307"/>
      <c r="C26" s="292"/>
      <c r="D26" s="278"/>
      <c r="E26" s="278"/>
      <c r="F26" s="278"/>
      <c r="G26" s="278"/>
      <c r="H26" s="348"/>
      <c r="I26" s="352"/>
      <c r="K26" s="255"/>
      <c r="L26" s="255"/>
      <c r="M26" s="255"/>
      <c r="N26" s="255"/>
    </row>
    <row r="27" spans="1:15" ht="15.6" customHeight="1" x14ac:dyDescent="0.25">
      <c r="A27" s="390"/>
      <c r="B27" s="308" t="s">
        <v>431</v>
      </c>
      <c r="C27" s="273" t="s">
        <v>500</v>
      </c>
      <c r="D27" s="267" t="s">
        <v>675</v>
      </c>
      <c r="E27" s="255"/>
      <c r="F27" s="255"/>
      <c r="G27" s="266"/>
      <c r="H27" s="272"/>
      <c r="I27" s="354"/>
      <c r="K27" s="255"/>
      <c r="L27" s="255"/>
      <c r="M27" s="255"/>
      <c r="N27" s="255"/>
    </row>
    <row r="28" spans="1:15" ht="15.6" customHeight="1" x14ac:dyDescent="0.25">
      <c r="A28" s="390"/>
      <c r="B28" s="304" t="s">
        <v>460</v>
      </c>
      <c r="C28" s="268"/>
      <c r="D28" s="267"/>
      <c r="E28" s="255"/>
      <c r="F28" s="255"/>
      <c r="G28" s="266"/>
      <c r="H28" s="265"/>
      <c r="I28" s="392"/>
    </row>
    <row r="29" spans="1:15" ht="15.6" customHeight="1" x14ac:dyDescent="0.25">
      <c r="A29" s="390"/>
      <c r="B29" s="306"/>
      <c r="C29" s="268"/>
      <c r="D29" s="267"/>
      <c r="E29" s="255"/>
      <c r="F29" s="255"/>
      <c r="G29" s="266"/>
      <c r="H29" s="265"/>
      <c r="I29" s="351"/>
    </row>
    <row r="30" spans="1:15" ht="15.6" customHeight="1" x14ac:dyDescent="0.25">
      <c r="A30" s="391"/>
      <c r="B30" s="254"/>
      <c r="C30" s="265"/>
      <c r="D30" s="267"/>
      <c r="E30" s="255"/>
      <c r="F30" s="255"/>
      <c r="G30" s="266"/>
      <c r="H30" s="265"/>
      <c r="I30" s="355"/>
    </row>
    <row r="31" spans="1:15" ht="15.6" customHeight="1" x14ac:dyDescent="0.25">
      <c r="A31" s="927" t="s">
        <v>428</v>
      </c>
      <c r="B31" s="860"/>
      <c r="C31" s="860"/>
      <c r="D31" s="860"/>
      <c r="E31" s="860"/>
      <c r="F31" s="860"/>
      <c r="G31" s="860"/>
      <c r="H31" s="860"/>
      <c r="I31" s="928"/>
      <c r="K31" s="255"/>
      <c r="L31" s="255"/>
      <c r="M31" s="255"/>
      <c r="N31" s="255"/>
      <c r="O31" s="255"/>
    </row>
    <row r="32" spans="1:15" ht="15.6" customHeight="1" x14ac:dyDescent="0.25">
      <c r="A32" s="929"/>
      <c r="B32" s="863"/>
      <c r="C32" s="863"/>
      <c r="D32" s="863"/>
      <c r="E32" s="863"/>
      <c r="F32" s="863"/>
      <c r="G32" s="863"/>
      <c r="H32" s="863"/>
      <c r="I32" s="930"/>
      <c r="K32" s="255"/>
      <c r="L32" s="255"/>
      <c r="M32" s="255"/>
      <c r="N32" s="255"/>
      <c r="O32" s="255"/>
    </row>
    <row r="33" spans="1:15" ht="9.75" customHeight="1" x14ac:dyDescent="0.25">
      <c r="A33" s="931"/>
      <c r="B33" s="932"/>
      <c r="C33" s="932"/>
      <c r="D33" s="932"/>
      <c r="E33" s="932"/>
      <c r="F33" s="932"/>
      <c r="G33" s="932"/>
      <c r="H33" s="932"/>
      <c r="I33" s="933"/>
      <c r="K33" s="255"/>
      <c r="L33" s="255"/>
      <c r="M33" s="255"/>
      <c r="N33" s="255"/>
      <c r="O33" s="255"/>
    </row>
    <row r="34" spans="1:15" ht="15.6" customHeight="1" x14ac:dyDescent="0.25">
      <c r="A34" s="356"/>
      <c r="B34" s="290" t="s">
        <v>427</v>
      </c>
      <c r="C34" s="283" t="s">
        <v>495</v>
      </c>
      <c r="D34" s="267" t="s">
        <v>672</v>
      </c>
      <c r="E34" s="255"/>
      <c r="F34" s="255"/>
      <c r="G34" s="266"/>
      <c r="H34" s="282" t="s">
        <v>424</v>
      </c>
      <c r="I34" s="376"/>
      <c r="K34" s="255"/>
      <c r="L34" s="255"/>
      <c r="M34" s="255"/>
      <c r="N34" s="255"/>
      <c r="O34" s="255"/>
    </row>
    <row r="35" spans="1:15" ht="15.6" customHeight="1" x14ac:dyDescent="0.25">
      <c r="A35" s="356"/>
      <c r="B35" s="319" t="s">
        <v>461</v>
      </c>
      <c r="C35" s="283" t="s">
        <v>534</v>
      </c>
      <c r="D35" s="267" t="s">
        <v>673</v>
      </c>
      <c r="E35" s="255"/>
      <c r="F35" s="255"/>
      <c r="G35" s="266"/>
      <c r="H35" s="282" t="s">
        <v>497</v>
      </c>
      <c r="I35" s="351"/>
      <c r="K35" s="255"/>
      <c r="L35" s="255"/>
      <c r="M35" s="255"/>
      <c r="N35" s="255"/>
      <c r="O35" s="255"/>
    </row>
    <row r="36" spans="1:15" ht="15.6" customHeight="1" x14ac:dyDescent="0.25">
      <c r="A36" s="356"/>
      <c r="B36" s="269"/>
      <c r="C36" s="283"/>
      <c r="D36" s="267"/>
      <c r="E36" s="255"/>
      <c r="F36" s="255"/>
      <c r="G36" s="266"/>
      <c r="H36" s="282"/>
      <c r="I36" s="351"/>
      <c r="K36" s="255"/>
      <c r="L36" s="255"/>
      <c r="M36" s="255"/>
      <c r="N36" s="255"/>
      <c r="O36" s="255"/>
    </row>
    <row r="37" spans="1:15" ht="15.6" customHeight="1" x14ac:dyDescent="0.25">
      <c r="A37" s="356"/>
      <c r="B37" s="281"/>
      <c r="C37" s="280"/>
      <c r="D37" s="279"/>
      <c r="E37" s="278"/>
      <c r="F37" s="278"/>
      <c r="G37" s="277"/>
      <c r="H37" s="276"/>
      <c r="I37" s="352"/>
    </row>
    <row r="38" spans="1:15" ht="15.6" customHeight="1" x14ac:dyDescent="0.25">
      <c r="A38" s="356"/>
      <c r="B38" s="274" t="s">
        <v>423</v>
      </c>
      <c r="C38" s="273" t="s">
        <v>534</v>
      </c>
      <c r="D38" s="267" t="s">
        <v>676</v>
      </c>
      <c r="E38" s="255"/>
      <c r="F38" s="255"/>
      <c r="G38" s="266"/>
      <c r="H38" s="272" t="s">
        <v>497</v>
      </c>
      <c r="I38" s="354"/>
    </row>
    <row r="39" spans="1:15" ht="15.6" customHeight="1" x14ac:dyDescent="0.25">
      <c r="A39" s="356"/>
      <c r="B39" s="270" t="s">
        <v>462</v>
      </c>
      <c r="C39" s="268" t="s">
        <v>495</v>
      </c>
      <c r="D39" s="267" t="s">
        <v>677</v>
      </c>
      <c r="E39" s="255"/>
      <c r="F39" s="255"/>
      <c r="G39" s="266"/>
      <c r="H39" s="265" t="s">
        <v>424</v>
      </c>
      <c r="I39" s="351"/>
    </row>
    <row r="40" spans="1:15" ht="15.6" customHeight="1" x14ac:dyDescent="0.25">
      <c r="A40" s="356"/>
      <c r="B40" s="269"/>
      <c r="C40" s="268"/>
      <c r="D40" s="267"/>
      <c r="E40" s="255"/>
      <c r="F40" s="255"/>
      <c r="G40" s="266"/>
      <c r="H40" s="265"/>
      <c r="I40" s="350"/>
    </row>
    <row r="41" spans="1:15" ht="15.6" customHeight="1" x14ac:dyDescent="0.25">
      <c r="A41" s="357"/>
      <c r="B41" s="358"/>
      <c r="C41" s="291"/>
      <c r="D41" s="279"/>
      <c r="E41" s="278"/>
      <c r="F41" s="278"/>
      <c r="G41" s="277"/>
      <c r="H41" s="291"/>
      <c r="I41" s="352"/>
    </row>
    <row r="42" spans="1:15" ht="5.85" customHeight="1" x14ac:dyDescent="0.25">
      <c r="A42" s="255"/>
      <c r="B42" s="257"/>
      <c r="C42" s="256"/>
      <c r="D42" s="255"/>
      <c r="E42" s="255"/>
      <c r="F42" s="255"/>
      <c r="G42" s="255"/>
      <c r="H42" s="255"/>
      <c r="I42" s="255"/>
    </row>
    <row r="43" spans="1:15" ht="15.6" customHeight="1" x14ac:dyDescent="0.25">
      <c r="A43" s="867" t="s">
        <v>422</v>
      </c>
      <c r="B43" s="868"/>
      <c r="C43" s="868"/>
      <c r="D43" s="869"/>
      <c r="E43" s="867" t="s">
        <v>421</v>
      </c>
      <c r="F43" s="868"/>
      <c r="G43" s="867" t="s">
        <v>420</v>
      </c>
      <c r="H43" s="868"/>
      <c r="I43" s="869"/>
    </row>
    <row r="44" spans="1:15" ht="15.6" customHeight="1" x14ac:dyDescent="0.25">
      <c r="A44" s="870"/>
      <c r="B44" s="871"/>
      <c r="C44" s="871"/>
      <c r="D44" s="872"/>
      <c r="E44" s="870"/>
      <c r="F44" s="871"/>
      <c r="G44" s="873"/>
      <c r="H44" s="874"/>
      <c r="I44" s="875"/>
    </row>
    <row r="45" spans="1:15" ht="15.6" customHeight="1" x14ac:dyDescent="0.25">
      <c r="A45" s="988" t="s">
        <v>667</v>
      </c>
      <c r="B45" s="989"/>
      <c r="C45" s="989"/>
      <c r="D45" s="989"/>
      <c r="E45" s="954"/>
      <c r="F45" s="955"/>
      <c r="G45" s="990" t="s">
        <v>660</v>
      </c>
      <c r="H45" s="990"/>
      <c r="I45" s="991"/>
    </row>
    <row r="46" spans="1:15" ht="15.6" customHeight="1" x14ac:dyDescent="0.25">
      <c r="A46" s="992" t="s">
        <v>671</v>
      </c>
      <c r="B46" s="993"/>
      <c r="C46" s="993"/>
      <c r="D46" s="993"/>
      <c r="E46" s="958"/>
      <c r="F46" s="959"/>
      <c r="G46" s="994"/>
      <c r="H46" s="994"/>
      <c r="I46" s="995"/>
    </row>
    <row r="47" spans="1:15" ht="15.6" customHeight="1" x14ac:dyDescent="0.25">
      <c r="A47" s="1001"/>
      <c r="B47" s="1002"/>
      <c r="C47" s="1002"/>
      <c r="D47" s="1002"/>
      <c r="E47" s="374"/>
      <c r="F47" s="375"/>
      <c r="G47" s="994"/>
      <c r="H47" s="994"/>
      <c r="I47" s="995"/>
    </row>
    <row r="48" spans="1:15" ht="15.6" customHeight="1" x14ac:dyDescent="0.25">
      <c r="A48" s="396"/>
      <c r="B48" s="397"/>
      <c r="C48" s="397"/>
      <c r="D48" s="397"/>
      <c r="E48" s="374"/>
      <c r="F48" s="375"/>
      <c r="G48" s="393"/>
      <c r="H48" s="393"/>
      <c r="I48" s="394"/>
    </row>
    <row r="49" spans="1:9" ht="15.6" customHeight="1" x14ac:dyDescent="0.25">
      <c r="A49" s="1003" t="s">
        <v>678</v>
      </c>
      <c r="B49" s="1004"/>
      <c r="C49" s="1004"/>
      <c r="D49" s="1004"/>
      <c r="E49" s="960"/>
      <c r="F49" s="1005"/>
      <c r="G49" s="839" t="s">
        <v>628</v>
      </c>
      <c r="H49" s="840"/>
      <c r="I49" s="841"/>
    </row>
    <row r="50" spans="1:9" ht="15.6" customHeight="1" x14ac:dyDescent="0.25">
      <c r="A50" s="962"/>
      <c r="B50" s="964"/>
      <c r="C50" s="964"/>
      <c r="D50" s="964"/>
      <c r="E50" s="965"/>
      <c r="F50" s="1006"/>
      <c r="G50" s="842"/>
      <c r="H50" s="843"/>
      <c r="I50" s="844"/>
    </row>
    <row r="51" spans="1:9" ht="15.6" customHeight="1" x14ac:dyDescent="0.25">
      <c r="A51" s="835"/>
      <c r="B51" s="836"/>
      <c r="C51" s="836"/>
      <c r="D51" s="836"/>
      <c r="E51" s="838"/>
      <c r="F51" s="822"/>
      <c r="G51" s="842"/>
      <c r="H51" s="843"/>
      <c r="I51" s="844"/>
    </row>
    <row r="52" spans="1:9" ht="15.75" customHeight="1" x14ac:dyDescent="0.25">
      <c r="A52" s="400"/>
      <c r="B52" s="401"/>
      <c r="C52" s="401"/>
      <c r="D52" s="401"/>
      <c r="E52" s="398"/>
      <c r="F52" s="399"/>
      <c r="G52" s="400"/>
      <c r="H52" s="401"/>
      <c r="I52" s="402"/>
    </row>
    <row r="53" spans="1:9" ht="15.75" customHeight="1" x14ac:dyDescent="0.25"/>
    <row r="54" spans="1:9" ht="15.75" customHeight="1" x14ac:dyDescent="0.25"/>
    <row r="55" spans="1:9" ht="15.75" customHeight="1" x14ac:dyDescent="0.25"/>
    <row r="56" spans="1:9" ht="15.75" customHeight="1" x14ac:dyDescent="0.25"/>
  </sheetData>
  <mergeCells count="39">
    <mergeCell ref="A51:D51"/>
    <mergeCell ref="E51:F51"/>
    <mergeCell ref="G51:I51"/>
    <mergeCell ref="A47:D47"/>
    <mergeCell ref="G47:I47"/>
    <mergeCell ref="A49:D49"/>
    <mergeCell ref="E49:F49"/>
    <mergeCell ref="G49:I49"/>
    <mergeCell ref="A50:D50"/>
    <mergeCell ref="E50:F50"/>
    <mergeCell ref="G50:I50"/>
    <mergeCell ref="A45:D45"/>
    <mergeCell ref="E45:F45"/>
    <mergeCell ref="G45:I45"/>
    <mergeCell ref="A46:D46"/>
    <mergeCell ref="E46:F46"/>
    <mergeCell ref="G46:I46"/>
    <mergeCell ref="A18:I18"/>
    <mergeCell ref="D21:G21"/>
    <mergeCell ref="A31:I32"/>
    <mergeCell ref="A33:I33"/>
    <mergeCell ref="A43:D44"/>
    <mergeCell ref="E43:F44"/>
    <mergeCell ref="G43:I44"/>
    <mergeCell ref="A7:B8"/>
    <mergeCell ref="C7:H8"/>
    <mergeCell ref="I7:I8"/>
    <mergeCell ref="A16:B17"/>
    <mergeCell ref="C16:C17"/>
    <mergeCell ref="D16:G17"/>
    <mergeCell ref="H16:H17"/>
    <mergeCell ref="I16:I17"/>
    <mergeCell ref="A1:E2"/>
    <mergeCell ref="F1:H2"/>
    <mergeCell ref="I1:I2"/>
    <mergeCell ref="A4:B4"/>
    <mergeCell ref="A5:B6"/>
    <mergeCell ref="C5:H6"/>
    <mergeCell ref="I5:I6"/>
  </mergeCells>
  <pageMargins left="0.25" right="0.25" top="0.75" bottom="0.75" header="0.3" footer="0.3"/>
  <pageSetup paperSize="9" orientation="portrait" r:id="rId1"/>
  <headerFooter>
    <oddHeader>&amp;LGBS SG&amp;CSSPb23-25&amp;RBKU</oddHeader>
    <oddFooter>&amp;R&amp;"Century Gothic,Standard"&amp;9ART &amp;D</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E72-1BB2-483C-8CCD-0063684218BA}">
  <dimension ref="A1:O56"/>
  <sheetViews>
    <sheetView view="pageLayout" topLeftCell="A14" zoomScaleNormal="100" workbookViewId="0">
      <selection activeCell="G51" sqref="G51:I51"/>
    </sheetView>
  </sheetViews>
  <sheetFormatPr baseColWidth="10" defaultColWidth="11.42578125" defaultRowHeight="15" x14ac:dyDescent="0.25"/>
  <cols>
    <col min="1" max="1" width="1.5703125" customWidth="1"/>
    <col min="2" max="2" width="13.85546875" customWidth="1"/>
    <col min="3" max="3" width="4.7109375" customWidth="1"/>
    <col min="4" max="4" width="16.28515625" customWidth="1"/>
    <col min="5" max="5" width="13.28515625" customWidth="1"/>
    <col min="6" max="6" width="13" customWidth="1"/>
    <col min="7" max="7" width="12.7109375" customWidth="1"/>
    <col min="8" max="8" width="4.85546875" customWidth="1"/>
    <col min="9" max="9" width="16.7109375" customWidth="1"/>
  </cols>
  <sheetData>
    <row r="1" spans="1:9" ht="15" customHeight="1" x14ac:dyDescent="0.25">
      <c r="A1" s="884" t="s">
        <v>443</v>
      </c>
      <c r="B1" s="885"/>
      <c r="C1" s="885"/>
      <c r="D1" s="885"/>
      <c r="E1" s="886"/>
      <c r="F1" s="890">
        <f>Kompetenzraster!R35</f>
        <v>45644</v>
      </c>
      <c r="G1" s="891"/>
      <c r="H1" s="892"/>
      <c r="I1" s="896">
        <v>16</v>
      </c>
    </row>
    <row r="2" spans="1:9" ht="15" customHeight="1" x14ac:dyDescent="0.25">
      <c r="A2" s="887"/>
      <c r="B2" s="888"/>
      <c r="C2" s="888"/>
      <c r="D2" s="888"/>
      <c r="E2" s="889"/>
      <c r="F2" s="893"/>
      <c r="G2" s="894"/>
      <c r="H2" s="895"/>
      <c r="I2" s="896"/>
    </row>
    <row r="3" spans="1:9" ht="8.4499999999999993" customHeight="1" x14ac:dyDescent="0.25">
      <c r="A3" s="255"/>
      <c r="B3" s="303"/>
      <c r="C3" s="303"/>
      <c r="D3" s="303"/>
      <c r="E3" s="303"/>
      <c r="F3" s="301"/>
      <c r="G3" s="301"/>
      <c r="H3" s="301"/>
      <c r="I3" s="301"/>
    </row>
    <row r="4" spans="1:9" ht="15.75" customHeight="1" x14ac:dyDescent="0.25">
      <c r="A4" s="897" t="s">
        <v>442</v>
      </c>
      <c r="B4" s="897"/>
      <c r="C4" s="303"/>
      <c r="D4" s="303"/>
      <c r="E4" s="303"/>
      <c r="F4" s="301"/>
      <c r="G4" s="301"/>
      <c r="H4" s="301"/>
      <c r="I4" s="301"/>
    </row>
    <row r="5" spans="1:9" ht="14.25" customHeight="1" x14ac:dyDescent="0.25">
      <c r="A5" s="974" t="s">
        <v>445</v>
      </c>
      <c r="B5" s="975"/>
      <c r="C5" s="978" t="s">
        <v>657</v>
      </c>
      <c r="D5" s="979"/>
      <c r="E5" s="979"/>
      <c r="F5" s="979"/>
      <c r="G5" s="979"/>
      <c r="H5" s="980"/>
      <c r="I5" s="998">
        <v>3.1</v>
      </c>
    </row>
    <row r="6" spans="1:9" ht="14.25" customHeight="1" x14ac:dyDescent="0.25">
      <c r="A6" s="976"/>
      <c r="B6" s="977"/>
      <c r="C6" s="981"/>
      <c r="D6" s="982"/>
      <c r="E6" s="982"/>
      <c r="F6" s="982"/>
      <c r="G6" s="982"/>
      <c r="H6" s="983"/>
      <c r="I6" s="998"/>
    </row>
    <row r="7" spans="1:9" ht="14.25" customHeight="1" x14ac:dyDescent="0.25">
      <c r="A7" s="911" t="s">
        <v>446</v>
      </c>
      <c r="B7" s="912"/>
      <c r="C7" s="899" t="s">
        <v>617</v>
      </c>
      <c r="D7" s="900"/>
      <c r="E7" s="900"/>
      <c r="F7" s="900"/>
      <c r="G7" s="900"/>
      <c r="H7" s="901"/>
      <c r="I7" s="919">
        <v>3.3</v>
      </c>
    </row>
    <row r="8" spans="1:9" ht="14.25" customHeight="1" x14ac:dyDescent="0.25">
      <c r="A8" s="913"/>
      <c r="B8" s="914"/>
      <c r="C8" s="902"/>
      <c r="D8" s="903"/>
      <c r="E8" s="903"/>
      <c r="F8" s="903"/>
      <c r="G8" s="903"/>
      <c r="H8" s="904"/>
      <c r="I8" s="920"/>
    </row>
    <row r="9" spans="1:9" ht="5.85" customHeight="1" x14ac:dyDescent="0.25">
      <c r="A9" s="255"/>
      <c r="B9" s="302"/>
      <c r="C9" s="302"/>
      <c r="D9" s="302"/>
      <c r="E9" s="302"/>
      <c r="F9" s="302"/>
      <c r="G9" s="302"/>
      <c r="H9" s="302"/>
      <c r="I9" s="301"/>
    </row>
    <row r="10" spans="1:9" ht="15.75" customHeight="1" x14ac:dyDescent="0.25">
      <c r="A10" s="300" t="s">
        <v>441</v>
      </c>
      <c r="B10" s="299"/>
      <c r="C10" s="299"/>
      <c r="D10" s="299"/>
      <c r="E10" s="299"/>
      <c r="F10" s="299"/>
      <c r="G10" s="299"/>
      <c r="H10" s="299"/>
      <c r="I10" s="298"/>
    </row>
    <row r="11" spans="1:9" ht="15.75" customHeight="1" x14ac:dyDescent="0.25">
      <c r="A11" s="388"/>
      <c r="B11" s="255" t="s">
        <v>661</v>
      </c>
      <c r="C11" s="255"/>
      <c r="D11" s="255"/>
      <c r="E11" s="255"/>
      <c r="F11" s="255"/>
      <c r="G11" s="255"/>
      <c r="H11" s="255"/>
      <c r="I11" s="266"/>
    </row>
    <row r="12" spans="1:9" ht="15.75" customHeight="1" x14ac:dyDescent="0.25">
      <c r="A12" s="389"/>
      <c r="B12" s="255" t="s">
        <v>629</v>
      </c>
      <c r="C12" s="255"/>
      <c r="D12" s="255"/>
      <c r="E12" s="255"/>
      <c r="F12" s="255"/>
      <c r="G12" s="255"/>
      <c r="H12" s="255"/>
      <c r="I12" s="266"/>
    </row>
    <row r="13" spans="1:9" ht="15.75" customHeight="1" x14ac:dyDescent="0.25">
      <c r="A13" s="315"/>
      <c r="B13" s="255" t="s">
        <v>630</v>
      </c>
      <c r="C13" s="255"/>
      <c r="D13" s="255"/>
      <c r="E13" s="255"/>
      <c r="F13" s="255"/>
      <c r="G13" s="255"/>
      <c r="H13" s="255"/>
      <c r="I13" s="266"/>
    </row>
    <row r="14" spans="1:9" ht="15.75" customHeight="1" x14ac:dyDescent="0.25">
      <c r="A14" s="316"/>
      <c r="B14" s="278" t="s">
        <v>631</v>
      </c>
      <c r="C14" s="278"/>
      <c r="D14" s="278"/>
      <c r="E14" s="278"/>
      <c r="F14" s="278"/>
      <c r="G14" s="278"/>
      <c r="H14" s="278"/>
      <c r="I14" s="277"/>
    </row>
    <row r="15" spans="1:9" ht="5.85" customHeight="1" thickBot="1" x14ac:dyDescent="0.3">
      <c r="A15" s="255"/>
      <c r="B15" s="297"/>
      <c r="C15" s="297"/>
      <c r="D15" s="297"/>
      <c r="E15" s="297"/>
      <c r="F15" s="297"/>
      <c r="G15" s="297"/>
      <c r="H15" s="255"/>
      <c r="I15" s="255"/>
    </row>
    <row r="16" spans="1:9" ht="15.6" customHeight="1" x14ac:dyDescent="0.25">
      <c r="A16" s="876" t="s">
        <v>440</v>
      </c>
      <c r="B16" s="877"/>
      <c r="C16" s="877" t="s">
        <v>439</v>
      </c>
      <c r="D16" s="877" t="s">
        <v>438</v>
      </c>
      <c r="E16" s="877"/>
      <c r="F16" s="877"/>
      <c r="G16" s="877"/>
      <c r="H16" s="880" t="s">
        <v>437</v>
      </c>
      <c r="I16" s="882" t="s">
        <v>436</v>
      </c>
    </row>
    <row r="17" spans="1:15" ht="15.6" customHeight="1" x14ac:dyDescent="0.25">
      <c r="A17" s="878"/>
      <c r="B17" s="879"/>
      <c r="C17" s="879"/>
      <c r="D17" s="879"/>
      <c r="E17" s="879"/>
      <c r="F17" s="879"/>
      <c r="G17" s="879"/>
      <c r="H17" s="881"/>
      <c r="I17" s="883"/>
    </row>
    <row r="18" spans="1:15" ht="9.75" customHeight="1" x14ac:dyDescent="0.25">
      <c r="A18" s="985"/>
      <c r="B18" s="986"/>
      <c r="C18" s="986"/>
      <c r="D18" s="986"/>
      <c r="E18" s="986"/>
      <c r="F18" s="986"/>
      <c r="G18" s="986"/>
      <c r="H18" s="986"/>
      <c r="I18" s="987"/>
    </row>
    <row r="19" spans="1:15" ht="15.6" customHeight="1" x14ac:dyDescent="0.25">
      <c r="A19" s="390"/>
      <c r="B19" s="309" t="s">
        <v>435</v>
      </c>
      <c r="C19" s="310" t="s">
        <v>429</v>
      </c>
      <c r="D19" s="267" t="s">
        <v>588</v>
      </c>
      <c r="E19" s="255"/>
      <c r="F19" s="255"/>
      <c r="G19" s="294"/>
      <c r="H19" s="282" t="s">
        <v>424</v>
      </c>
      <c r="I19" s="353"/>
    </row>
    <row r="20" spans="1:15" ht="15.6" customHeight="1" x14ac:dyDescent="0.25">
      <c r="A20" s="390"/>
      <c r="B20" s="304" t="s">
        <v>458</v>
      </c>
      <c r="C20" s="359" t="s">
        <v>679</v>
      </c>
      <c r="D20" s="360" t="s">
        <v>680</v>
      </c>
      <c r="E20" s="361"/>
      <c r="F20" s="361"/>
      <c r="G20" s="362"/>
      <c r="H20" s="363" t="s">
        <v>497</v>
      </c>
      <c r="I20" s="350" t="s">
        <v>669</v>
      </c>
      <c r="K20" s="255"/>
      <c r="L20" s="255"/>
      <c r="M20" s="255"/>
      <c r="N20" s="296"/>
    </row>
    <row r="21" spans="1:15" ht="15.6" customHeight="1" x14ac:dyDescent="0.25">
      <c r="A21" s="390"/>
      <c r="B21" s="306"/>
      <c r="C21" s="359"/>
      <c r="D21" s="948"/>
      <c r="E21" s="972"/>
      <c r="F21" s="972"/>
      <c r="G21" s="973"/>
      <c r="H21" s="363"/>
      <c r="I21" s="395" t="s">
        <v>544</v>
      </c>
      <c r="K21" s="255"/>
      <c r="L21" s="255"/>
      <c r="M21" s="255"/>
      <c r="N21" s="255"/>
    </row>
    <row r="22" spans="1:15" ht="15.6" customHeight="1" x14ac:dyDescent="0.25">
      <c r="A22" s="390"/>
      <c r="B22" s="307"/>
      <c r="C22" s="364"/>
      <c r="D22" s="360"/>
      <c r="E22" s="361"/>
      <c r="F22" s="361"/>
      <c r="G22" s="362"/>
      <c r="H22" s="365"/>
      <c r="I22" s="387"/>
      <c r="K22" s="255"/>
      <c r="L22" s="255"/>
      <c r="M22" s="255"/>
      <c r="N22" s="255"/>
    </row>
    <row r="23" spans="1:15" ht="15.6" customHeight="1" x14ac:dyDescent="0.25">
      <c r="A23" s="390"/>
      <c r="B23" s="305" t="s">
        <v>432</v>
      </c>
      <c r="C23" s="366"/>
      <c r="D23" s="367"/>
      <c r="E23" s="367"/>
      <c r="F23" s="367"/>
      <c r="G23" s="368"/>
      <c r="H23" s="369"/>
      <c r="I23" s="349"/>
      <c r="K23" s="255"/>
      <c r="L23" s="255"/>
      <c r="M23" s="255"/>
      <c r="N23" s="255"/>
    </row>
    <row r="24" spans="1:15" ht="15.6" customHeight="1" x14ac:dyDescent="0.25">
      <c r="A24" s="390"/>
      <c r="B24" s="304" t="s">
        <v>459</v>
      </c>
      <c r="C24" s="403"/>
      <c r="D24" s="404"/>
      <c r="E24" s="404"/>
      <c r="F24" s="404"/>
      <c r="G24" s="404"/>
      <c r="H24" s="405"/>
      <c r="I24" s="386"/>
      <c r="K24" s="255"/>
      <c r="L24" s="255"/>
      <c r="M24" s="255"/>
      <c r="N24" s="255"/>
    </row>
    <row r="25" spans="1:15" ht="15.6" customHeight="1" x14ac:dyDescent="0.25">
      <c r="A25" s="390"/>
      <c r="B25" s="306"/>
      <c r="C25" s="403"/>
      <c r="D25" s="406"/>
      <c r="E25" s="404"/>
      <c r="F25" s="404"/>
      <c r="G25" s="404"/>
      <c r="H25" s="405"/>
      <c r="I25" s="386"/>
      <c r="K25" s="255"/>
      <c r="L25" s="255"/>
      <c r="M25" s="255"/>
      <c r="N25" s="255"/>
    </row>
    <row r="26" spans="1:15" ht="15.6" customHeight="1" x14ac:dyDescent="0.25">
      <c r="A26" s="390"/>
      <c r="B26" s="307"/>
      <c r="C26" s="407"/>
      <c r="D26" s="408"/>
      <c r="E26" s="408"/>
      <c r="F26" s="408"/>
      <c r="G26" s="408"/>
      <c r="H26" s="409"/>
      <c r="I26" s="352"/>
      <c r="K26" s="255"/>
      <c r="L26" s="255"/>
      <c r="M26" s="255"/>
      <c r="N26" s="255"/>
    </row>
    <row r="27" spans="1:15" ht="15.6" customHeight="1" x14ac:dyDescent="0.25">
      <c r="A27" s="390"/>
      <c r="B27" s="308" t="s">
        <v>431</v>
      </c>
      <c r="C27" s="273" t="s">
        <v>429</v>
      </c>
      <c r="D27" s="267" t="s">
        <v>681</v>
      </c>
      <c r="E27" s="255"/>
      <c r="F27" s="255"/>
      <c r="G27" s="266"/>
      <c r="H27" s="272" t="s">
        <v>424</v>
      </c>
      <c r="I27" s="354"/>
      <c r="K27" s="255"/>
      <c r="L27" s="255"/>
      <c r="M27" s="255"/>
      <c r="N27" s="255"/>
    </row>
    <row r="28" spans="1:15" ht="15.6" customHeight="1" x14ac:dyDescent="0.25">
      <c r="A28" s="390"/>
      <c r="B28" s="304" t="s">
        <v>460</v>
      </c>
      <c r="C28" s="268" t="s">
        <v>433</v>
      </c>
      <c r="D28" s="267" t="s">
        <v>685</v>
      </c>
      <c r="E28" s="255"/>
      <c r="F28" s="255"/>
      <c r="G28" s="266"/>
      <c r="H28" s="265"/>
      <c r="I28" s="392"/>
    </row>
    <row r="29" spans="1:15" ht="15.6" customHeight="1" x14ac:dyDescent="0.25">
      <c r="A29" s="390"/>
      <c r="B29" s="306"/>
      <c r="C29" s="268"/>
      <c r="D29" s="267"/>
      <c r="E29" s="255"/>
      <c r="F29" s="255"/>
      <c r="G29" s="266"/>
      <c r="H29" s="265"/>
      <c r="I29" s="351"/>
    </row>
    <row r="30" spans="1:15" ht="15.6" customHeight="1" x14ac:dyDescent="0.25">
      <c r="A30" s="391"/>
      <c r="B30" s="254"/>
      <c r="C30" s="265"/>
      <c r="D30" s="267"/>
      <c r="E30" s="255"/>
      <c r="F30" s="255"/>
      <c r="G30" s="266"/>
      <c r="H30" s="265"/>
      <c r="I30" s="355"/>
    </row>
    <row r="31" spans="1:15" ht="15.6" customHeight="1" x14ac:dyDescent="0.25">
      <c r="A31" s="927" t="s">
        <v>428</v>
      </c>
      <c r="B31" s="860"/>
      <c r="C31" s="860"/>
      <c r="D31" s="860"/>
      <c r="E31" s="860"/>
      <c r="F31" s="860"/>
      <c r="G31" s="860"/>
      <c r="H31" s="860"/>
      <c r="I31" s="928"/>
      <c r="K31" s="255"/>
      <c r="L31" s="255"/>
      <c r="M31" s="255"/>
      <c r="N31" s="255"/>
      <c r="O31" s="255"/>
    </row>
    <row r="32" spans="1:15" ht="15.6" customHeight="1" x14ac:dyDescent="0.25">
      <c r="A32" s="929"/>
      <c r="B32" s="863"/>
      <c r="C32" s="863"/>
      <c r="D32" s="863"/>
      <c r="E32" s="863"/>
      <c r="F32" s="863"/>
      <c r="G32" s="863"/>
      <c r="H32" s="863"/>
      <c r="I32" s="930"/>
      <c r="K32" s="255"/>
      <c r="L32" s="255"/>
      <c r="M32" s="255"/>
      <c r="N32" s="255"/>
      <c r="O32" s="255"/>
    </row>
    <row r="33" spans="1:15" ht="9.75" customHeight="1" x14ac:dyDescent="0.25">
      <c r="A33" s="931"/>
      <c r="B33" s="932"/>
      <c r="C33" s="932"/>
      <c r="D33" s="932"/>
      <c r="E33" s="932"/>
      <c r="F33" s="932"/>
      <c r="G33" s="932"/>
      <c r="H33" s="932"/>
      <c r="I33" s="933"/>
      <c r="K33" s="255"/>
      <c r="L33" s="255"/>
      <c r="M33" s="255"/>
      <c r="N33" s="255"/>
      <c r="O33" s="255"/>
    </row>
    <row r="34" spans="1:15" ht="15.6" customHeight="1" x14ac:dyDescent="0.25">
      <c r="A34" s="356"/>
      <c r="B34" s="290" t="s">
        <v>427</v>
      </c>
      <c r="C34" s="283" t="s">
        <v>500</v>
      </c>
      <c r="D34" s="267" t="s">
        <v>682</v>
      </c>
      <c r="E34" s="255"/>
      <c r="F34" s="255"/>
      <c r="G34" s="266"/>
      <c r="H34" s="282" t="s">
        <v>424</v>
      </c>
      <c r="I34" s="376"/>
      <c r="K34" s="255"/>
      <c r="L34" s="255"/>
      <c r="M34" s="255"/>
      <c r="N34" s="255"/>
      <c r="O34" s="255"/>
    </row>
    <row r="35" spans="1:15" ht="15.6" customHeight="1" x14ac:dyDescent="0.25">
      <c r="A35" s="356"/>
      <c r="B35" s="319" t="s">
        <v>461</v>
      </c>
      <c r="C35" s="283"/>
      <c r="D35" s="267" t="s">
        <v>683</v>
      </c>
      <c r="E35" s="255"/>
      <c r="F35" s="255"/>
      <c r="G35" s="266"/>
      <c r="H35" s="282" t="s">
        <v>497</v>
      </c>
      <c r="I35" s="351"/>
      <c r="K35" s="255"/>
      <c r="L35" s="255"/>
      <c r="M35" s="255"/>
      <c r="N35" s="255"/>
      <c r="O35" s="255"/>
    </row>
    <row r="36" spans="1:15" ht="15.6" customHeight="1" x14ac:dyDescent="0.25">
      <c r="A36" s="356"/>
      <c r="B36" s="269"/>
      <c r="C36" s="283"/>
      <c r="D36" s="267"/>
      <c r="E36" s="255"/>
      <c r="F36" s="255"/>
      <c r="G36" s="266"/>
      <c r="H36" s="282"/>
      <c r="I36" s="351"/>
      <c r="K36" s="255"/>
      <c r="L36" s="255"/>
      <c r="M36" s="255"/>
      <c r="N36" s="255"/>
      <c r="O36" s="255"/>
    </row>
    <row r="37" spans="1:15" ht="15.6" customHeight="1" x14ac:dyDescent="0.25">
      <c r="A37" s="356"/>
      <c r="B37" s="281"/>
      <c r="C37" s="280"/>
      <c r="D37" s="279"/>
      <c r="E37" s="278"/>
      <c r="F37" s="278"/>
      <c r="G37" s="277"/>
      <c r="H37" s="276"/>
      <c r="I37" s="352"/>
    </row>
    <row r="38" spans="1:15" ht="15.6" customHeight="1" x14ac:dyDescent="0.25">
      <c r="A38" s="356"/>
      <c r="B38" s="274" t="s">
        <v>423</v>
      </c>
      <c r="C38" s="273" t="s">
        <v>500</v>
      </c>
      <c r="D38" s="267" t="s">
        <v>684</v>
      </c>
      <c r="E38" s="255"/>
      <c r="F38" s="255"/>
      <c r="G38" s="266"/>
      <c r="H38" s="272" t="s">
        <v>424</v>
      </c>
      <c r="I38" s="354"/>
    </row>
    <row r="39" spans="1:15" ht="15.6" customHeight="1" x14ac:dyDescent="0.25">
      <c r="A39" s="356"/>
      <c r="B39" s="270" t="s">
        <v>462</v>
      </c>
      <c r="C39" s="268"/>
      <c r="D39" s="267"/>
      <c r="E39" s="255"/>
      <c r="F39" s="255"/>
      <c r="G39" s="266"/>
      <c r="H39" s="265"/>
      <c r="I39" s="351"/>
    </row>
    <row r="40" spans="1:15" ht="15.6" customHeight="1" x14ac:dyDescent="0.25">
      <c r="A40" s="356"/>
      <c r="B40" s="269"/>
      <c r="C40" s="268"/>
      <c r="D40" s="267"/>
      <c r="E40" s="255"/>
      <c r="F40" s="255"/>
      <c r="G40" s="266"/>
      <c r="H40" s="265"/>
      <c r="I40" s="350"/>
    </row>
    <row r="41" spans="1:15" ht="15.6" customHeight="1" x14ac:dyDescent="0.25">
      <c r="A41" s="357"/>
      <c r="B41" s="358"/>
      <c r="C41" s="291"/>
      <c r="D41" s="279"/>
      <c r="E41" s="278"/>
      <c r="F41" s="278"/>
      <c r="G41" s="277"/>
      <c r="H41" s="291"/>
      <c r="I41" s="352"/>
    </row>
    <row r="42" spans="1:15" ht="5.85" customHeight="1" x14ac:dyDescent="0.25">
      <c r="A42" s="255"/>
      <c r="B42" s="257"/>
      <c r="C42" s="256"/>
      <c r="D42" s="255"/>
      <c r="E42" s="255"/>
      <c r="F42" s="255"/>
      <c r="G42" s="255"/>
      <c r="H42" s="255"/>
      <c r="I42" s="255"/>
    </row>
    <row r="43" spans="1:15" ht="15.6" customHeight="1" x14ac:dyDescent="0.25">
      <c r="A43" s="867" t="s">
        <v>422</v>
      </c>
      <c r="B43" s="868"/>
      <c r="C43" s="868"/>
      <c r="D43" s="869"/>
      <c r="E43" s="867" t="s">
        <v>421</v>
      </c>
      <c r="F43" s="868"/>
      <c r="G43" s="867" t="s">
        <v>420</v>
      </c>
      <c r="H43" s="868"/>
      <c r="I43" s="869"/>
    </row>
    <row r="44" spans="1:15" ht="15.6" customHeight="1" x14ac:dyDescent="0.25">
      <c r="A44" s="870"/>
      <c r="B44" s="871"/>
      <c r="C44" s="871"/>
      <c r="D44" s="872"/>
      <c r="E44" s="870"/>
      <c r="F44" s="871"/>
      <c r="G44" s="873"/>
      <c r="H44" s="874"/>
      <c r="I44" s="875"/>
    </row>
    <row r="45" spans="1:15" ht="15.6" customHeight="1" x14ac:dyDescent="0.25">
      <c r="A45" s="988"/>
      <c r="B45" s="989"/>
      <c r="C45" s="989"/>
      <c r="D45" s="989"/>
      <c r="E45" s="1007" t="s">
        <v>687</v>
      </c>
      <c r="F45" s="1008"/>
      <c r="G45" s="990"/>
      <c r="H45" s="990"/>
      <c r="I45" s="991"/>
    </row>
    <row r="46" spans="1:15" ht="15.6" customHeight="1" x14ac:dyDescent="0.25">
      <c r="A46" s="992"/>
      <c r="B46" s="993"/>
      <c r="C46" s="993"/>
      <c r="D46" s="993"/>
      <c r="E46" s="958" t="s">
        <v>688</v>
      </c>
      <c r="F46" s="959"/>
      <c r="G46" s="994"/>
      <c r="H46" s="994"/>
      <c r="I46" s="995"/>
    </row>
    <row r="47" spans="1:15" ht="15.6" customHeight="1" x14ac:dyDescent="0.25">
      <c r="A47" s="1001"/>
      <c r="B47" s="1002"/>
      <c r="C47" s="1002"/>
      <c r="D47" s="1002"/>
      <c r="E47" s="1011" t="s">
        <v>686</v>
      </c>
      <c r="F47" s="961"/>
      <c r="G47" s="994"/>
      <c r="H47" s="994"/>
      <c r="I47" s="995"/>
    </row>
    <row r="48" spans="1:15" ht="15.6" customHeight="1" x14ac:dyDescent="0.25">
      <c r="A48" s="396"/>
      <c r="B48" s="397"/>
      <c r="C48" s="397"/>
      <c r="D48" s="397"/>
      <c r="E48" s="1011">
        <v>45665</v>
      </c>
      <c r="F48" s="961"/>
      <c r="G48" s="393"/>
      <c r="H48" s="393"/>
      <c r="I48" s="394"/>
    </row>
    <row r="49" spans="1:9" ht="15.6" customHeight="1" x14ac:dyDescent="0.25">
      <c r="A49" s="1003"/>
      <c r="B49" s="1004"/>
      <c r="C49" s="1004"/>
      <c r="D49" s="1004"/>
      <c r="E49" s="960"/>
      <c r="F49" s="1005"/>
      <c r="G49" s="839"/>
      <c r="H49" s="840"/>
      <c r="I49" s="841"/>
    </row>
    <row r="50" spans="1:9" ht="15.6" customHeight="1" x14ac:dyDescent="0.25">
      <c r="A50" s="962"/>
      <c r="B50" s="964"/>
      <c r="C50" s="964"/>
      <c r="D50" s="964"/>
      <c r="E50" s="965"/>
      <c r="F50" s="1006"/>
      <c r="G50" s="842"/>
      <c r="H50" s="843"/>
      <c r="I50" s="844"/>
    </row>
    <row r="51" spans="1:9" ht="15.6" customHeight="1" x14ac:dyDescent="0.25">
      <c r="A51" s="835"/>
      <c r="B51" s="836"/>
      <c r="C51" s="836"/>
      <c r="D51" s="836"/>
      <c r="E51" s="838"/>
      <c r="F51" s="822"/>
      <c r="G51" s="842"/>
      <c r="H51" s="843"/>
      <c r="I51" s="844"/>
    </row>
    <row r="52" spans="1:9" ht="15.75" customHeight="1" x14ac:dyDescent="0.25">
      <c r="A52" s="400"/>
      <c r="B52" s="401"/>
      <c r="C52" s="401"/>
      <c r="D52" s="401"/>
      <c r="E52" s="1009"/>
      <c r="F52" s="1010"/>
      <c r="G52" s="400"/>
      <c r="H52" s="401"/>
      <c r="I52" s="402"/>
    </row>
    <row r="53" spans="1:9" ht="15.75" customHeight="1" x14ac:dyDescent="0.25"/>
    <row r="54" spans="1:9" ht="15.75" customHeight="1" x14ac:dyDescent="0.25"/>
    <row r="55" spans="1:9" ht="15.75" customHeight="1" x14ac:dyDescent="0.25"/>
    <row r="56" spans="1:9" ht="15.75" customHeight="1" x14ac:dyDescent="0.25"/>
  </sheetData>
  <mergeCells count="42">
    <mergeCell ref="E52:F52"/>
    <mergeCell ref="A47:D47"/>
    <mergeCell ref="G47:I47"/>
    <mergeCell ref="A49:D49"/>
    <mergeCell ref="E49:F49"/>
    <mergeCell ref="G49:I49"/>
    <mergeCell ref="A50:D50"/>
    <mergeCell ref="E50:F50"/>
    <mergeCell ref="G50:I50"/>
    <mergeCell ref="A51:D51"/>
    <mergeCell ref="E51:F51"/>
    <mergeCell ref="G51:I51"/>
    <mergeCell ref="E48:F48"/>
    <mergeCell ref="E47:F47"/>
    <mergeCell ref="A45:D45"/>
    <mergeCell ref="E45:F45"/>
    <mergeCell ref="G45:I45"/>
    <mergeCell ref="A46:D46"/>
    <mergeCell ref="E46:F46"/>
    <mergeCell ref="G46:I46"/>
    <mergeCell ref="A18:I18"/>
    <mergeCell ref="D21:G21"/>
    <mergeCell ref="A31:I32"/>
    <mergeCell ref="A33:I33"/>
    <mergeCell ref="A43:D44"/>
    <mergeCell ref="E43:F44"/>
    <mergeCell ref="G43:I44"/>
    <mergeCell ref="A7:B8"/>
    <mergeCell ref="C7:H8"/>
    <mergeCell ref="I7:I8"/>
    <mergeCell ref="A16:B17"/>
    <mergeCell ref="C16:C17"/>
    <mergeCell ref="D16:G17"/>
    <mergeCell ref="H16:H17"/>
    <mergeCell ref="I16:I17"/>
    <mergeCell ref="A1:E2"/>
    <mergeCell ref="F1:H2"/>
    <mergeCell ref="I1:I2"/>
    <mergeCell ref="A4:B4"/>
    <mergeCell ref="A5:B6"/>
    <mergeCell ref="C5:H6"/>
    <mergeCell ref="I5:I6"/>
  </mergeCells>
  <pageMargins left="0.25" right="0.25" top="0.75" bottom="0.75" header="0.3" footer="0.3"/>
  <pageSetup paperSize="9" orientation="portrait" r:id="rId1"/>
  <headerFooter>
    <oddHeader>&amp;LGBS SG&amp;CSSPb23-25&amp;RBKU</oddHeader>
    <oddFooter>&amp;R&amp;"Century Gothic,Standard"&amp;9ART &amp;D</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614F4-89CC-4D5C-909D-0A8698FBED7F}">
  <sheetPr>
    <tabColor theme="8" tint="0.59999389629810485"/>
  </sheetPr>
  <dimension ref="A1:O56"/>
  <sheetViews>
    <sheetView tabSelected="1" view="pageLayout" zoomScaleNormal="100" workbookViewId="0">
      <selection activeCell="C38" sqref="C38"/>
    </sheetView>
  </sheetViews>
  <sheetFormatPr baseColWidth="10" defaultColWidth="11.42578125" defaultRowHeight="15" x14ac:dyDescent="0.25"/>
  <cols>
    <col min="1" max="1" width="1.5703125" customWidth="1"/>
    <col min="2" max="2" width="13.85546875" customWidth="1"/>
    <col min="3" max="3" width="4.7109375" customWidth="1"/>
    <col min="4" max="4" width="16.28515625" customWidth="1"/>
    <col min="5" max="5" width="13.28515625" customWidth="1"/>
    <col min="6" max="6" width="13" customWidth="1"/>
    <col min="7" max="7" width="12.7109375" customWidth="1"/>
    <col min="8" max="8" width="4.85546875" customWidth="1"/>
    <col min="9" max="9" width="16.7109375" customWidth="1"/>
  </cols>
  <sheetData>
    <row r="1" spans="1:9" ht="15" customHeight="1" x14ac:dyDescent="0.25">
      <c r="A1" s="884" t="s">
        <v>443</v>
      </c>
      <c r="B1" s="885"/>
      <c r="C1" s="885"/>
      <c r="D1" s="885"/>
      <c r="E1" s="886"/>
      <c r="F1" s="890">
        <f>Kompetenzraster!R37</f>
        <v>45665</v>
      </c>
      <c r="G1" s="891"/>
      <c r="H1" s="892"/>
      <c r="I1" s="896">
        <v>17</v>
      </c>
    </row>
    <row r="2" spans="1:9" ht="15" customHeight="1" x14ac:dyDescent="0.25">
      <c r="A2" s="887"/>
      <c r="B2" s="888"/>
      <c r="C2" s="888"/>
      <c r="D2" s="888"/>
      <c r="E2" s="889"/>
      <c r="F2" s="893"/>
      <c r="G2" s="894"/>
      <c r="H2" s="895"/>
      <c r="I2" s="896"/>
    </row>
    <row r="3" spans="1:9" ht="8.4499999999999993" customHeight="1" x14ac:dyDescent="0.25">
      <c r="A3" s="255"/>
      <c r="B3" s="303"/>
      <c r="C3" s="303"/>
      <c r="D3" s="303"/>
      <c r="E3" s="303"/>
      <c r="F3" s="301"/>
      <c r="G3" s="301"/>
      <c r="H3" s="301"/>
      <c r="I3" s="301"/>
    </row>
    <row r="4" spans="1:9" ht="15.75" customHeight="1" x14ac:dyDescent="0.25">
      <c r="A4" s="897" t="s">
        <v>442</v>
      </c>
      <c r="B4" s="897"/>
      <c r="C4" s="303"/>
      <c r="D4" s="303"/>
      <c r="E4" s="303"/>
      <c r="F4" s="301"/>
      <c r="G4" s="301"/>
      <c r="H4" s="301"/>
      <c r="I4" s="301"/>
    </row>
    <row r="5" spans="1:9" ht="14.25" customHeight="1" x14ac:dyDescent="0.25">
      <c r="A5" s="974" t="s">
        <v>445</v>
      </c>
      <c r="B5" s="975"/>
      <c r="C5" s="978" t="s">
        <v>657</v>
      </c>
      <c r="D5" s="979"/>
      <c r="E5" s="979"/>
      <c r="F5" s="979"/>
      <c r="G5" s="979"/>
      <c r="H5" s="980"/>
      <c r="I5" s="998">
        <v>3.1</v>
      </c>
    </row>
    <row r="6" spans="1:9" ht="14.25" customHeight="1" x14ac:dyDescent="0.25">
      <c r="A6" s="976"/>
      <c r="B6" s="977"/>
      <c r="C6" s="981"/>
      <c r="D6" s="982"/>
      <c r="E6" s="982"/>
      <c r="F6" s="982"/>
      <c r="G6" s="982"/>
      <c r="H6" s="983"/>
      <c r="I6" s="998"/>
    </row>
    <row r="7" spans="1:9" ht="14.25" customHeight="1" x14ac:dyDescent="0.25">
      <c r="A7" s="911" t="s">
        <v>446</v>
      </c>
      <c r="B7" s="912"/>
      <c r="C7" s="899" t="s">
        <v>617</v>
      </c>
      <c r="D7" s="900"/>
      <c r="E7" s="900"/>
      <c r="F7" s="900"/>
      <c r="G7" s="900"/>
      <c r="H7" s="901"/>
      <c r="I7" s="919">
        <v>3.3</v>
      </c>
    </row>
    <row r="8" spans="1:9" ht="14.25" customHeight="1" x14ac:dyDescent="0.25">
      <c r="A8" s="913"/>
      <c r="B8" s="914"/>
      <c r="C8" s="902"/>
      <c r="D8" s="903"/>
      <c r="E8" s="903"/>
      <c r="F8" s="903"/>
      <c r="G8" s="903"/>
      <c r="H8" s="904"/>
      <c r="I8" s="920"/>
    </row>
    <row r="9" spans="1:9" ht="5.85" customHeight="1" x14ac:dyDescent="0.25">
      <c r="A9" s="255"/>
      <c r="B9" s="302"/>
      <c r="C9" s="302"/>
      <c r="D9" s="302"/>
      <c r="E9" s="302"/>
      <c r="F9" s="302"/>
      <c r="G9" s="302"/>
      <c r="H9" s="302"/>
      <c r="I9" s="301"/>
    </row>
    <row r="10" spans="1:9" ht="15.75" customHeight="1" x14ac:dyDescent="0.25">
      <c r="A10" s="300" t="s">
        <v>441</v>
      </c>
      <c r="B10" s="299"/>
      <c r="C10" s="299"/>
      <c r="D10" s="299"/>
      <c r="E10" s="299"/>
      <c r="F10" s="299"/>
      <c r="G10" s="299"/>
      <c r="H10" s="299"/>
      <c r="I10" s="298"/>
    </row>
    <row r="11" spans="1:9" ht="15.75" customHeight="1" x14ac:dyDescent="0.25">
      <c r="A11" s="388"/>
      <c r="B11" s="255" t="s">
        <v>661</v>
      </c>
      <c r="C11" s="255"/>
      <c r="D11" s="255"/>
      <c r="E11" s="255"/>
      <c r="F11" s="255"/>
      <c r="G11" s="255"/>
      <c r="H11" s="255"/>
      <c r="I11" s="266"/>
    </row>
    <row r="12" spans="1:9" ht="15.75" customHeight="1" x14ac:dyDescent="0.25">
      <c r="A12" s="389"/>
      <c r="B12" s="255" t="s">
        <v>629</v>
      </c>
      <c r="C12" s="255"/>
      <c r="D12" s="255"/>
      <c r="E12" s="255"/>
      <c r="F12" s="255"/>
      <c r="G12" s="255"/>
      <c r="H12" s="255"/>
      <c r="I12" s="266"/>
    </row>
    <row r="13" spans="1:9" ht="15.75" customHeight="1" x14ac:dyDescent="0.25">
      <c r="A13" s="315"/>
      <c r="B13" s="255" t="s">
        <v>630</v>
      </c>
      <c r="C13" s="255"/>
      <c r="D13" s="255"/>
      <c r="E13" s="255"/>
      <c r="F13" s="255"/>
      <c r="G13" s="255"/>
      <c r="H13" s="255"/>
      <c r="I13" s="266"/>
    </row>
    <row r="14" spans="1:9" ht="15.75" customHeight="1" x14ac:dyDescent="0.25">
      <c r="A14" s="316"/>
      <c r="B14" s="278" t="s">
        <v>631</v>
      </c>
      <c r="C14" s="278"/>
      <c r="D14" s="278"/>
      <c r="E14" s="278"/>
      <c r="F14" s="278"/>
      <c r="G14" s="278"/>
      <c r="H14" s="278"/>
      <c r="I14" s="277"/>
    </row>
    <row r="15" spans="1:9" ht="5.85" customHeight="1" thickBot="1" x14ac:dyDescent="0.3">
      <c r="A15" s="255"/>
      <c r="B15" s="297"/>
      <c r="C15" s="297"/>
      <c r="D15" s="297"/>
      <c r="E15" s="297"/>
      <c r="F15" s="297"/>
      <c r="G15" s="297"/>
      <c r="H15" s="255"/>
      <c r="I15" s="255"/>
    </row>
    <row r="16" spans="1:9" ht="15.6" customHeight="1" x14ac:dyDescent="0.25">
      <c r="A16" s="876" t="s">
        <v>440</v>
      </c>
      <c r="B16" s="877"/>
      <c r="C16" s="877" t="s">
        <v>439</v>
      </c>
      <c r="D16" s="877" t="s">
        <v>438</v>
      </c>
      <c r="E16" s="877"/>
      <c r="F16" s="877"/>
      <c r="G16" s="877"/>
      <c r="H16" s="880" t="s">
        <v>437</v>
      </c>
      <c r="I16" s="882" t="s">
        <v>436</v>
      </c>
    </row>
    <row r="17" spans="1:15" ht="15.6" customHeight="1" x14ac:dyDescent="0.25">
      <c r="A17" s="878"/>
      <c r="B17" s="879"/>
      <c r="C17" s="879"/>
      <c r="D17" s="879"/>
      <c r="E17" s="879"/>
      <c r="F17" s="879"/>
      <c r="G17" s="879"/>
      <c r="H17" s="881"/>
      <c r="I17" s="883"/>
    </row>
    <row r="18" spans="1:15" ht="9.75" customHeight="1" x14ac:dyDescent="0.25">
      <c r="A18" s="985"/>
      <c r="B18" s="986"/>
      <c r="C18" s="986"/>
      <c r="D18" s="986"/>
      <c r="E18" s="986"/>
      <c r="F18" s="986"/>
      <c r="G18" s="986"/>
      <c r="H18" s="986"/>
      <c r="I18" s="987"/>
    </row>
    <row r="19" spans="1:15" ht="15.6" customHeight="1" x14ac:dyDescent="0.25">
      <c r="A19" s="390"/>
      <c r="B19" s="309" t="s">
        <v>435</v>
      </c>
      <c r="C19" s="310" t="s">
        <v>429</v>
      </c>
      <c r="D19" s="267" t="s">
        <v>588</v>
      </c>
      <c r="E19" s="255"/>
      <c r="F19" s="255"/>
      <c r="G19" s="294"/>
      <c r="H19" s="282" t="s">
        <v>424</v>
      </c>
      <c r="I19" s="353"/>
    </row>
    <row r="20" spans="1:15" ht="15.6" customHeight="1" x14ac:dyDescent="0.25">
      <c r="A20" s="390"/>
      <c r="B20" s="304" t="s">
        <v>458</v>
      </c>
      <c r="C20" s="283" t="s">
        <v>534</v>
      </c>
      <c r="D20" s="267" t="s">
        <v>689</v>
      </c>
      <c r="E20" s="255"/>
      <c r="F20" s="255"/>
      <c r="G20" s="266"/>
      <c r="H20" s="282" t="s">
        <v>497</v>
      </c>
      <c r="I20" s="350"/>
      <c r="K20" s="255"/>
      <c r="L20" s="255"/>
      <c r="M20" s="255"/>
      <c r="N20" s="296"/>
    </row>
    <row r="21" spans="1:15" ht="15.6" customHeight="1" x14ac:dyDescent="0.25">
      <c r="A21" s="390"/>
      <c r="B21" s="306"/>
      <c r="C21" s="283"/>
      <c r="D21" s="410"/>
      <c r="E21" s="411"/>
      <c r="F21" s="411"/>
      <c r="G21" s="412"/>
      <c r="H21" s="282"/>
      <c r="I21" s="395"/>
      <c r="K21" s="255"/>
      <c r="L21" s="255"/>
      <c r="M21" s="255"/>
      <c r="N21" s="255"/>
    </row>
    <row r="22" spans="1:15" ht="15.6" customHeight="1" x14ac:dyDescent="0.25">
      <c r="A22" s="390"/>
      <c r="B22" s="307"/>
      <c r="C22" s="280"/>
      <c r="D22" s="267"/>
      <c r="E22" s="255"/>
      <c r="F22" s="255"/>
      <c r="G22" s="266"/>
      <c r="H22" s="276"/>
      <c r="I22" s="387"/>
      <c r="K22" s="255"/>
      <c r="L22" s="255"/>
      <c r="M22" s="255"/>
      <c r="N22" s="255"/>
    </row>
    <row r="23" spans="1:15" ht="15.6" customHeight="1" x14ac:dyDescent="0.25">
      <c r="A23" s="390"/>
      <c r="B23" s="305" t="s">
        <v>432</v>
      </c>
      <c r="C23" s="273" t="s">
        <v>500</v>
      </c>
      <c r="D23" s="287" t="s">
        <v>693</v>
      </c>
      <c r="E23" s="287"/>
      <c r="F23" s="287"/>
      <c r="G23" s="293"/>
      <c r="H23" s="347" t="s">
        <v>497</v>
      </c>
      <c r="I23" s="349"/>
      <c r="K23" s="255"/>
      <c r="L23" s="255"/>
      <c r="M23" s="255"/>
      <c r="N23" s="255"/>
    </row>
    <row r="24" spans="1:15" ht="15.6" customHeight="1" x14ac:dyDescent="0.25">
      <c r="A24" s="390"/>
      <c r="B24" s="304" t="s">
        <v>459</v>
      </c>
      <c r="C24" s="268"/>
      <c r="D24" s="255"/>
      <c r="E24" s="255"/>
      <c r="F24" s="255"/>
      <c r="G24" s="255"/>
      <c r="H24" s="310"/>
      <c r="I24" s="386"/>
      <c r="K24" s="255"/>
      <c r="L24" s="255"/>
      <c r="M24" s="255"/>
      <c r="N24" s="255"/>
    </row>
    <row r="25" spans="1:15" ht="15.6" customHeight="1" x14ac:dyDescent="0.25">
      <c r="A25" s="390"/>
      <c r="B25" s="306"/>
      <c r="C25" s="268"/>
      <c r="D25" s="267"/>
      <c r="E25" s="255"/>
      <c r="F25" s="255"/>
      <c r="G25" s="255"/>
      <c r="H25" s="310"/>
      <c r="I25" s="386"/>
      <c r="K25" s="255"/>
      <c r="L25" s="255"/>
      <c r="M25" s="255"/>
      <c r="N25" s="255"/>
    </row>
    <row r="26" spans="1:15" ht="15.6" customHeight="1" x14ac:dyDescent="0.25">
      <c r="A26" s="390"/>
      <c r="B26" s="307"/>
      <c r="C26" s="292"/>
      <c r="D26" s="278"/>
      <c r="E26" s="278"/>
      <c r="F26" s="278"/>
      <c r="G26" s="278"/>
      <c r="H26" s="348"/>
      <c r="I26" s="352"/>
      <c r="K26" s="255"/>
      <c r="L26" s="255"/>
      <c r="M26" s="255"/>
      <c r="N26" s="255"/>
    </row>
    <row r="27" spans="1:15" ht="15.6" customHeight="1" x14ac:dyDescent="0.25">
      <c r="A27" s="390"/>
      <c r="B27" s="308" t="s">
        <v>431</v>
      </c>
      <c r="C27" s="273" t="s">
        <v>495</v>
      </c>
      <c r="D27" s="267" t="s">
        <v>690</v>
      </c>
      <c r="E27" s="255"/>
      <c r="F27" s="255"/>
      <c r="G27" s="266"/>
      <c r="H27" s="272" t="s">
        <v>497</v>
      </c>
      <c r="I27" s="354"/>
      <c r="K27" s="255"/>
      <c r="L27" s="255"/>
      <c r="M27" s="255"/>
      <c r="N27" s="255"/>
    </row>
    <row r="28" spans="1:15" ht="15.6" customHeight="1" x14ac:dyDescent="0.25">
      <c r="A28" s="390"/>
      <c r="B28" s="304" t="s">
        <v>460</v>
      </c>
      <c r="C28" s="268" t="s">
        <v>534</v>
      </c>
      <c r="D28" s="267" t="s">
        <v>694</v>
      </c>
      <c r="E28" s="255"/>
      <c r="F28" s="255"/>
      <c r="G28" s="266"/>
      <c r="H28" s="265"/>
      <c r="I28" s="392"/>
    </row>
    <row r="29" spans="1:15" ht="15.6" customHeight="1" x14ac:dyDescent="0.25">
      <c r="A29" s="390"/>
      <c r="B29" s="306"/>
      <c r="C29" s="268"/>
      <c r="D29" s="267"/>
      <c r="E29" s="255"/>
      <c r="F29" s="255"/>
      <c r="G29" s="266"/>
      <c r="H29" s="265"/>
      <c r="I29" s="351"/>
    </row>
    <row r="30" spans="1:15" ht="15.6" customHeight="1" x14ac:dyDescent="0.25">
      <c r="A30" s="391"/>
      <c r="B30" s="254"/>
      <c r="C30" s="265"/>
      <c r="D30" s="267"/>
      <c r="E30" s="255"/>
      <c r="F30" s="255"/>
      <c r="G30" s="266"/>
      <c r="H30" s="265"/>
      <c r="I30" s="355"/>
    </row>
    <row r="31" spans="1:15" ht="15.6" customHeight="1" x14ac:dyDescent="0.25">
      <c r="A31" s="927" t="s">
        <v>428</v>
      </c>
      <c r="B31" s="860"/>
      <c r="C31" s="860"/>
      <c r="D31" s="860"/>
      <c r="E31" s="860"/>
      <c r="F31" s="860"/>
      <c r="G31" s="860"/>
      <c r="H31" s="860"/>
      <c r="I31" s="928"/>
      <c r="K31" s="255"/>
      <c r="L31" s="255"/>
      <c r="M31" s="255"/>
      <c r="N31" s="255"/>
      <c r="O31" s="255"/>
    </row>
    <row r="32" spans="1:15" ht="15.6" customHeight="1" x14ac:dyDescent="0.25">
      <c r="A32" s="929"/>
      <c r="B32" s="863"/>
      <c r="C32" s="863"/>
      <c r="D32" s="863"/>
      <c r="E32" s="863"/>
      <c r="F32" s="863"/>
      <c r="G32" s="863"/>
      <c r="H32" s="863"/>
      <c r="I32" s="930"/>
      <c r="K32" s="255"/>
      <c r="L32" s="255"/>
      <c r="M32" s="255"/>
      <c r="N32" s="255"/>
      <c r="O32" s="255"/>
    </row>
    <row r="33" spans="1:15" ht="9.75" customHeight="1" x14ac:dyDescent="0.25">
      <c r="A33" s="931"/>
      <c r="B33" s="932"/>
      <c r="C33" s="932"/>
      <c r="D33" s="932"/>
      <c r="E33" s="932"/>
      <c r="F33" s="932"/>
      <c r="G33" s="932"/>
      <c r="H33" s="932"/>
      <c r="I33" s="933"/>
      <c r="K33" s="255"/>
      <c r="L33" s="255"/>
      <c r="M33" s="255"/>
      <c r="N33" s="255"/>
      <c r="O33" s="255"/>
    </row>
    <row r="34" spans="1:15" ht="15.6" customHeight="1" x14ac:dyDescent="0.25">
      <c r="A34" s="356"/>
      <c r="B34" s="290" t="s">
        <v>427</v>
      </c>
      <c r="C34" s="283" t="s">
        <v>500</v>
      </c>
      <c r="D34" s="267" t="s">
        <v>691</v>
      </c>
      <c r="E34" s="255"/>
      <c r="F34" s="255"/>
      <c r="G34" s="266"/>
      <c r="H34" s="282" t="s">
        <v>424</v>
      </c>
      <c r="I34" s="376"/>
      <c r="K34" s="255"/>
      <c r="L34" s="255"/>
      <c r="M34" s="255"/>
      <c r="N34" s="255"/>
      <c r="O34" s="255"/>
    </row>
    <row r="35" spans="1:15" ht="15.6" customHeight="1" x14ac:dyDescent="0.25">
      <c r="A35" s="356"/>
      <c r="B35" s="319" t="s">
        <v>461</v>
      </c>
      <c r="C35" s="283"/>
      <c r="D35" s="267"/>
      <c r="E35" s="255"/>
      <c r="F35" s="255"/>
      <c r="G35" s="266"/>
      <c r="H35" s="282" t="s">
        <v>497</v>
      </c>
      <c r="I35" s="351"/>
      <c r="K35" s="255"/>
      <c r="L35" s="255"/>
      <c r="M35" s="255"/>
      <c r="N35" s="255"/>
      <c r="O35" s="255"/>
    </row>
    <row r="36" spans="1:15" ht="15.6" customHeight="1" x14ac:dyDescent="0.25">
      <c r="A36" s="356"/>
      <c r="B36" s="269"/>
      <c r="C36" s="283"/>
      <c r="D36" s="267"/>
      <c r="E36" s="255"/>
      <c r="F36" s="255"/>
      <c r="G36" s="266"/>
      <c r="H36" s="282"/>
      <c r="I36" s="351"/>
      <c r="K36" s="255"/>
      <c r="L36" s="255"/>
      <c r="M36" s="255"/>
      <c r="N36" s="255"/>
      <c r="O36" s="255"/>
    </row>
    <row r="37" spans="1:15" ht="15.6" customHeight="1" x14ac:dyDescent="0.25">
      <c r="A37" s="356"/>
      <c r="B37" s="281"/>
      <c r="C37" s="280"/>
      <c r="D37" s="279"/>
      <c r="E37" s="278"/>
      <c r="F37" s="278"/>
      <c r="G37" s="277"/>
      <c r="H37" s="276"/>
      <c r="I37" s="352"/>
    </row>
    <row r="38" spans="1:15" ht="15.6" customHeight="1" x14ac:dyDescent="0.25">
      <c r="A38" s="356"/>
      <c r="B38" s="274" t="s">
        <v>423</v>
      </c>
      <c r="C38" s="273" t="s">
        <v>500</v>
      </c>
      <c r="D38" s="267" t="s">
        <v>684</v>
      </c>
      <c r="E38" s="255"/>
      <c r="F38" s="255"/>
      <c r="G38" s="266"/>
      <c r="H38" s="272" t="s">
        <v>424</v>
      </c>
      <c r="I38" s="354"/>
    </row>
    <row r="39" spans="1:15" ht="15.6" customHeight="1" x14ac:dyDescent="0.25">
      <c r="A39" s="356"/>
      <c r="B39" s="270" t="s">
        <v>462</v>
      </c>
      <c r="C39" s="268"/>
      <c r="D39" s="267"/>
      <c r="E39" s="255"/>
      <c r="F39" s="255"/>
      <c r="G39" s="266"/>
      <c r="H39" s="265"/>
      <c r="I39" s="351"/>
    </row>
    <row r="40" spans="1:15" ht="15.6" customHeight="1" x14ac:dyDescent="0.25">
      <c r="A40" s="356"/>
      <c r="B40" s="269"/>
      <c r="C40" s="268"/>
      <c r="D40" s="267"/>
      <c r="E40" s="255"/>
      <c r="F40" s="255"/>
      <c r="G40" s="266"/>
      <c r="H40" s="265"/>
      <c r="I40" s="350"/>
    </row>
    <row r="41" spans="1:15" ht="15.6" customHeight="1" x14ac:dyDescent="0.25">
      <c r="A41" s="357"/>
      <c r="B41" s="358"/>
      <c r="C41" s="291"/>
      <c r="D41" s="279"/>
      <c r="E41" s="278"/>
      <c r="F41" s="278"/>
      <c r="G41" s="277"/>
      <c r="H41" s="291"/>
      <c r="I41" s="352"/>
    </row>
    <row r="42" spans="1:15" ht="5.85" customHeight="1" x14ac:dyDescent="0.25">
      <c r="A42" s="255"/>
      <c r="B42" s="257"/>
      <c r="C42" s="256"/>
      <c r="D42" s="255"/>
      <c r="E42" s="255"/>
      <c r="F42" s="255"/>
      <c r="G42" s="255"/>
      <c r="H42" s="255"/>
      <c r="I42" s="255"/>
    </row>
    <row r="43" spans="1:15" ht="15.6" customHeight="1" x14ac:dyDescent="0.25">
      <c r="A43" s="867" t="s">
        <v>422</v>
      </c>
      <c r="B43" s="868"/>
      <c r="C43" s="868"/>
      <c r="D43" s="869"/>
      <c r="E43" s="867" t="s">
        <v>421</v>
      </c>
      <c r="F43" s="868"/>
      <c r="G43" s="867" t="s">
        <v>420</v>
      </c>
      <c r="H43" s="868"/>
      <c r="I43" s="869"/>
    </row>
    <row r="44" spans="1:15" ht="15.6" customHeight="1" x14ac:dyDescent="0.25">
      <c r="A44" s="870"/>
      <c r="B44" s="871"/>
      <c r="C44" s="871"/>
      <c r="D44" s="872"/>
      <c r="E44" s="870"/>
      <c r="F44" s="871"/>
      <c r="G44" s="873"/>
      <c r="H44" s="874"/>
      <c r="I44" s="875"/>
    </row>
    <row r="45" spans="1:15" ht="15.6" customHeight="1" x14ac:dyDescent="0.25">
      <c r="A45" s="988"/>
      <c r="B45" s="989"/>
      <c r="C45" s="989"/>
      <c r="D45" s="989"/>
      <c r="E45" s="1007"/>
      <c r="F45" s="1008"/>
      <c r="G45" s="990"/>
      <c r="H45" s="990"/>
      <c r="I45" s="991"/>
    </row>
    <row r="46" spans="1:15" ht="15.6" customHeight="1" x14ac:dyDescent="0.25">
      <c r="A46" s="992"/>
      <c r="B46" s="993"/>
      <c r="C46" s="993"/>
      <c r="D46" s="993"/>
      <c r="E46" s="958"/>
      <c r="F46" s="959"/>
      <c r="G46" s="994"/>
      <c r="H46" s="994"/>
      <c r="I46" s="995"/>
    </row>
    <row r="47" spans="1:15" ht="15.6" customHeight="1" x14ac:dyDescent="0.25">
      <c r="A47" s="1001"/>
      <c r="B47" s="1002"/>
      <c r="C47" s="1002"/>
      <c r="D47" s="1002"/>
      <c r="E47" s="1011"/>
      <c r="F47" s="961"/>
      <c r="G47" s="994"/>
      <c r="H47" s="994"/>
      <c r="I47" s="995"/>
    </row>
    <row r="48" spans="1:15" ht="15.6" customHeight="1" x14ac:dyDescent="0.25">
      <c r="A48" s="396"/>
      <c r="B48" s="397"/>
      <c r="C48" s="397"/>
      <c r="D48" s="397"/>
      <c r="E48" s="1011"/>
      <c r="F48" s="961"/>
      <c r="G48" s="393"/>
      <c r="H48" s="393"/>
      <c r="I48" s="394"/>
    </row>
    <row r="49" spans="1:9" ht="15.6" customHeight="1" x14ac:dyDescent="0.25">
      <c r="A49" s="1014" t="s">
        <v>692</v>
      </c>
      <c r="B49" s="1015"/>
      <c r="C49" s="1015"/>
      <c r="D49" s="1015"/>
      <c r="E49" s="960"/>
      <c r="F49" s="1005"/>
      <c r="G49" s="839"/>
      <c r="H49" s="840"/>
      <c r="I49" s="841"/>
    </row>
    <row r="50" spans="1:9" ht="15.6" customHeight="1" x14ac:dyDescent="0.25">
      <c r="A50" s="1012">
        <v>45672</v>
      </c>
      <c r="B50" s="1013"/>
      <c r="C50" s="1013"/>
      <c r="D50" s="1013"/>
      <c r="E50" s="965"/>
      <c r="F50" s="1006"/>
      <c r="G50" s="842"/>
      <c r="H50" s="843"/>
      <c r="I50" s="844"/>
    </row>
    <row r="51" spans="1:9" ht="15.6" customHeight="1" x14ac:dyDescent="0.25">
      <c r="A51" s="835"/>
      <c r="B51" s="836"/>
      <c r="C51" s="836"/>
      <c r="D51" s="836"/>
      <c r="E51" s="838"/>
      <c r="F51" s="822"/>
      <c r="G51" s="842"/>
      <c r="H51" s="843"/>
      <c r="I51" s="844"/>
    </row>
    <row r="52" spans="1:9" ht="15.75" customHeight="1" x14ac:dyDescent="0.25">
      <c r="A52" s="400"/>
      <c r="B52" s="401"/>
      <c r="C52" s="401"/>
      <c r="D52" s="401"/>
      <c r="E52" s="1009"/>
      <c r="F52" s="1010"/>
      <c r="G52" s="400"/>
      <c r="H52" s="401"/>
      <c r="I52" s="402"/>
    </row>
    <row r="53" spans="1:9" ht="15.75" customHeight="1" x14ac:dyDescent="0.25"/>
    <row r="54" spans="1:9" ht="15.75" customHeight="1" x14ac:dyDescent="0.25"/>
    <row r="55" spans="1:9" ht="15.75" customHeight="1" x14ac:dyDescent="0.25"/>
    <row r="56" spans="1:9" ht="15.75" customHeight="1" x14ac:dyDescent="0.25"/>
  </sheetData>
  <mergeCells count="41">
    <mergeCell ref="A1:E2"/>
    <mergeCell ref="F1:H2"/>
    <mergeCell ref="I1:I2"/>
    <mergeCell ref="A4:B4"/>
    <mergeCell ref="A5:B6"/>
    <mergeCell ref="C5:H6"/>
    <mergeCell ref="I5:I6"/>
    <mergeCell ref="A7:B8"/>
    <mergeCell ref="C7:H8"/>
    <mergeCell ref="I7:I8"/>
    <mergeCell ref="A16:B17"/>
    <mergeCell ref="C16:C17"/>
    <mergeCell ref="D16:G17"/>
    <mergeCell ref="H16:H17"/>
    <mergeCell ref="I16:I17"/>
    <mergeCell ref="A18:I18"/>
    <mergeCell ref="A31:I32"/>
    <mergeCell ref="A33:I33"/>
    <mergeCell ref="A43:D44"/>
    <mergeCell ref="E43:F44"/>
    <mergeCell ref="G43:I44"/>
    <mergeCell ref="A45:D45"/>
    <mergeCell ref="E45:F45"/>
    <mergeCell ref="G45:I45"/>
    <mergeCell ref="A46:D46"/>
    <mergeCell ref="E46:F46"/>
    <mergeCell ref="G46:I46"/>
    <mergeCell ref="A47:D47"/>
    <mergeCell ref="E47:F47"/>
    <mergeCell ref="G47:I47"/>
    <mergeCell ref="E48:F48"/>
    <mergeCell ref="A49:D49"/>
    <mergeCell ref="E49:F49"/>
    <mergeCell ref="G49:I49"/>
    <mergeCell ref="E52:F52"/>
    <mergeCell ref="A50:D50"/>
    <mergeCell ref="E50:F50"/>
    <mergeCell ref="G50:I50"/>
    <mergeCell ref="A51:D51"/>
    <mergeCell ref="E51:F51"/>
    <mergeCell ref="G51:I51"/>
  </mergeCells>
  <pageMargins left="0.25" right="0.25" top="0.75" bottom="0.75" header="0.3" footer="0.3"/>
  <pageSetup paperSize="9" orientation="portrait" r:id="rId1"/>
  <headerFooter>
    <oddHeader>&amp;LGBS SG&amp;CSSPb23-25&amp;RBKU</oddHeader>
    <oddFooter>&amp;R&amp;"Century Gothic,Standard"&amp;9ART &amp;D</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FCBF2-534C-45B4-8694-6CFD46BF7A45}">
  <sheetPr>
    <tabColor theme="8" tint="0.59999389629810485"/>
  </sheetPr>
  <dimension ref="A1:O56"/>
  <sheetViews>
    <sheetView view="pageLayout" topLeftCell="A15" zoomScale="130" zoomScaleNormal="100" zoomScalePageLayoutView="130" workbookViewId="0">
      <selection activeCell="I24" sqref="I24"/>
    </sheetView>
  </sheetViews>
  <sheetFormatPr baseColWidth="10" defaultColWidth="11.42578125" defaultRowHeight="15" x14ac:dyDescent="0.25"/>
  <cols>
    <col min="1" max="1" width="1.5703125" customWidth="1"/>
    <col min="2" max="2" width="13.85546875" customWidth="1"/>
    <col min="3" max="3" width="4.7109375" customWidth="1"/>
    <col min="4" max="4" width="16.28515625" customWidth="1"/>
    <col min="5" max="5" width="13.28515625" customWidth="1"/>
    <col min="6" max="6" width="13" customWidth="1"/>
    <col min="7" max="7" width="12.7109375" customWidth="1"/>
    <col min="8" max="8" width="4.85546875" customWidth="1"/>
    <col min="9" max="9" width="16.7109375" customWidth="1"/>
  </cols>
  <sheetData>
    <row r="1" spans="1:9" ht="15" customHeight="1" x14ac:dyDescent="0.25">
      <c r="A1" s="884" t="s">
        <v>443</v>
      </c>
      <c r="B1" s="885"/>
      <c r="C1" s="885"/>
      <c r="D1" s="885"/>
      <c r="E1" s="886"/>
      <c r="F1" s="890">
        <f>Kompetenzraster!R39</f>
        <v>45672</v>
      </c>
      <c r="G1" s="891"/>
      <c r="H1" s="892"/>
      <c r="I1" s="896">
        <v>18</v>
      </c>
    </row>
    <row r="2" spans="1:9" ht="15" customHeight="1" x14ac:dyDescent="0.25">
      <c r="A2" s="887"/>
      <c r="B2" s="888"/>
      <c r="C2" s="888"/>
      <c r="D2" s="888"/>
      <c r="E2" s="889"/>
      <c r="F2" s="893"/>
      <c r="G2" s="894"/>
      <c r="H2" s="895"/>
      <c r="I2" s="896"/>
    </row>
    <row r="3" spans="1:9" ht="8.4499999999999993" customHeight="1" x14ac:dyDescent="0.25">
      <c r="A3" s="255"/>
      <c r="B3" s="303"/>
      <c r="C3" s="303"/>
      <c r="D3" s="303"/>
      <c r="E3" s="303"/>
      <c r="F3" s="301"/>
      <c r="G3" s="301"/>
      <c r="H3" s="301"/>
      <c r="I3" s="301"/>
    </row>
    <row r="4" spans="1:9" ht="15.75" customHeight="1" x14ac:dyDescent="0.25">
      <c r="A4" s="897" t="s">
        <v>442</v>
      </c>
      <c r="B4" s="897"/>
      <c r="C4" s="303"/>
      <c r="D4" s="303"/>
      <c r="E4" s="303"/>
      <c r="F4" s="301"/>
      <c r="G4" s="301"/>
      <c r="H4" s="301"/>
      <c r="I4" s="301"/>
    </row>
    <row r="5" spans="1:9" ht="14.25" customHeight="1" x14ac:dyDescent="0.25">
      <c r="A5" s="974" t="s">
        <v>445</v>
      </c>
      <c r="B5" s="975"/>
      <c r="C5" s="978" t="s">
        <v>711</v>
      </c>
      <c r="D5" s="979"/>
      <c r="E5" s="979"/>
      <c r="F5" s="979"/>
      <c r="G5" s="979"/>
      <c r="H5" s="980"/>
      <c r="I5" s="998"/>
    </row>
    <row r="6" spans="1:9" ht="14.25" customHeight="1" x14ac:dyDescent="0.25">
      <c r="A6" s="976"/>
      <c r="B6" s="977"/>
      <c r="C6" s="981"/>
      <c r="D6" s="982"/>
      <c r="E6" s="982"/>
      <c r="F6" s="982"/>
      <c r="G6" s="982"/>
      <c r="H6" s="983"/>
      <c r="I6" s="998"/>
    </row>
    <row r="7" spans="1:9" ht="14.25" customHeight="1" x14ac:dyDescent="0.25">
      <c r="A7" s="911" t="s">
        <v>446</v>
      </c>
      <c r="B7" s="912"/>
      <c r="C7" s="899" t="s">
        <v>617</v>
      </c>
      <c r="D7" s="900"/>
      <c r="E7" s="900"/>
      <c r="F7" s="900"/>
      <c r="G7" s="900"/>
      <c r="H7" s="901"/>
      <c r="I7" s="919">
        <v>3.3</v>
      </c>
    </row>
    <row r="8" spans="1:9" ht="14.25" customHeight="1" x14ac:dyDescent="0.25">
      <c r="A8" s="913"/>
      <c r="B8" s="914"/>
      <c r="C8" s="902"/>
      <c r="D8" s="903"/>
      <c r="E8" s="903"/>
      <c r="F8" s="903"/>
      <c r="G8" s="903"/>
      <c r="H8" s="904"/>
      <c r="I8" s="920"/>
    </row>
    <row r="9" spans="1:9" ht="5.85" customHeight="1" x14ac:dyDescent="0.25">
      <c r="A9" s="255"/>
      <c r="B9" s="302"/>
      <c r="C9" s="302"/>
      <c r="D9" s="302"/>
      <c r="E9" s="302"/>
      <c r="F9" s="302"/>
      <c r="G9" s="302"/>
      <c r="H9" s="302"/>
      <c r="I9" s="301"/>
    </row>
    <row r="10" spans="1:9" ht="15.75" customHeight="1" x14ac:dyDescent="0.25">
      <c r="A10" s="300" t="s">
        <v>441</v>
      </c>
      <c r="B10" s="299"/>
      <c r="C10" s="299"/>
      <c r="D10" s="299"/>
      <c r="E10" s="299"/>
      <c r="F10" s="299"/>
      <c r="G10" s="299"/>
      <c r="H10" s="299"/>
      <c r="I10" s="298"/>
    </row>
    <row r="11" spans="1:9" ht="15.75" customHeight="1" x14ac:dyDescent="0.25">
      <c r="A11" s="388"/>
      <c r="B11" s="255" t="s">
        <v>661</v>
      </c>
      <c r="C11" s="255"/>
      <c r="D11" s="255"/>
      <c r="E11" s="255"/>
      <c r="F11" s="255"/>
      <c r="G11" s="255"/>
      <c r="H11" s="255"/>
      <c r="I11" s="266"/>
    </row>
    <row r="12" spans="1:9" ht="15.75" customHeight="1" x14ac:dyDescent="0.25">
      <c r="A12" s="389"/>
      <c r="B12" s="255" t="s">
        <v>629</v>
      </c>
      <c r="C12" s="255"/>
      <c r="D12" s="255"/>
      <c r="E12" s="255"/>
      <c r="F12" s="255"/>
      <c r="G12" s="255"/>
      <c r="H12" s="255"/>
      <c r="I12" s="266"/>
    </row>
    <row r="13" spans="1:9" ht="15.75" customHeight="1" x14ac:dyDescent="0.25">
      <c r="A13" s="315"/>
      <c r="B13" s="255" t="s">
        <v>630</v>
      </c>
      <c r="C13" s="255"/>
      <c r="D13" s="255"/>
      <c r="E13" s="255"/>
      <c r="F13" s="255"/>
      <c r="G13" s="255"/>
      <c r="H13" s="255"/>
      <c r="I13" s="266"/>
    </row>
    <row r="14" spans="1:9" ht="15.75" customHeight="1" x14ac:dyDescent="0.25">
      <c r="A14" s="316"/>
      <c r="B14" s="278" t="s">
        <v>631</v>
      </c>
      <c r="C14" s="278"/>
      <c r="D14" s="278"/>
      <c r="E14" s="278"/>
      <c r="F14" s="278"/>
      <c r="G14" s="278"/>
      <c r="H14" s="278"/>
      <c r="I14" s="277"/>
    </row>
    <row r="15" spans="1:9" ht="5.85" customHeight="1" thickBot="1" x14ac:dyDescent="0.3">
      <c r="A15" s="255"/>
      <c r="B15" s="297"/>
      <c r="C15" s="297"/>
      <c r="D15" s="297"/>
      <c r="E15" s="297"/>
      <c r="F15" s="297"/>
      <c r="G15" s="297"/>
      <c r="H15" s="255"/>
      <c r="I15" s="255"/>
    </row>
    <row r="16" spans="1:9" ht="15.6" customHeight="1" x14ac:dyDescent="0.25">
      <c r="A16" s="876" t="s">
        <v>440</v>
      </c>
      <c r="B16" s="877"/>
      <c r="C16" s="877" t="s">
        <v>439</v>
      </c>
      <c r="D16" s="877" t="s">
        <v>438</v>
      </c>
      <c r="E16" s="877"/>
      <c r="F16" s="877"/>
      <c r="G16" s="877"/>
      <c r="H16" s="880" t="s">
        <v>437</v>
      </c>
      <c r="I16" s="882" t="s">
        <v>436</v>
      </c>
    </row>
    <row r="17" spans="1:15" ht="15.6" customHeight="1" x14ac:dyDescent="0.25">
      <c r="A17" s="878"/>
      <c r="B17" s="879"/>
      <c r="C17" s="879"/>
      <c r="D17" s="879"/>
      <c r="E17" s="879"/>
      <c r="F17" s="879"/>
      <c r="G17" s="879"/>
      <c r="H17" s="881"/>
      <c r="I17" s="883"/>
    </row>
    <row r="18" spans="1:15" ht="9.75" customHeight="1" x14ac:dyDescent="0.25">
      <c r="A18" s="985"/>
      <c r="B18" s="986"/>
      <c r="C18" s="986"/>
      <c r="D18" s="986"/>
      <c r="E18" s="986"/>
      <c r="F18" s="986"/>
      <c r="G18" s="986"/>
      <c r="H18" s="986"/>
      <c r="I18" s="987"/>
    </row>
    <row r="19" spans="1:15" ht="15.6" customHeight="1" x14ac:dyDescent="0.25">
      <c r="A19" s="390"/>
      <c r="B19" s="309" t="s">
        <v>435</v>
      </c>
      <c r="C19" s="310" t="s">
        <v>429</v>
      </c>
      <c r="D19" s="267" t="s">
        <v>588</v>
      </c>
      <c r="E19" s="255"/>
      <c r="F19" s="255"/>
      <c r="G19" s="294"/>
      <c r="H19" s="282" t="s">
        <v>424</v>
      </c>
      <c r="I19" s="353"/>
    </row>
    <row r="20" spans="1:15" ht="15.6" customHeight="1" x14ac:dyDescent="0.25">
      <c r="A20" s="390"/>
      <c r="B20" s="304" t="s">
        <v>458</v>
      </c>
      <c r="C20" s="283" t="s">
        <v>433</v>
      </c>
      <c r="D20" s="267" t="s">
        <v>698</v>
      </c>
      <c r="E20" s="255"/>
      <c r="F20" s="255"/>
      <c r="G20" s="266"/>
      <c r="H20" s="282" t="s">
        <v>507</v>
      </c>
      <c r="I20" s="350"/>
      <c r="K20" s="255"/>
      <c r="L20" s="255"/>
      <c r="M20" s="255"/>
      <c r="N20" s="296"/>
    </row>
    <row r="21" spans="1:15" ht="15.6" customHeight="1" x14ac:dyDescent="0.25">
      <c r="A21" s="390"/>
      <c r="B21" s="306"/>
      <c r="C21" s="283"/>
      <c r="D21" s="414" t="s">
        <v>700</v>
      </c>
      <c r="E21" s="415" t="s">
        <v>701</v>
      </c>
      <c r="F21" s="415" t="s">
        <v>702</v>
      </c>
      <c r="G21" s="416" t="s">
        <v>703</v>
      </c>
      <c r="H21" s="282"/>
      <c r="I21" s="395"/>
      <c r="K21" s="255"/>
      <c r="L21" s="255"/>
      <c r="M21" s="255"/>
      <c r="N21" s="255"/>
    </row>
    <row r="22" spans="1:15" ht="15.6" customHeight="1" x14ac:dyDescent="0.25">
      <c r="A22" s="390"/>
      <c r="B22" s="307"/>
      <c r="C22" s="280"/>
      <c r="D22" s="414" t="s">
        <v>704</v>
      </c>
      <c r="E22" s="413"/>
      <c r="F22" s="413"/>
      <c r="G22" s="282"/>
      <c r="H22" s="276"/>
      <c r="I22" s="387"/>
      <c r="K22" s="255"/>
      <c r="L22" s="255"/>
      <c r="M22" s="255"/>
      <c r="N22" s="255"/>
    </row>
    <row r="23" spans="1:15" ht="15.6" customHeight="1" x14ac:dyDescent="0.25">
      <c r="A23" s="390"/>
      <c r="B23" s="305" t="s">
        <v>432</v>
      </c>
      <c r="C23" s="273" t="s">
        <v>500</v>
      </c>
      <c r="D23" s="287" t="s">
        <v>699</v>
      </c>
      <c r="E23" s="287"/>
      <c r="F23" s="287"/>
      <c r="G23" s="293"/>
      <c r="H23" s="347" t="s">
        <v>507</v>
      </c>
      <c r="I23" s="349"/>
      <c r="K23" s="255"/>
      <c r="L23" s="255"/>
      <c r="M23" s="255"/>
      <c r="N23" s="255"/>
    </row>
    <row r="24" spans="1:15" ht="15.6" customHeight="1" x14ac:dyDescent="0.25">
      <c r="A24" s="390"/>
      <c r="B24" s="304" t="s">
        <v>459</v>
      </c>
      <c r="C24" s="268"/>
      <c r="D24" s="255"/>
      <c r="E24" s="255"/>
      <c r="F24" s="255"/>
      <c r="G24" s="255"/>
      <c r="H24" s="310"/>
      <c r="I24" s="386"/>
      <c r="K24" s="255"/>
      <c r="L24" s="255"/>
      <c r="M24" s="255"/>
      <c r="N24" s="255"/>
    </row>
    <row r="25" spans="1:15" ht="15.6" customHeight="1" x14ac:dyDescent="0.25">
      <c r="A25" s="390"/>
      <c r="B25" s="306"/>
      <c r="C25" s="268"/>
      <c r="D25" s="267"/>
      <c r="E25" s="255"/>
      <c r="F25" s="255"/>
      <c r="G25" s="255"/>
      <c r="H25" s="310"/>
      <c r="I25" s="386"/>
      <c r="K25" s="255"/>
      <c r="L25" s="255"/>
      <c r="M25" s="255"/>
      <c r="N25" s="255"/>
    </row>
    <row r="26" spans="1:15" ht="15.6" customHeight="1" x14ac:dyDescent="0.25">
      <c r="A26" s="390"/>
      <c r="B26" s="307"/>
      <c r="C26" s="292"/>
      <c r="D26" s="278"/>
      <c r="E26" s="278"/>
      <c r="F26" s="278"/>
      <c r="G26" s="278"/>
      <c r="H26" s="348"/>
      <c r="I26" s="352"/>
      <c r="K26" s="255"/>
      <c r="L26" s="255"/>
      <c r="M26" s="255"/>
      <c r="N26" s="255"/>
    </row>
    <row r="27" spans="1:15" ht="15.6" customHeight="1" x14ac:dyDescent="0.25">
      <c r="A27" s="390"/>
      <c r="B27" s="308" t="s">
        <v>431</v>
      </c>
      <c r="C27" s="273" t="s">
        <v>500</v>
      </c>
      <c r="D27" s="267" t="s">
        <v>705</v>
      </c>
      <c r="E27" s="255"/>
      <c r="F27" s="255"/>
      <c r="G27" s="266"/>
      <c r="H27" s="272" t="s">
        <v>424</v>
      </c>
      <c r="I27" s="354"/>
      <c r="K27" s="255"/>
      <c r="L27" s="255"/>
      <c r="M27" s="255"/>
      <c r="N27" s="255"/>
    </row>
    <row r="28" spans="1:15" ht="15.6" customHeight="1" x14ac:dyDescent="0.25">
      <c r="A28" s="390"/>
      <c r="B28" s="304" t="s">
        <v>460</v>
      </c>
      <c r="C28" s="268"/>
      <c r="D28" s="267"/>
      <c r="E28" s="255"/>
      <c r="F28" s="255"/>
      <c r="G28" s="266"/>
      <c r="H28" s="265"/>
      <c r="I28" s="392"/>
    </row>
    <row r="29" spans="1:15" ht="15.6" customHeight="1" x14ac:dyDescent="0.25">
      <c r="A29" s="390"/>
      <c r="B29" s="306"/>
      <c r="C29" s="268"/>
      <c r="D29" s="267"/>
      <c r="E29" s="255"/>
      <c r="F29" s="255"/>
      <c r="G29" s="266"/>
      <c r="H29" s="265"/>
      <c r="I29" s="351"/>
    </row>
    <row r="30" spans="1:15" ht="15.6" customHeight="1" x14ac:dyDescent="0.25">
      <c r="A30" s="391"/>
      <c r="B30" s="254"/>
      <c r="C30" s="265"/>
      <c r="D30" s="267"/>
      <c r="E30" s="255"/>
      <c r="F30" s="255"/>
      <c r="G30" s="266"/>
      <c r="H30" s="265"/>
      <c r="I30" s="355"/>
    </row>
    <row r="31" spans="1:15" ht="15.6" customHeight="1" x14ac:dyDescent="0.25">
      <c r="A31" s="927" t="s">
        <v>428</v>
      </c>
      <c r="B31" s="860"/>
      <c r="C31" s="860"/>
      <c r="D31" s="860"/>
      <c r="E31" s="860"/>
      <c r="F31" s="860"/>
      <c r="G31" s="860"/>
      <c r="H31" s="860"/>
      <c r="I31" s="928"/>
      <c r="K31" s="255"/>
      <c r="L31" s="255"/>
      <c r="M31" s="255"/>
      <c r="N31" s="255"/>
      <c r="O31" s="255"/>
    </row>
    <row r="32" spans="1:15" ht="15.6" customHeight="1" x14ac:dyDescent="0.25">
      <c r="A32" s="929"/>
      <c r="B32" s="863"/>
      <c r="C32" s="863"/>
      <c r="D32" s="863"/>
      <c r="E32" s="863"/>
      <c r="F32" s="863"/>
      <c r="G32" s="863"/>
      <c r="H32" s="863"/>
      <c r="I32" s="930"/>
      <c r="K32" s="255"/>
      <c r="L32" s="255"/>
      <c r="M32" s="255"/>
      <c r="N32" s="255"/>
      <c r="O32" s="255"/>
    </row>
    <row r="33" spans="1:15" ht="9.75" customHeight="1" x14ac:dyDescent="0.25">
      <c r="A33" s="931"/>
      <c r="B33" s="932"/>
      <c r="C33" s="932"/>
      <c r="D33" s="932"/>
      <c r="E33" s="932"/>
      <c r="F33" s="932"/>
      <c r="G33" s="932"/>
      <c r="H33" s="932"/>
      <c r="I33" s="933"/>
      <c r="K33" s="255"/>
      <c r="L33" s="255"/>
      <c r="M33" s="255"/>
      <c r="N33" s="255"/>
      <c r="O33" s="255"/>
    </row>
    <row r="34" spans="1:15" ht="15.6" customHeight="1" x14ac:dyDescent="0.25">
      <c r="A34" s="356"/>
      <c r="B34" s="290" t="s">
        <v>427</v>
      </c>
      <c r="C34" s="283" t="s">
        <v>433</v>
      </c>
      <c r="D34" s="267" t="s">
        <v>705</v>
      </c>
      <c r="E34" s="255"/>
      <c r="F34" s="255"/>
      <c r="G34" s="266"/>
      <c r="H34" s="282" t="s">
        <v>424</v>
      </c>
      <c r="I34" s="376"/>
      <c r="K34" s="255"/>
      <c r="L34" s="255"/>
      <c r="M34" s="255"/>
      <c r="N34" s="255"/>
      <c r="O34" s="255"/>
    </row>
    <row r="35" spans="1:15" ht="15.6" customHeight="1" x14ac:dyDescent="0.25">
      <c r="A35" s="356"/>
      <c r="B35" s="319" t="s">
        <v>461</v>
      </c>
      <c r="C35" s="283"/>
      <c r="D35" s="267"/>
      <c r="E35" s="255"/>
      <c r="F35" s="255"/>
      <c r="G35" s="266"/>
      <c r="H35" s="282" t="s">
        <v>497</v>
      </c>
      <c r="I35" s="351"/>
      <c r="K35" s="255"/>
      <c r="L35" s="255"/>
      <c r="M35" s="255"/>
      <c r="N35" s="255"/>
      <c r="O35" s="255"/>
    </row>
    <row r="36" spans="1:15" ht="15.6" customHeight="1" x14ac:dyDescent="0.25">
      <c r="A36" s="356"/>
      <c r="B36" s="269"/>
      <c r="C36" s="283" t="s">
        <v>429</v>
      </c>
      <c r="D36" s="267" t="s">
        <v>696</v>
      </c>
      <c r="E36" s="255"/>
      <c r="F36" s="255"/>
      <c r="G36" s="266"/>
      <c r="H36" s="282" t="s">
        <v>424</v>
      </c>
      <c r="I36" s="351"/>
      <c r="K36" s="255"/>
      <c r="L36" s="255"/>
      <c r="M36" s="255"/>
      <c r="N36" s="255"/>
      <c r="O36" s="255"/>
    </row>
    <row r="37" spans="1:15" ht="15.6" customHeight="1" x14ac:dyDescent="0.25">
      <c r="A37" s="356"/>
      <c r="B37" s="281"/>
      <c r="C37" s="280"/>
      <c r="D37" s="279"/>
      <c r="E37" s="278"/>
      <c r="F37" s="278"/>
      <c r="G37" s="277"/>
      <c r="H37" s="276"/>
      <c r="I37" s="352"/>
    </row>
    <row r="38" spans="1:15" ht="15.6" customHeight="1" x14ac:dyDescent="0.25">
      <c r="A38" s="356"/>
      <c r="B38" s="274" t="s">
        <v>423</v>
      </c>
      <c r="C38" s="273" t="s">
        <v>426</v>
      </c>
      <c r="D38" s="267" t="s">
        <v>697</v>
      </c>
      <c r="E38" s="255"/>
      <c r="F38" s="255"/>
      <c r="G38" s="266"/>
      <c r="H38" s="272" t="s">
        <v>497</v>
      </c>
      <c r="I38" s="354"/>
    </row>
    <row r="39" spans="1:15" ht="15.6" customHeight="1" x14ac:dyDescent="0.25">
      <c r="A39" s="356"/>
      <c r="B39" s="270" t="s">
        <v>462</v>
      </c>
      <c r="C39" s="268"/>
      <c r="D39" s="267"/>
      <c r="E39" s="255"/>
      <c r="F39" s="255"/>
      <c r="G39" s="266"/>
      <c r="H39" s="265"/>
      <c r="I39" s="351"/>
    </row>
    <row r="40" spans="1:15" ht="15.6" customHeight="1" x14ac:dyDescent="0.25">
      <c r="A40" s="356"/>
      <c r="B40" s="269"/>
      <c r="C40" s="268" t="s">
        <v>430</v>
      </c>
      <c r="D40" s="267" t="s">
        <v>706</v>
      </c>
      <c r="E40" s="255"/>
      <c r="F40" s="255"/>
      <c r="G40" s="266"/>
      <c r="H40" s="265" t="s">
        <v>424</v>
      </c>
      <c r="I40" s="350"/>
    </row>
    <row r="41" spans="1:15" ht="15.6" customHeight="1" x14ac:dyDescent="0.25">
      <c r="A41" s="357"/>
      <c r="B41" s="358"/>
      <c r="C41" s="291"/>
      <c r="D41" s="279"/>
      <c r="E41" s="278"/>
      <c r="F41" s="278"/>
      <c r="G41" s="277"/>
      <c r="H41" s="291"/>
      <c r="I41" s="352"/>
    </row>
    <row r="42" spans="1:15" ht="5.85" customHeight="1" x14ac:dyDescent="0.25">
      <c r="A42" s="255"/>
      <c r="B42" s="257"/>
      <c r="C42" s="256"/>
      <c r="D42" s="255"/>
      <c r="E42" s="255"/>
      <c r="F42" s="255"/>
      <c r="G42" s="255"/>
      <c r="H42" s="255"/>
      <c r="I42" s="255"/>
    </row>
    <row r="43" spans="1:15" ht="15.6" customHeight="1" x14ac:dyDescent="0.25">
      <c r="A43" s="867" t="s">
        <v>422</v>
      </c>
      <c r="B43" s="868"/>
      <c r="C43" s="868"/>
      <c r="D43" s="869"/>
      <c r="E43" s="867" t="s">
        <v>421</v>
      </c>
      <c r="F43" s="868"/>
      <c r="G43" s="867" t="s">
        <v>420</v>
      </c>
      <c r="H43" s="868"/>
      <c r="I43" s="869"/>
    </row>
    <row r="44" spans="1:15" ht="15.6" customHeight="1" x14ac:dyDescent="0.25">
      <c r="A44" s="870"/>
      <c r="B44" s="871"/>
      <c r="C44" s="871"/>
      <c r="D44" s="872"/>
      <c r="E44" s="870"/>
      <c r="F44" s="871"/>
      <c r="G44" s="873"/>
      <c r="H44" s="874"/>
      <c r="I44" s="875"/>
    </row>
    <row r="45" spans="1:15" ht="15.6" customHeight="1" x14ac:dyDescent="0.25">
      <c r="A45" s="988" t="s">
        <v>707</v>
      </c>
      <c r="B45" s="989"/>
      <c r="C45" s="989"/>
      <c r="D45" s="989"/>
      <c r="E45" s="1007" t="s">
        <v>708</v>
      </c>
      <c r="F45" s="1008"/>
      <c r="G45" s="990"/>
      <c r="H45" s="990"/>
      <c r="I45" s="991"/>
    </row>
    <row r="46" spans="1:15" ht="15.6" customHeight="1" x14ac:dyDescent="0.25">
      <c r="A46" s="992"/>
      <c r="B46" s="993"/>
      <c r="C46" s="993"/>
      <c r="D46" s="993"/>
      <c r="E46" s="958" t="s">
        <v>709</v>
      </c>
      <c r="F46" s="959"/>
      <c r="G46" s="994"/>
      <c r="H46" s="994"/>
      <c r="I46" s="995"/>
    </row>
    <row r="47" spans="1:15" ht="15.6" customHeight="1" x14ac:dyDescent="0.25">
      <c r="A47" s="1001"/>
      <c r="B47" s="1002"/>
      <c r="C47" s="1002"/>
      <c r="D47" s="1002"/>
      <c r="E47" s="1011"/>
      <c r="F47" s="961"/>
      <c r="G47" s="994"/>
      <c r="H47" s="994"/>
      <c r="I47" s="995"/>
    </row>
    <row r="48" spans="1:15" ht="15.6" customHeight="1" x14ac:dyDescent="0.25">
      <c r="A48" s="396"/>
      <c r="B48" s="397"/>
      <c r="C48" s="397"/>
      <c r="D48" s="397"/>
      <c r="E48" s="1011" t="s">
        <v>710</v>
      </c>
      <c r="F48" s="961"/>
      <c r="G48" s="393"/>
      <c r="H48" s="393"/>
      <c r="I48" s="394"/>
    </row>
    <row r="49" spans="1:9" ht="15.6" customHeight="1" x14ac:dyDescent="0.25">
      <c r="A49" s="1014" t="s">
        <v>707</v>
      </c>
      <c r="B49" s="1015"/>
      <c r="C49" s="1015"/>
      <c r="D49" s="1015"/>
      <c r="E49" s="1011">
        <v>45693</v>
      </c>
      <c r="F49" s="1005"/>
      <c r="G49" s="839" t="s">
        <v>695</v>
      </c>
      <c r="H49" s="840"/>
      <c r="I49" s="841"/>
    </row>
    <row r="50" spans="1:9" ht="15.6" customHeight="1" x14ac:dyDescent="0.25">
      <c r="A50" s="1012"/>
      <c r="B50" s="1013"/>
      <c r="C50" s="1013"/>
      <c r="D50" s="1013"/>
      <c r="E50" s="965"/>
      <c r="F50" s="1006"/>
      <c r="G50" s="1016">
        <v>45679</v>
      </c>
      <c r="H50" s="843"/>
      <c r="I50" s="844"/>
    </row>
    <row r="51" spans="1:9" ht="15.6" customHeight="1" x14ac:dyDescent="0.25">
      <c r="A51" s="835"/>
      <c r="B51" s="836"/>
      <c r="C51" s="836"/>
      <c r="D51" s="836"/>
      <c r="E51" s="838"/>
      <c r="F51" s="822"/>
      <c r="G51" s="842"/>
      <c r="H51" s="843"/>
      <c r="I51" s="844"/>
    </row>
    <row r="52" spans="1:9" ht="15.75" customHeight="1" x14ac:dyDescent="0.25">
      <c r="A52" s="400"/>
      <c r="B52" s="401"/>
      <c r="C52" s="401"/>
      <c r="D52" s="401"/>
      <c r="E52" s="1009"/>
      <c r="F52" s="1010"/>
      <c r="G52" s="400"/>
      <c r="H52" s="401"/>
      <c r="I52" s="402"/>
    </row>
    <row r="53" spans="1:9" ht="15.75" customHeight="1" x14ac:dyDescent="0.25"/>
    <row r="54" spans="1:9" ht="15.75" customHeight="1" x14ac:dyDescent="0.25"/>
    <row r="55" spans="1:9" ht="15.75" customHeight="1" x14ac:dyDescent="0.25"/>
    <row r="56" spans="1:9" ht="15.75" customHeight="1" x14ac:dyDescent="0.25"/>
  </sheetData>
  <mergeCells count="41">
    <mergeCell ref="A1:E2"/>
    <mergeCell ref="F1:H2"/>
    <mergeCell ref="I1:I2"/>
    <mergeCell ref="A4:B4"/>
    <mergeCell ref="A5:B6"/>
    <mergeCell ref="C5:H6"/>
    <mergeCell ref="I5:I6"/>
    <mergeCell ref="A7:B8"/>
    <mergeCell ref="C7:H8"/>
    <mergeCell ref="I7:I8"/>
    <mergeCell ref="A16:B17"/>
    <mergeCell ref="C16:C17"/>
    <mergeCell ref="D16:G17"/>
    <mergeCell ref="H16:H17"/>
    <mergeCell ref="I16:I17"/>
    <mergeCell ref="A18:I18"/>
    <mergeCell ref="A31:I32"/>
    <mergeCell ref="A33:I33"/>
    <mergeCell ref="A43:D44"/>
    <mergeCell ref="E43:F44"/>
    <mergeCell ref="G43:I44"/>
    <mergeCell ref="A45:D45"/>
    <mergeCell ref="E45:F45"/>
    <mergeCell ref="G45:I45"/>
    <mergeCell ref="A46:D46"/>
    <mergeCell ref="E46:F46"/>
    <mergeCell ref="G46:I46"/>
    <mergeCell ref="A47:D47"/>
    <mergeCell ref="E47:F47"/>
    <mergeCell ref="G47:I47"/>
    <mergeCell ref="E48:F48"/>
    <mergeCell ref="A49:D49"/>
    <mergeCell ref="E49:F49"/>
    <mergeCell ref="G49:I49"/>
    <mergeCell ref="E52:F52"/>
    <mergeCell ref="A50:D50"/>
    <mergeCell ref="E50:F50"/>
    <mergeCell ref="G50:I50"/>
    <mergeCell ref="A51:D51"/>
    <mergeCell ref="E51:F51"/>
    <mergeCell ref="G51:I51"/>
  </mergeCells>
  <hyperlinks>
    <hyperlink ref="D21" r:id="rId1" xr:uid="{B05FD3FD-E79D-4F56-9ED9-0AD919E3E7A0}"/>
    <hyperlink ref="E21" r:id="rId2" xr:uid="{95AC15E3-106C-4E3D-B392-94A1B0EE7908}"/>
    <hyperlink ref="F21" r:id="rId3" xr:uid="{F2FC8904-6313-476F-9AB7-9DAC1B5AA2AF}"/>
    <hyperlink ref="G21" r:id="rId4" xr:uid="{75C8FA71-1C39-41C8-9A81-D7C3F2CE4502}"/>
    <hyperlink ref="D22" r:id="rId5" xr:uid="{305950C8-9AE5-4A57-8A66-4C6CE16522DE}"/>
  </hyperlinks>
  <pageMargins left="0.25" right="0.25" top="0.75" bottom="0.75" header="0.3" footer="0.3"/>
  <pageSetup paperSize="9" orientation="portrait" r:id="rId6"/>
  <headerFooter>
    <oddHeader>&amp;LGBS SG&amp;CSSPb23-25&amp;RBKU</oddHeader>
    <oddFooter>&amp;R&amp;"Century Gothic,Standard"&amp;9ART &amp;D</oddFooter>
  </headerFooter>
  <drawing r:id="rId7"/>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7249-1159-48E2-B85F-512FAA916B86}">
  <dimension ref="A1:H54"/>
  <sheetViews>
    <sheetView zoomScale="55" zoomScaleNormal="55" workbookViewId="0">
      <selection activeCell="G18" sqref="G18:G22"/>
    </sheetView>
  </sheetViews>
  <sheetFormatPr baseColWidth="10" defaultRowHeight="15" x14ac:dyDescent="0.25"/>
  <cols>
    <col min="1" max="1" width="30" customWidth="1"/>
    <col min="2" max="2" width="18.140625" customWidth="1"/>
    <col min="3" max="3" width="76.42578125" customWidth="1"/>
    <col min="4" max="4" width="11.7109375" customWidth="1"/>
    <col min="5" max="5" width="85" customWidth="1"/>
    <col min="7" max="7" width="15" customWidth="1"/>
    <col min="8" max="8" width="199.85546875" customWidth="1"/>
  </cols>
  <sheetData>
    <row r="1" spans="1:8" ht="33.75" customHeight="1" x14ac:dyDescent="0.25">
      <c r="A1" s="1028" t="s">
        <v>353</v>
      </c>
      <c r="B1" s="1028"/>
      <c r="C1" s="1028"/>
      <c r="D1" s="1028"/>
      <c r="E1" s="1028"/>
      <c r="F1" s="1028"/>
      <c r="G1" s="1028"/>
      <c r="H1" s="1028"/>
    </row>
    <row r="2" spans="1:8" ht="15" customHeight="1" x14ac:dyDescent="0.25">
      <c r="A2" s="94"/>
      <c r="B2" s="94"/>
      <c r="C2" s="94"/>
      <c r="D2" s="94"/>
      <c r="E2" s="94"/>
      <c r="G2" s="1031" t="s">
        <v>418</v>
      </c>
      <c r="H2" s="228"/>
    </row>
    <row r="3" spans="1:8" ht="15" customHeight="1" x14ac:dyDescent="0.25">
      <c r="A3" s="120" t="s">
        <v>196</v>
      </c>
      <c r="B3" s="121" t="s">
        <v>204</v>
      </c>
      <c r="C3" s="122" t="s">
        <v>148</v>
      </c>
      <c r="D3" s="123" t="s">
        <v>149</v>
      </c>
      <c r="E3" s="142" t="s">
        <v>144</v>
      </c>
      <c r="F3" s="249"/>
      <c r="G3" s="1032"/>
      <c r="H3" s="228"/>
    </row>
    <row r="4" spans="1:8" ht="15" customHeight="1" x14ac:dyDescent="0.25">
      <c r="A4" s="102"/>
      <c r="B4" s="102"/>
      <c r="C4" s="103"/>
      <c r="D4" s="93"/>
      <c r="E4" s="93"/>
      <c r="G4" s="1033"/>
      <c r="H4" s="228"/>
    </row>
    <row r="5" spans="1:8" ht="34.5" customHeight="1" x14ac:dyDescent="0.25">
      <c r="A5" s="102"/>
      <c r="B5" s="103"/>
      <c r="C5" s="126" t="s">
        <v>207</v>
      </c>
      <c r="D5" s="790">
        <v>10</v>
      </c>
      <c r="E5" s="127" t="s">
        <v>354</v>
      </c>
      <c r="F5" s="1035" t="s">
        <v>338</v>
      </c>
      <c r="G5" s="1018">
        <v>3.1</v>
      </c>
      <c r="H5" s="1025" t="s">
        <v>342</v>
      </c>
    </row>
    <row r="6" spans="1:8" ht="45" x14ac:dyDescent="0.25">
      <c r="A6" s="102"/>
      <c r="B6" s="103">
        <v>2.1</v>
      </c>
      <c r="C6" s="128" t="s">
        <v>210</v>
      </c>
      <c r="D6" s="791"/>
      <c r="E6" s="127" t="s">
        <v>209</v>
      </c>
      <c r="F6" s="1036"/>
      <c r="G6" s="1019"/>
      <c r="H6" s="1030"/>
    </row>
    <row r="7" spans="1:8" x14ac:dyDescent="0.25">
      <c r="A7" s="102"/>
      <c r="B7" s="103"/>
      <c r="C7" s="103"/>
      <c r="D7" s="102"/>
      <c r="E7" s="102"/>
    </row>
    <row r="8" spans="1:8" ht="60" x14ac:dyDescent="0.25">
      <c r="A8" s="102" t="s">
        <v>365</v>
      </c>
      <c r="B8" s="1017" t="s">
        <v>359</v>
      </c>
      <c r="C8" s="126" t="s">
        <v>211</v>
      </c>
      <c r="D8" s="790">
        <v>10</v>
      </c>
      <c r="E8" s="127" t="s">
        <v>258</v>
      </c>
      <c r="F8" s="1034" t="s">
        <v>338</v>
      </c>
      <c r="G8" s="1020">
        <v>3.2</v>
      </c>
      <c r="H8" s="1025" t="s">
        <v>343</v>
      </c>
    </row>
    <row r="9" spans="1:8" ht="30" x14ac:dyDescent="0.25">
      <c r="A9" s="102"/>
      <c r="B9" s="1017"/>
      <c r="C9" s="126" t="s">
        <v>214</v>
      </c>
      <c r="D9" s="792"/>
      <c r="E9" s="127" t="s">
        <v>259</v>
      </c>
      <c r="F9" s="1035"/>
      <c r="G9" s="1021"/>
      <c r="H9" s="1026"/>
    </row>
    <row r="10" spans="1:8" ht="30" x14ac:dyDescent="0.25">
      <c r="A10" s="102"/>
      <c r="B10" s="1017"/>
      <c r="C10" s="126" t="s">
        <v>216</v>
      </c>
      <c r="D10" s="792"/>
      <c r="E10" s="127" t="s">
        <v>259</v>
      </c>
      <c r="F10" s="1035"/>
      <c r="G10" s="1021"/>
      <c r="H10" s="1026"/>
    </row>
    <row r="11" spans="1:8" ht="45.75" customHeight="1" x14ac:dyDescent="0.25">
      <c r="A11" s="119" t="s">
        <v>260</v>
      </c>
      <c r="B11" s="1017"/>
      <c r="C11" s="126" t="s">
        <v>217</v>
      </c>
      <c r="D11" s="791"/>
      <c r="E11" s="127" t="s">
        <v>259</v>
      </c>
      <c r="F11" s="1036"/>
      <c r="G11" s="1022"/>
      <c r="H11" s="1027"/>
    </row>
    <row r="12" spans="1:8" x14ac:dyDescent="0.25">
      <c r="A12" s="111"/>
      <c r="B12" s="100"/>
      <c r="C12" s="103"/>
      <c r="D12" s="102"/>
      <c r="E12" s="102"/>
    </row>
    <row r="13" spans="1:8" ht="45" x14ac:dyDescent="0.25">
      <c r="A13" s="111"/>
      <c r="B13" s="1017" t="s">
        <v>358</v>
      </c>
      <c r="C13" s="126" t="s">
        <v>219</v>
      </c>
      <c r="D13" s="790">
        <v>10</v>
      </c>
      <c r="E13" s="127" t="s">
        <v>261</v>
      </c>
      <c r="F13" s="1034" t="s">
        <v>338</v>
      </c>
      <c r="G13" s="1018">
        <v>3.3</v>
      </c>
      <c r="H13" s="1025" t="s">
        <v>355</v>
      </c>
    </row>
    <row r="14" spans="1:8" ht="45" x14ac:dyDescent="0.25">
      <c r="A14" s="111"/>
      <c r="B14" s="1017"/>
      <c r="C14" s="126" t="s">
        <v>262</v>
      </c>
      <c r="D14" s="792"/>
      <c r="E14" s="127" t="s">
        <v>263</v>
      </c>
      <c r="F14" s="1035"/>
      <c r="G14" s="1023"/>
      <c r="H14" s="1026"/>
    </row>
    <row r="15" spans="1:8" ht="30" x14ac:dyDescent="0.25">
      <c r="A15" s="111"/>
      <c r="B15" s="1017"/>
      <c r="C15" s="126" t="s">
        <v>228</v>
      </c>
      <c r="D15" s="792"/>
      <c r="E15" s="127" t="s">
        <v>264</v>
      </c>
      <c r="F15" s="1035"/>
      <c r="G15" s="1023"/>
      <c r="H15" s="1026"/>
    </row>
    <row r="16" spans="1:8" ht="30" x14ac:dyDescent="0.25">
      <c r="A16" s="111"/>
      <c r="B16" s="1017"/>
      <c r="C16" s="126" t="s">
        <v>231</v>
      </c>
      <c r="D16" s="791"/>
      <c r="E16" s="127" t="s">
        <v>264</v>
      </c>
      <c r="F16" s="1036"/>
      <c r="G16" s="1019"/>
      <c r="H16" s="1027"/>
    </row>
    <row r="17" spans="1:8" x14ac:dyDescent="0.25">
      <c r="A17" s="111"/>
      <c r="B17" s="100"/>
      <c r="C17" s="103"/>
      <c r="D17" s="102"/>
      <c r="E17" s="102"/>
    </row>
    <row r="18" spans="1:8" ht="30" x14ac:dyDescent="0.25">
      <c r="A18" s="111"/>
      <c r="B18" s="1017" t="s">
        <v>357</v>
      </c>
      <c r="C18" s="126" t="s">
        <v>233</v>
      </c>
      <c r="D18" s="790">
        <v>15</v>
      </c>
      <c r="E18" s="127" t="s">
        <v>265</v>
      </c>
      <c r="F18" s="1034" t="s">
        <v>338</v>
      </c>
      <c r="G18" s="1018">
        <v>3.4</v>
      </c>
      <c r="H18" s="1025" t="s">
        <v>344</v>
      </c>
    </row>
    <row r="19" spans="1:8" ht="30" x14ac:dyDescent="0.25">
      <c r="A19" s="111"/>
      <c r="B19" s="1017"/>
      <c r="C19" s="126" t="s">
        <v>266</v>
      </c>
      <c r="D19" s="792"/>
      <c r="E19" s="127" t="s">
        <v>267</v>
      </c>
      <c r="F19" s="1035"/>
      <c r="G19" s="1023"/>
      <c r="H19" s="1026"/>
    </row>
    <row r="20" spans="1:8" ht="30" x14ac:dyDescent="0.25">
      <c r="A20" s="111"/>
      <c r="B20" s="1017"/>
      <c r="C20" s="126" t="s">
        <v>274</v>
      </c>
      <c r="D20" s="792"/>
      <c r="E20" s="127" t="s">
        <v>268</v>
      </c>
      <c r="F20" s="1035"/>
      <c r="G20" s="1023"/>
      <c r="H20" s="1026"/>
    </row>
    <row r="21" spans="1:8" ht="30" x14ac:dyDescent="0.25">
      <c r="A21" s="111"/>
      <c r="B21" s="1017"/>
      <c r="C21" s="126" t="s">
        <v>269</v>
      </c>
      <c r="D21" s="792"/>
      <c r="E21" s="127" t="s">
        <v>270</v>
      </c>
      <c r="F21" s="1035"/>
      <c r="G21" s="1023"/>
      <c r="H21" s="1026"/>
    </row>
    <row r="22" spans="1:8" ht="30" x14ac:dyDescent="0.25">
      <c r="A22" s="111"/>
      <c r="B22" s="1017"/>
      <c r="C22" s="126" t="s">
        <v>275</v>
      </c>
      <c r="D22" s="791"/>
      <c r="E22" s="127" t="s">
        <v>270</v>
      </c>
      <c r="F22" s="1036"/>
      <c r="G22" s="1019"/>
      <c r="H22" s="1027"/>
    </row>
    <row r="23" spans="1:8" ht="15" customHeight="1" x14ac:dyDescent="0.25">
      <c r="A23" s="111"/>
      <c r="B23" s="100"/>
      <c r="C23" s="103"/>
      <c r="D23" s="110"/>
      <c r="E23" s="102"/>
      <c r="F23" s="226"/>
      <c r="G23" s="227"/>
    </row>
    <row r="24" spans="1:8" ht="120" x14ac:dyDescent="0.25">
      <c r="A24" s="111"/>
      <c r="B24" s="231" t="s">
        <v>356</v>
      </c>
      <c r="C24" s="126" t="s">
        <v>276</v>
      </c>
      <c r="D24" s="129">
        <v>5</v>
      </c>
      <c r="E24" s="127" t="s">
        <v>271</v>
      </c>
      <c r="F24" s="229" t="s">
        <v>338</v>
      </c>
      <c r="G24" s="250">
        <v>3.5</v>
      </c>
      <c r="H24" s="230" t="s">
        <v>345</v>
      </c>
    </row>
    <row r="25" spans="1:8" x14ac:dyDescent="0.25">
      <c r="A25" s="111"/>
      <c r="B25" s="231"/>
      <c r="C25" s="103"/>
      <c r="D25" s="110"/>
      <c r="E25" s="102"/>
    </row>
    <row r="26" spans="1:8" ht="30" x14ac:dyDescent="0.25">
      <c r="A26" s="111" t="s">
        <v>363</v>
      </c>
      <c r="B26" s="1017" t="s">
        <v>360</v>
      </c>
      <c r="C26" s="126" t="s">
        <v>272</v>
      </c>
      <c r="D26" s="790">
        <v>20</v>
      </c>
      <c r="E26" s="127" t="s">
        <v>273</v>
      </c>
      <c r="F26" s="1034" t="s">
        <v>339</v>
      </c>
      <c r="G26" s="1018">
        <v>3.6</v>
      </c>
      <c r="H26" s="1025" t="s">
        <v>346</v>
      </c>
    </row>
    <row r="27" spans="1:8" ht="30" x14ac:dyDescent="0.25">
      <c r="A27" s="111" t="s">
        <v>364</v>
      </c>
      <c r="B27" s="1017"/>
      <c r="C27" s="126" t="s">
        <v>277</v>
      </c>
      <c r="D27" s="792"/>
      <c r="E27" s="127" t="s">
        <v>180</v>
      </c>
      <c r="F27" s="1035"/>
      <c r="G27" s="1023"/>
      <c r="H27" s="1026"/>
    </row>
    <row r="28" spans="1:8" x14ac:dyDescent="0.25">
      <c r="A28" s="111"/>
      <c r="B28" s="1017"/>
      <c r="C28" s="126" t="s">
        <v>278</v>
      </c>
      <c r="D28" s="792"/>
      <c r="E28" s="127" t="s">
        <v>279</v>
      </c>
      <c r="F28" s="1035"/>
      <c r="G28" s="1023"/>
      <c r="H28" s="1026"/>
    </row>
    <row r="29" spans="1:8" ht="30" x14ac:dyDescent="0.25">
      <c r="A29" s="111"/>
      <c r="B29" s="1017"/>
      <c r="C29" s="126" t="s">
        <v>280</v>
      </c>
      <c r="D29" s="792"/>
      <c r="E29" s="127" t="s">
        <v>180</v>
      </c>
      <c r="F29" s="1035"/>
      <c r="G29" s="1023"/>
      <c r="H29" s="1026"/>
    </row>
    <row r="30" spans="1:8" ht="30" x14ac:dyDescent="0.25">
      <c r="A30" s="111"/>
      <c r="B30" s="1017"/>
      <c r="C30" s="126" t="s">
        <v>281</v>
      </c>
      <c r="D30" s="791"/>
      <c r="E30" s="127" t="s">
        <v>180</v>
      </c>
      <c r="F30" s="1036"/>
      <c r="G30" s="1019"/>
      <c r="H30" s="1027"/>
    </row>
    <row r="31" spans="1:8" x14ac:dyDescent="0.25">
      <c r="A31" s="111"/>
      <c r="B31" s="100"/>
      <c r="C31" s="103"/>
      <c r="D31" s="110"/>
      <c r="E31" s="102"/>
    </row>
    <row r="32" spans="1:8" ht="57" customHeight="1" x14ac:dyDescent="0.25">
      <c r="A32" s="111"/>
      <c r="B32" s="1017" t="s">
        <v>362</v>
      </c>
      <c r="C32" s="126" t="s">
        <v>242</v>
      </c>
      <c r="D32" s="790">
        <v>5</v>
      </c>
      <c r="E32" s="127" t="s">
        <v>282</v>
      </c>
      <c r="F32" s="1034" t="s">
        <v>338</v>
      </c>
      <c r="G32" s="1018">
        <v>3.7</v>
      </c>
      <c r="H32" s="1025" t="s">
        <v>347</v>
      </c>
    </row>
    <row r="33" spans="1:8" ht="75" customHeight="1" x14ac:dyDescent="0.25">
      <c r="A33" s="111"/>
      <c r="B33" s="1017"/>
      <c r="C33" s="124" t="s">
        <v>245</v>
      </c>
      <c r="D33" s="791"/>
      <c r="E33" s="125" t="s">
        <v>283</v>
      </c>
      <c r="F33" s="1036"/>
      <c r="G33" s="1023"/>
      <c r="H33" s="1027"/>
    </row>
    <row r="34" spans="1:8" x14ac:dyDescent="0.25">
      <c r="A34" s="111"/>
      <c r="B34" s="100"/>
      <c r="C34" s="100"/>
      <c r="D34" s="110"/>
      <c r="E34" s="111"/>
      <c r="G34" s="1023"/>
    </row>
    <row r="35" spans="1:8" ht="30" x14ac:dyDescent="0.25">
      <c r="A35" s="111"/>
      <c r="B35" s="1017" t="s">
        <v>361</v>
      </c>
      <c r="C35" s="124" t="s">
        <v>284</v>
      </c>
      <c r="D35" s="790">
        <v>5</v>
      </c>
      <c r="E35" s="125" t="s">
        <v>285</v>
      </c>
      <c r="F35" s="1034" t="s">
        <v>338</v>
      </c>
      <c r="G35" s="1023"/>
      <c r="H35" s="1025" t="s">
        <v>349</v>
      </c>
    </row>
    <row r="36" spans="1:8" ht="45" x14ac:dyDescent="0.25">
      <c r="A36" s="111"/>
      <c r="B36" s="1017"/>
      <c r="C36" s="124" t="s">
        <v>253</v>
      </c>
      <c r="D36" s="792"/>
      <c r="E36" s="125"/>
      <c r="F36" s="1035"/>
      <c r="G36" s="1023"/>
      <c r="H36" s="1026"/>
    </row>
    <row r="37" spans="1:8" ht="30" x14ac:dyDescent="0.25">
      <c r="A37" s="111"/>
      <c r="B37" s="1017"/>
      <c r="C37" s="126" t="s">
        <v>286</v>
      </c>
      <c r="D37" s="792"/>
      <c r="E37" s="127" t="s">
        <v>287</v>
      </c>
      <c r="F37" s="1035"/>
      <c r="G37" s="1023"/>
      <c r="H37" s="1026"/>
    </row>
    <row r="38" spans="1:8" ht="45" x14ac:dyDescent="0.25">
      <c r="A38" s="111"/>
      <c r="B38" s="1017"/>
      <c r="C38" s="126" t="s">
        <v>288</v>
      </c>
      <c r="D38" s="791"/>
      <c r="E38" s="127" t="s">
        <v>289</v>
      </c>
      <c r="F38" s="1036"/>
      <c r="G38" s="1019"/>
      <c r="H38" s="1027"/>
    </row>
    <row r="39" spans="1:8" x14ac:dyDescent="0.25">
      <c r="A39" s="111"/>
      <c r="B39" s="100"/>
      <c r="C39" s="103"/>
      <c r="D39" s="130"/>
      <c r="E39" s="102"/>
    </row>
    <row r="40" spans="1:8" ht="90" x14ac:dyDescent="0.25">
      <c r="A40" s="111"/>
      <c r="B40" s="67">
        <v>3.6</v>
      </c>
      <c r="C40" s="126" t="s">
        <v>291</v>
      </c>
      <c r="D40" s="129">
        <v>5</v>
      </c>
      <c r="E40" s="127" t="s">
        <v>290</v>
      </c>
      <c r="F40" s="229" t="s">
        <v>340</v>
      </c>
      <c r="G40" s="250">
        <v>3.5</v>
      </c>
      <c r="H40" s="230" t="s">
        <v>348</v>
      </c>
    </row>
    <row r="41" spans="1:8" x14ac:dyDescent="0.25">
      <c r="A41" s="111"/>
      <c r="B41" s="100"/>
      <c r="C41" s="103"/>
      <c r="D41" s="130"/>
      <c r="E41" s="102"/>
    </row>
    <row r="42" spans="1:8" ht="53.25" customHeight="1" x14ac:dyDescent="0.25">
      <c r="A42" s="111"/>
      <c r="B42" s="1024">
        <v>3.1</v>
      </c>
      <c r="C42" s="126" t="s">
        <v>292</v>
      </c>
      <c r="D42" s="790">
        <v>5</v>
      </c>
      <c r="E42" s="127" t="s">
        <v>293</v>
      </c>
      <c r="F42" s="1034" t="s">
        <v>340</v>
      </c>
      <c r="G42" s="1018">
        <v>3.8</v>
      </c>
      <c r="H42" s="1025" t="s">
        <v>350</v>
      </c>
    </row>
    <row r="43" spans="1:8" ht="41.25" customHeight="1" x14ac:dyDescent="0.25">
      <c r="A43" s="111"/>
      <c r="B43" s="1024"/>
      <c r="C43" s="126" t="s">
        <v>294</v>
      </c>
      <c r="D43" s="791"/>
      <c r="E43" s="127" t="s">
        <v>295</v>
      </c>
      <c r="F43" s="1036"/>
      <c r="G43" s="1023"/>
      <c r="H43" s="1027"/>
    </row>
    <row r="44" spans="1:8" x14ac:dyDescent="0.25">
      <c r="A44" s="111"/>
      <c r="B44" s="100"/>
      <c r="C44" s="103"/>
      <c r="D44" s="110"/>
      <c r="E44" s="102"/>
      <c r="G44" s="1023"/>
    </row>
    <row r="45" spans="1:8" ht="111" customHeight="1" x14ac:dyDescent="0.25">
      <c r="A45" s="111"/>
      <c r="B45" s="232">
        <v>3.1</v>
      </c>
      <c r="C45" s="126" t="s">
        <v>296</v>
      </c>
      <c r="D45" s="129">
        <v>5</v>
      </c>
      <c r="E45" s="127" t="s">
        <v>297</v>
      </c>
      <c r="F45" s="229" t="s">
        <v>340</v>
      </c>
      <c r="G45" s="1019"/>
      <c r="H45" s="230" t="s">
        <v>351</v>
      </c>
    </row>
    <row r="46" spans="1:8" ht="15" customHeight="1" x14ac:dyDescent="0.25">
      <c r="A46" s="111"/>
      <c r="B46" s="100"/>
      <c r="C46" s="94"/>
      <c r="D46" s="130"/>
      <c r="E46" s="93"/>
      <c r="F46" s="226"/>
    </row>
    <row r="47" spans="1:8" ht="53.25" customHeight="1" x14ac:dyDescent="0.25">
      <c r="A47" s="111"/>
      <c r="B47" s="1017">
        <v>4.3</v>
      </c>
      <c r="C47" s="124" t="s">
        <v>298</v>
      </c>
      <c r="D47" s="790">
        <v>5</v>
      </c>
      <c r="E47" s="125" t="s">
        <v>299</v>
      </c>
      <c r="F47" s="1034" t="s">
        <v>339</v>
      </c>
      <c r="G47" s="1018">
        <v>3.9</v>
      </c>
      <c r="H47" s="1025" t="s">
        <v>352</v>
      </c>
    </row>
    <row r="48" spans="1:8" ht="43.5" customHeight="1" x14ac:dyDescent="0.25">
      <c r="A48" s="111"/>
      <c r="B48" s="1017"/>
      <c r="C48" s="124" t="s">
        <v>300</v>
      </c>
      <c r="D48" s="792"/>
      <c r="E48" s="125" t="s">
        <v>301</v>
      </c>
      <c r="F48" s="1035"/>
      <c r="G48" s="1023"/>
      <c r="H48" s="1026"/>
    </row>
    <row r="49" spans="1:8" ht="40.5" customHeight="1" x14ac:dyDescent="0.25">
      <c r="A49" s="111"/>
      <c r="B49" s="1017"/>
      <c r="C49" s="124" t="s">
        <v>302</v>
      </c>
      <c r="D49" s="791"/>
      <c r="E49" s="125" t="s">
        <v>336</v>
      </c>
      <c r="F49" s="1036"/>
      <c r="G49" s="1019"/>
      <c r="H49" s="1027"/>
    </row>
    <row r="50" spans="1:8" x14ac:dyDescent="0.25">
      <c r="A50" s="111"/>
      <c r="B50" s="111"/>
      <c r="C50" s="100"/>
      <c r="D50" s="111">
        <f>SUM(D47+D45+D42+D40+D35+D32+D26+D24+D18+D13+D8+D5)</f>
        <v>100</v>
      </c>
      <c r="E50" s="111"/>
    </row>
    <row r="51" spans="1:8" x14ac:dyDescent="0.25">
      <c r="A51" s="111"/>
      <c r="B51" s="111"/>
      <c r="C51" s="100"/>
      <c r="D51" s="111"/>
      <c r="E51" s="111"/>
      <c r="F51" s="1029" t="s">
        <v>341</v>
      </c>
      <c r="G51" s="1029"/>
    </row>
    <row r="52" spans="1:8" x14ac:dyDescent="0.25">
      <c r="F52" s="1029"/>
      <c r="G52" s="1029"/>
    </row>
    <row r="53" spans="1:8" x14ac:dyDescent="0.25">
      <c r="F53" s="1029"/>
      <c r="G53" s="1029"/>
    </row>
    <row r="54" spans="1:8" x14ac:dyDescent="0.25">
      <c r="F54" s="1029"/>
      <c r="G54" s="1029"/>
    </row>
  </sheetData>
  <mergeCells count="46">
    <mergeCell ref="F51:G54"/>
    <mergeCell ref="H5:H6"/>
    <mergeCell ref="H8:H11"/>
    <mergeCell ref="G2:G4"/>
    <mergeCell ref="F26:F30"/>
    <mergeCell ref="F32:F33"/>
    <mergeCell ref="F35:F38"/>
    <mergeCell ref="F42:F43"/>
    <mergeCell ref="F47:F49"/>
    <mergeCell ref="F18:F22"/>
    <mergeCell ref="F5:F6"/>
    <mergeCell ref="F8:F11"/>
    <mergeCell ref="F13:F16"/>
    <mergeCell ref="H47:H49"/>
    <mergeCell ref="A1:H1"/>
    <mergeCell ref="B8:B11"/>
    <mergeCell ref="B18:B22"/>
    <mergeCell ref="B32:B33"/>
    <mergeCell ref="B35:B38"/>
    <mergeCell ref="B13:B16"/>
    <mergeCell ref="D13:D16"/>
    <mergeCell ref="B42:B43"/>
    <mergeCell ref="B26:B30"/>
    <mergeCell ref="H13:H16"/>
    <mergeCell ref="H18:H22"/>
    <mergeCell ref="H26:H30"/>
    <mergeCell ref="H32:H33"/>
    <mergeCell ref="H35:H38"/>
    <mergeCell ref="H42:H43"/>
    <mergeCell ref="D42:D43"/>
    <mergeCell ref="B47:B49"/>
    <mergeCell ref="G5:G6"/>
    <mergeCell ref="G8:G11"/>
    <mergeCell ref="G13:G16"/>
    <mergeCell ref="G18:G22"/>
    <mergeCell ref="G26:G30"/>
    <mergeCell ref="G32:G38"/>
    <mergeCell ref="G42:G45"/>
    <mergeCell ref="G47:G49"/>
    <mergeCell ref="D47:D49"/>
    <mergeCell ref="D18:D22"/>
    <mergeCell ref="D26:D30"/>
    <mergeCell ref="D32:D33"/>
    <mergeCell ref="D35:D38"/>
    <mergeCell ref="D5:D6"/>
    <mergeCell ref="D8:D11"/>
  </mergeCells>
  <pageMargins left="0.7" right="0.7" top="0.78740157499999996" bottom="0.78740157499999996"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0F114-15E7-4A8F-930D-6F0956A8DDB8}">
  <dimension ref="B1:K125"/>
  <sheetViews>
    <sheetView topLeftCell="A102" zoomScaleNormal="100" workbookViewId="0">
      <selection activeCell="L9" sqref="L9"/>
    </sheetView>
  </sheetViews>
  <sheetFormatPr baseColWidth="10" defaultColWidth="11.42578125" defaultRowHeight="15" x14ac:dyDescent="0.25"/>
  <cols>
    <col min="1" max="1" width="2.85546875" customWidth="1"/>
    <col min="2" max="2" width="14.85546875" customWidth="1"/>
    <col min="3" max="5" width="16.28515625" customWidth="1"/>
    <col min="6" max="6" width="27.140625" customWidth="1"/>
    <col min="7" max="7" width="2.85546875" customWidth="1"/>
  </cols>
  <sheetData>
    <row r="1" spans="2:6" x14ac:dyDescent="0.25">
      <c r="B1" s="1037" t="s">
        <v>35</v>
      </c>
      <c r="C1" s="1038"/>
      <c r="D1" s="1038"/>
      <c r="E1" s="1039"/>
      <c r="F1" s="1040"/>
    </row>
    <row r="2" spans="2:6" x14ac:dyDescent="0.25">
      <c r="B2" s="1041"/>
      <c r="C2" s="1042"/>
      <c r="D2" s="1042"/>
      <c r="E2" s="1043"/>
      <c r="F2" s="1044"/>
    </row>
    <row r="3" spans="2:6" ht="12.75" customHeight="1" x14ac:dyDescent="0.25">
      <c r="C3" s="60"/>
      <c r="D3" s="60"/>
      <c r="E3" s="60"/>
      <c r="F3" s="60"/>
    </row>
    <row r="4" spans="2:6" x14ac:dyDescent="0.25">
      <c r="B4" s="1045" t="s">
        <v>4</v>
      </c>
      <c r="C4" s="1047" t="s">
        <v>46</v>
      </c>
      <c r="D4" s="1048"/>
      <c r="E4" s="1048"/>
      <c r="F4" s="1049"/>
    </row>
    <row r="5" spans="2:6" ht="15.75" customHeight="1" x14ac:dyDescent="0.25">
      <c r="B5" s="1046"/>
      <c r="C5" s="1050"/>
      <c r="D5" s="1051"/>
      <c r="E5" s="1051"/>
      <c r="F5" s="1026"/>
    </row>
    <row r="6" spans="2:6" x14ac:dyDescent="0.25">
      <c r="B6" s="53" t="s">
        <v>38</v>
      </c>
      <c r="C6" s="1050"/>
      <c r="D6" s="1051"/>
      <c r="E6" s="1051"/>
      <c r="F6" s="1026"/>
    </row>
    <row r="7" spans="2:6" x14ac:dyDescent="0.25">
      <c r="B7" s="57">
        <v>2</v>
      </c>
      <c r="C7" s="1050"/>
      <c r="D7" s="1051"/>
      <c r="E7" s="1051"/>
      <c r="F7" s="1026"/>
    </row>
    <row r="8" spans="2:6" ht="15.75" customHeight="1" x14ac:dyDescent="0.25">
      <c r="B8" s="54" t="s">
        <v>36</v>
      </c>
      <c r="C8" s="1050"/>
      <c r="D8" s="1051"/>
      <c r="E8" s="1051"/>
      <c r="F8" s="1026"/>
    </row>
    <row r="9" spans="2:6" ht="15.75" customHeight="1" x14ac:dyDescent="0.3">
      <c r="B9" s="55">
        <f>'Kompetenzraster alt'!R5</f>
        <v>45518</v>
      </c>
      <c r="C9" s="1050"/>
      <c r="D9" s="1051"/>
      <c r="E9" s="1051"/>
      <c r="F9" s="1026"/>
    </row>
    <row r="10" spans="2:6" ht="15.75" customHeight="1" x14ac:dyDescent="0.25">
      <c r="B10" s="54" t="s">
        <v>37</v>
      </c>
      <c r="C10" s="1050"/>
      <c r="D10" s="1051"/>
      <c r="E10" s="1051"/>
      <c r="F10" s="1026"/>
    </row>
    <row r="11" spans="2:6" ht="15.75" customHeight="1" x14ac:dyDescent="0.3">
      <c r="B11" s="56">
        <f>'Kompetenzraster alt'!R17-1</f>
        <v>45559</v>
      </c>
      <c r="C11" s="1050"/>
      <c r="D11" s="1051"/>
      <c r="E11" s="1051"/>
      <c r="F11" s="1026"/>
    </row>
    <row r="12" spans="2:6" x14ac:dyDescent="0.25">
      <c r="B12" s="1054"/>
      <c r="C12" s="1050"/>
      <c r="D12" s="1051"/>
      <c r="E12" s="1051"/>
      <c r="F12" s="1026"/>
    </row>
    <row r="13" spans="2:6" x14ac:dyDescent="0.25">
      <c r="B13" s="1055"/>
      <c r="C13" s="1050"/>
      <c r="D13" s="1051"/>
      <c r="E13" s="1051"/>
      <c r="F13" s="1026"/>
    </row>
    <row r="14" spans="2:6" x14ac:dyDescent="0.25">
      <c r="B14" s="1055"/>
      <c r="C14" s="1050"/>
      <c r="D14" s="1051"/>
      <c r="E14" s="1051"/>
      <c r="F14" s="1026"/>
    </row>
    <row r="15" spans="2:6" ht="15.75" customHeight="1" x14ac:dyDescent="0.25">
      <c r="B15" s="1056"/>
      <c r="C15" s="1050"/>
      <c r="D15" s="1051"/>
      <c r="E15" s="1051"/>
      <c r="F15" s="1026"/>
    </row>
    <row r="16" spans="2:6" ht="15.75" customHeight="1" x14ac:dyDescent="0.25">
      <c r="B16" s="1057"/>
      <c r="C16" s="1052"/>
      <c r="D16" s="1053"/>
      <c r="E16" s="1053"/>
      <c r="F16" s="1027"/>
    </row>
    <row r="17" spans="2:6" x14ac:dyDescent="0.25">
      <c r="B17" s="1045" t="s">
        <v>5</v>
      </c>
      <c r="C17" s="1047" t="s">
        <v>43</v>
      </c>
      <c r="D17" s="1048"/>
      <c r="E17" s="1048"/>
      <c r="F17" s="1049"/>
    </row>
    <row r="18" spans="2:6" x14ac:dyDescent="0.25">
      <c r="B18" s="1046"/>
      <c r="C18" s="1050"/>
      <c r="D18" s="1051"/>
      <c r="E18" s="1051"/>
      <c r="F18" s="1026"/>
    </row>
    <row r="19" spans="2:6" x14ac:dyDescent="0.25">
      <c r="B19" s="53" t="s">
        <v>38</v>
      </c>
      <c r="C19" s="1050"/>
      <c r="D19" s="1051"/>
      <c r="E19" s="1051"/>
      <c r="F19" s="1026"/>
    </row>
    <row r="20" spans="2:6" x14ac:dyDescent="0.25">
      <c r="B20" s="57">
        <v>3</v>
      </c>
      <c r="C20" s="1050"/>
      <c r="D20" s="1051"/>
      <c r="E20" s="1051"/>
      <c r="F20" s="1026"/>
    </row>
    <row r="21" spans="2:6" x14ac:dyDescent="0.25">
      <c r="B21" s="54" t="s">
        <v>36</v>
      </c>
      <c r="C21" s="1050"/>
      <c r="D21" s="1051"/>
      <c r="E21" s="1051"/>
      <c r="F21" s="1026"/>
    </row>
    <row r="22" spans="2:6" ht="16.5" x14ac:dyDescent="0.3">
      <c r="B22" s="55">
        <f>'Kompetenzraster alt'!R23</f>
        <v>45602</v>
      </c>
      <c r="C22" s="1050"/>
      <c r="D22" s="1051"/>
      <c r="E22" s="1051"/>
      <c r="F22" s="1026"/>
    </row>
    <row r="23" spans="2:6" x14ac:dyDescent="0.25">
      <c r="B23" s="54" t="s">
        <v>37</v>
      </c>
      <c r="C23" s="1050"/>
      <c r="D23" s="1051"/>
      <c r="E23" s="1051"/>
      <c r="F23" s="1026"/>
    </row>
    <row r="24" spans="2:6" ht="16.5" x14ac:dyDescent="0.3">
      <c r="B24" s="56">
        <f>'Kompetenzraster alt'!R37-1</f>
        <v>45664</v>
      </c>
      <c r="C24" s="1050"/>
      <c r="D24" s="1051"/>
      <c r="E24" s="1051"/>
      <c r="F24" s="1026"/>
    </row>
    <row r="25" spans="2:6" x14ac:dyDescent="0.25">
      <c r="B25" s="1054"/>
      <c r="C25" s="1050"/>
      <c r="D25" s="1051"/>
      <c r="E25" s="1051"/>
      <c r="F25" s="1026"/>
    </row>
    <row r="26" spans="2:6" x14ac:dyDescent="0.25">
      <c r="B26" s="1055"/>
      <c r="C26" s="1050"/>
      <c r="D26" s="1051"/>
      <c r="E26" s="1051"/>
      <c r="F26" s="1026"/>
    </row>
    <row r="27" spans="2:6" x14ac:dyDescent="0.25">
      <c r="B27" s="1057"/>
      <c r="C27" s="1052"/>
      <c r="D27" s="1053"/>
      <c r="E27" s="1053"/>
      <c r="F27" s="1027"/>
    </row>
    <row r="28" spans="2:6" x14ac:dyDescent="0.25">
      <c r="B28" s="1045" t="s">
        <v>6</v>
      </c>
      <c r="C28" s="1047" t="s">
        <v>45</v>
      </c>
      <c r="D28" s="1048"/>
      <c r="E28" s="1048"/>
      <c r="F28" s="1049"/>
    </row>
    <row r="29" spans="2:6" x14ac:dyDescent="0.25">
      <c r="B29" s="1046"/>
      <c r="C29" s="1050"/>
      <c r="D29" s="1051"/>
      <c r="E29" s="1051"/>
      <c r="F29" s="1026"/>
    </row>
    <row r="30" spans="2:6" x14ac:dyDescent="0.25">
      <c r="B30" s="53" t="s">
        <v>38</v>
      </c>
      <c r="C30" s="1050"/>
      <c r="D30" s="1051"/>
      <c r="E30" s="1051"/>
      <c r="F30" s="1026"/>
    </row>
    <row r="31" spans="2:6" x14ac:dyDescent="0.25">
      <c r="B31" s="57">
        <f>'Kompetenzraster alt'!N12</f>
        <v>2</v>
      </c>
      <c r="C31" s="1050"/>
      <c r="D31" s="1051"/>
      <c r="E31" s="1051"/>
      <c r="F31" s="1026"/>
    </row>
    <row r="32" spans="2:6" x14ac:dyDescent="0.25">
      <c r="B32" s="54" t="s">
        <v>36</v>
      </c>
      <c r="C32" s="1050"/>
      <c r="D32" s="1051"/>
      <c r="E32" s="1051"/>
      <c r="F32" s="1026"/>
    </row>
    <row r="33" spans="2:6" ht="16.5" x14ac:dyDescent="0.3">
      <c r="B33" s="55">
        <f>'Kompetenzraster alt'!R17</f>
        <v>45560</v>
      </c>
      <c r="C33" s="1050"/>
      <c r="D33" s="1051"/>
      <c r="E33" s="1051"/>
      <c r="F33" s="1026"/>
    </row>
    <row r="34" spans="2:6" x14ac:dyDescent="0.25">
      <c r="B34" s="54" t="s">
        <v>37</v>
      </c>
      <c r="C34" s="1050"/>
      <c r="D34" s="1051"/>
      <c r="E34" s="1051"/>
      <c r="F34" s="1026"/>
    </row>
    <row r="35" spans="2:6" ht="16.5" x14ac:dyDescent="0.3">
      <c r="B35" s="56">
        <f>'Kompetenzraster alt'!R23-1</f>
        <v>45601</v>
      </c>
      <c r="C35" s="1050"/>
      <c r="D35" s="1051"/>
      <c r="E35" s="1051"/>
      <c r="F35" s="1026"/>
    </row>
    <row r="36" spans="2:6" ht="16.5" x14ac:dyDescent="0.3">
      <c r="B36" s="55"/>
      <c r="C36" s="1050"/>
      <c r="D36" s="1051"/>
      <c r="E36" s="1051"/>
      <c r="F36" s="1026"/>
    </row>
    <row r="37" spans="2:6" ht="16.5" x14ac:dyDescent="0.3">
      <c r="B37" s="55"/>
      <c r="C37" s="1050"/>
      <c r="D37" s="1051"/>
      <c r="E37" s="1051"/>
      <c r="F37" s="1026"/>
    </row>
    <row r="38" spans="2:6" x14ac:dyDescent="0.25">
      <c r="B38" s="62"/>
      <c r="C38" s="1052"/>
      <c r="D38" s="1053"/>
      <c r="E38" s="1053"/>
      <c r="F38" s="1027"/>
    </row>
    <row r="39" spans="2:6" x14ac:dyDescent="0.25">
      <c r="B39" s="1045" t="s">
        <v>10</v>
      </c>
      <c r="C39" s="1047" t="s">
        <v>44</v>
      </c>
      <c r="D39" s="1048"/>
      <c r="E39" s="1048"/>
      <c r="F39" s="1049"/>
    </row>
    <row r="40" spans="2:6" x14ac:dyDescent="0.25">
      <c r="B40" s="1046"/>
      <c r="C40" s="1050"/>
      <c r="D40" s="1051"/>
      <c r="E40" s="1051"/>
      <c r="F40" s="1026"/>
    </row>
    <row r="41" spans="2:6" x14ac:dyDescent="0.25">
      <c r="B41" s="53" t="s">
        <v>38</v>
      </c>
      <c r="C41" s="1050"/>
      <c r="D41" s="1051"/>
      <c r="E41" s="1051"/>
      <c r="F41" s="1026"/>
    </row>
    <row r="42" spans="2:6" x14ac:dyDescent="0.25">
      <c r="B42" s="57">
        <f>'Kompetenzraster alt'!N13</f>
        <v>1</v>
      </c>
      <c r="C42" s="1050"/>
      <c r="D42" s="1051"/>
      <c r="E42" s="1051"/>
      <c r="F42" s="1026"/>
    </row>
    <row r="43" spans="2:6" x14ac:dyDescent="0.25">
      <c r="B43" s="54" t="s">
        <v>36</v>
      </c>
      <c r="C43" s="1050"/>
      <c r="D43" s="1051"/>
      <c r="E43" s="1051"/>
      <c r="F43" s="1026"/>
    </row>
    <row r="44" spans="2:6" ht="16.5" x14ac:dyDescent="0.3">
      <c r="B44" s="55">
        <f>'Kompetenzraster alt'!R5</f>
        <v>45518</v>
      </c>
      <c r="C44" s="1050"/>
      <c r="D44" s="1051"/>
      <c r="E44" s="1051"/>
      <c r="F44" s="1026"/>
    </row>
    <row r="45" spans="2:6" x14ac:dyDescent="0.25">
      <c r="B45" s="54" t="s">
        <v>37</v>
      </c>
      <c r="C45" s="1050"/>
      <c r="D45" s="1051"/>
      <c r="E45" s="1051"/>
      <c r="F45" s="1026"/>
    </row>
    <row r="46" spans="2:6" ht="16.5" x14ac:dyDescent="0.3">
      <c r="B46" s="56">
        <f>'Kompetenzraster alt'!R7-1</f>
        <v>45524</v>
      </c>
      <c r="C46" s="1050"/>
      <c r="D46" s="1051"/>
      <c r="E46" s="1051"/>
      <c r="F46" s="1026"/>
    </row>
    <row r="47" spans="2:6" ht="16.5" x14ac:dyDescent="0.3">
      <c r="B47" s="55"/>
      <c r="C47" s="1050"/>
      <c r="D47" s="1051"/>
      <c r="E47" s="1051"/>
      <c r="F47" s="1026"/>
    </row>
    <row r="48" spans="2:6" ht="16.5" x14ac:dyDescent="0.3">
      <c r="B48" s="55"/>
      <c r="C48" s="1050"/>
      <c r="D48" s="1051"/>
      <c r="E48" s="1051"/>
      <c r="F48" s="1026"/>
    </row>
    <row r="49" spans="2:6" x14ac:dyDescent="0.25">
      <c r="B49" s="1054"/>
      <c r="C49" s="1050"/>
      <c r="D49" s="1051"/>
      <c r="E49" s="1051"/>
      <c r="F49" s="1026"/>
    </row>
    <row r="50" spans="2:6" x14ac:dyDescent="0.25">
      <c r="B50" s="1056"/>
      <c r="C50" s="1050"/>
      <c r="D50" s="1051"/>
      <c r="E50" s="1051"/>
      <c r="F50" s="1026"/>
    </row>
    <row r="51" spans="2:6" x14ac:dyDescent="0.25">
      <c r="B51" s="1057"/>
      <c r="C51" s="1052"/>
      <c r="D51" s="1053"/>
      <c r="E51" s="1053"/>
      <c r="F51" s="1027"/>
    </row>
    <row r="52" spans="2:6" x14ac:dyDescent="0.25">
      <c r="B52" s="1045" t="s">
        <v>11</v>
      </c>
      <c r="C52" s="1047" t="s">
        <v>47</v>
      </c>
      <c r="D52" s="1048"/>
      <c r="E52" s="1048"/>
      <c r="F52" s="1049"/>
    </row>
    <row r="53" spans="2:6" x14ac:dyDescent="0.25">
      <c r="B53" s="1046"/>
      <c r="C53" s="1050"/>
      <c r="D53" s="1051"/>
      <c r="E53" s="1051"/>
      <c r="F53" s="1026"/>
    </row>
    <row r="54" spans="2:6" x14ac:dyDescent="0.25">
      <c r="B54" s="53" t="s">
        <v>38</v>
      </c>
      <c r="C54" s="1050"/>
      <c r="D54" s="1051"/>
      <c r="E54" s="1051"/>
      <c r="F54" s="1026"/>
    </row>
    <row r="55" spans="2:6" x14ac:dyDescent="0.25">
      <c r="B55" s="57">
        <f>'Kompetenzraster alt'!N14</f>
        <v>1</v>
      </c>
      <c r="C55" s="1050"/>
      <c r="D55" s="1051"/>
      <c r="E55" s="1051"/>
      <c r="F55" s="1026"/>
    </row>
    <row r="56" spans="2:6" x14ac:dyDescent="0.25">
      <c r="B56" s="54" t="s">
        <v>36</v>
      </c>
      <c r="C56" s="1050"/>
      <c r="D56" s="1051"/>
      <c r="E56" s="1051"/>
      <c r="F56" s="1026"/>
    </row>
    <row r="57" spans="2:6" ht="16.5" x14ac:dyDescent="0.3">
      <c r="B57" s="55">
        <f>'Kompetenzraster alt'!R7</f>
        <v>45525</v>
      </c>
      <c r="C57" s="1050"/>
      <c r="D57" s="1051"/>
      <c r="E57" s="1051"/>
      <c r="F57" s="1026"/>
    </row>
    <row r="58" spans="2:6" x14ac:dyDescent="0.25">
      <c r="B58" s="54" t="s">
        <v>37</v>
      </c>
      <c r="C58" s="1050"/>
      <c r="D58" s="1051"/>
      <c r="E58" s="1051"/>
      <c r="F58" s="1026"/>
    </row>
    <row r="59" spans="2:6" ht="16.5" x14ac:dyDescent="0.3">
      <c r="B59" s="56">
        <f>'Kompetenzraster alt'!R15-1</f>
        <v>45552</v>
      </c>
      <c r="C59" s="1050"/>
      <c r="D59" s="1051"/>
      <c r="E59" s="1051"/>
      <c r="F59" s="1026"/>
    </row>
    <row r="60" spans="2:6" x14ac:dyDescent="0.25">
      <c r="B60" s="1054"/>
      <c r="C60" s="1050"/>
      <c r="D60" s="1051"/>
      <c r="E60" s="1051"/>
      <c r="F60" s="1026"/>
    </row>
    <row r="61" spans="2:6" x14ac:dyDescent="0.25">
      <c r="B61" s="1055"/>
      <c r="C61" s="1050"/>
      <c r="D61" s="1051"/>
      <c r="E61" s="1051"/>
      <c r="F61" s="1026"/>
    </row>
    <row r="62" spans="2:6" x14ac:dyDescent="0.25">
      <c r="B62" s="1055"/>
      <c r="C62" s="1050"/>
      <c r="D62" s="1051"/>
      <c r="E62" s="1051"/>
      <c r="F62" s="1026"/>
    </row>
    <row r="63" spans="2:6" x14ac:dyDescent="0.25">
      <c r="B63" s="1055"/>
      <c r="C63" s="1050"/>
      <c r="D63" s="1051"/>
      <c r="E63" s="1051"/>
      <c r="F63" s="1026"/>
    </row>
    <row r="64" spans="2:6" x14ac:dyDescent="0.25">
      <c r="B64" s="1055"/>
      <c r="C64" s="1050"/>
      <c r="D64" s="1051"/>
      <c r="E64" s="1051"/>
      <c r="F64" s="1026"/>
    </row>
    <row r="65" spans="2:6" x14ac:dyDescent="0.25">
      <c r="B65" s="1056"/>
      <c r="C65" s="1050"/>
      <c r="D65" s="1051"/>
      <c r="E65" s="1051"/>
      <c r="F65" s="1026"/>
    </row>
    <row r="66" spans="2:6" x14ac:dyDescent="0.25">
      <c r="B66" s="1057"/>
      <c r="C66" s="1052"/>
      <c r="D66" s="1053"/>
      <c r="E66" s="1053"/>
      <c r="F66" s="1027"/>
    </row>
    <row r="67" spans="2:6" x14ac:dyDescent="0.25">
      <c r="B67" s="1045" t="s">
        <v>12</v>
      </c>
      <c r="C67" s="1047" t="s">
        <v>39</v>
      </c>
      <c r="D67" s="1048"/>
      <c r="E67" s="1048"/>
      <c r="F67" s="1049"/>
    </row>
    <row r="68" spans="2:6" x14ac:dyDescent="0.25">
      <c r="B68" s="1046"/>
      <c r="C68" s="1050"/>
      <c r="D68" s="1051"/>
      <c r="E68" s="1051"/>
      <c r="F68" s="1026"/>
    </row>
    <row r="69" spans="2:6" x14ac:dyDescent="0.25">
      <c r="B69" s="53" t="s">
        <v>38</v>
      </c>
      <c r="C69" s="1050"/>
      <c r="D69" s="1051"/>
      <c r="E69" s="1051"/>
      <c r="F69" s="1026"/>
    </row>
    <row r="70" spans="2:6" x14ac:dyDescent="0.25">
      <c r="B70" s="57">
        <f>'Kompetenzraster alt'!N15</f>
        <v>3</v>
      </c>
      <c r="C70" s="1050"/>
      <c r="D70" s="1051"/>
      <c r="E70" s="1051"/>
      <c r="F70" s="1026"/>
    </row>
    <row r="71" spans="2:6" x14ac:dyDescent="0.25">
      <c r="B71" s="54" t="s">
        <v>36</v>
      </c>
      <c r="C71" s="1050"/>
      <c r="D71" s="1051"/>
      <c r="E71" s="1051"/>
      <c r="F71" s="1026"/>
    </row>
    <row r="72" spans="2:6" ht="16.5" x14ac:dyDescent="0.3">
      <c r="B72" s="55">
        <f>'Kompetenzraster alt'!R15</f>
        <v>45553</v>
      </c>
      <c r="C72" s="1050"/>
      <c r="D72" s="1051"/>
      <c r="E72" s="1051"/>
      <c r="F72" s="1026"/>
    </row>
    <row r="73" spans="2:6" x14ac:dyDescent="0.25">
      <c r="B73" s="54" t="s">
        <v>37</v>
      </c>
      <c r="C73" s="1050"/>
      <c r="D73" s="1051"/>
      <c r="E73" s="1051"/>
      <c r="F73" s="1026"/>
    </row>
    <row r="74" spans="2:6" ht="16.5" x14ac:dyDescent="0.3">
      <c r="B74" s="56">
        <f>'Kompetenzraster alt'!R23-1</f>
        <v>45601</v>
      </c>
      <c r="C74" s="1050"/>
      <c r="D74" s="1051"/>
      <c r="E74" s="1051"/>
      <c r="F74" s="1026"/>
    </row>
    <row r="75" spans="2:6" x14ac:dyDescent="0.25">
      <c r="B75" s="1054"/>
      <c r="C75" s="1050"/>
      <c r="D75" s="1051"/>
      <c r="E75" s="1051"/>
      <c r="F75" s="1026"/>
    </row>
    <row r="76" spans="2:6" x14ac:dyDescent="0.25">
      <c r="B76" s="1055"/>
      <c r="C76" s="1050"/>
      <c r="D76" s="1051"/>
      <c r="E76" s="1051"/>
      <c r="F76" s="1026"/>
    </row>
    <row r="77" spans="2:6" x14ac:dyDescent="0.25">
      <c r="B77" s="1055"/>
      <c r="C77" s="1050"/>
      <c r="D77" s="1051"/>
      <c r="E77" s="1051"/>
      <c r="F77" s="1026"/>
    </row>
    <row r="78" spans="2:6" x14ac:dyDescent="0.25">
      <c r="B78" s="1056"/>
      <c r="C78" s="1050"/>
      <c r="D78" s="1051"/>
      <c r="E78" s="1051"/>
      <c r="F78" s="1026"/>
    </row>
    <row r="79" spans="2:6" x14ac:dyDescent="0.25">
      <c r="B79" s="1056"/>
      <c r="C79" s="1050"/>
      <c r="D79" s="1051"/>
      <c r="E79" s="1051"/>
      <c r="F79" s="1026"/>
    </row>
    <row r="80" spans="2:6" x14ac:dyDescent="0.25">
      <c r="B80" s="1057"/>
      <c r="C80" s="1052"/>
      <c r="D80" s="1053"/>
      <c r="E80" s="1053"/>
      <c r="F80" s="1027"/>
    </row>
    <row r="81" spans="2:6" x14ac:dyDescent="0.25">
      <c r="B81" s="1045" t="s">
        <v>15</v>
      </c>
      <c r="C81" s="1047" t="s">
        <v>41</v>
      </c>
      <c r="D81" s="1048"/>
      <c r="E81" s="1048"/>
      <c r="F81" s="1049"/>
    </row>
    <row r="82" spans="2:6" x14ac:dyDescent="0.25">
      <c r="B82" s="1046"/>
      <c r="C82" s="1050"/>
      <c r="D82" s="1051"/>
      <c r="E82" s="1051"/>
      <c r="F82" s="1026"/>
    </row>
    <row r="83" spans="2:6" x14ac:dyDescent="0.25">
      <c r="B83" s="53" t="s">
        <v>38</v>
      </c>
      <c r="C83" s="1050"/>
      <c r="D83" s="1051"/>
      <c r="E83" s="1051"/>
      <c r="F83" s="1026"/>
    </row>
    <row r="84" spans="2:6" x14ac:dyDescent="0.25">
      <c r="B84" s="57">
        <f>'Kompetenzraster alt'!N16</f>
        <v>2</v>
      </c>
      <c r="C84" s="1050"/>
      <c r="D84" s="1051"/>
      <c r="E84" s="1051"/>
      <c r="F84" s="1026"/>
    </row>
    <row r="85" spans="2:6" x14ac:dyDescent="0.25">
      <c r="B85" s="54" t="s">
        <v>36</v>
      </c>
      <c r="C85" s="1050"/>
      <c r="D85" s="1051"/>
      <c r="E85" s="1051"/>
      <c r="F85" s="1026"/>
    </row>
    <row r="86" spans="2:6" ht="16.5" x14ac:dyDescent="0.3">
      <c r="B86" s="55">
        <f>'Kompetenzraster alt'!R23</f>
        <v>45602</v>
      </c>
      <c r="C86" s="1050"/>
      <c r="D86" s="1051"/>
      <c r="E86" s="1051"/>
      <c r="F86" s="1026"/>
    </row>
    <row r="87" spans="2:6" x14ac:dyDescent="0.25">
      <c r="B87" s="54" t="s">
        <v>37</v>
      </c>
      <c r="C87" s="1050"/>
      <c r="D87" s="1051"/>
      <c r="E87" s="1051"/>
      <c r="F87" s="1026"/>
    </row>
    <row r="88" spans="2:6" ht="16.5" x14ac:dyDescent="0.3">
      <c r="B88" s="56">
        <f>'Kompetenzraster alt'!R33-1</f>
        <v>45636</v>
      </c>
      <c r="C88" s="1050"/>
      <c r="D88" s="1051"/>
      <c r="E88" s="1051"/>
      <c r="F88" s="1026"/>
    </row>
    <row r="89" spans="2:6" x14ac:dyDescent="0.25">
      <c r="B89" s="1054"/>
      <c r="C89" s="1050"/>
      <c r="D89" s="1051"/>
      <c r="E89" s="1051"/>
      <c r="F89" s="1026"/>
    </row>
    <row r="90" spans="2:6" x14ac:dyDescent="0.25">
      <c r="B90" s="1055"/>
      <c r="C90" s="1050"/>
      <c r="D90" s="1051"/>
      <c r="E90" s="1051"/>
      <c r="F90" s="1026"/>
    </row>
    <row r="91" spans="2:6" x14ac:dyDescent="0.25">
      <c r="B91" s="1057"/>
      <c r="C91" s="1052"/>
      <c r="D91" s="1053"/>
      <c r="E91" s="1053"/>
      <c r="F91" s="1027"/>
    </row>
    <row r="92" spans="2:6" x14ac:dyDescent="0.25">
      <c r="B92" s="1045" t="s">
        <v>16</v>
      </c>
      <c r="C92" s="1047" t="s">
        <v>42</v>
      </c>
      <c r="D92" s="1048"/>
      <c r="E92" s="1048"/>
      <c r="F92" s="1049"/>
    </row>
    <row r="93" spans="2:6" x14ac:dyDescent="0.25">
      <c r="B93" s="1046"/>
      <c r="C93" s="1050"/>
      <c r="D93" s="1051"/>
      <c r="E93" s="1051"/>
      <c r="F93" s="1026"/>
    </row>
    <row r="94" spans="2:6" x14ac:dyDescent="0.25">
      <c r="B94" s="53" t="s">
        <v>38</v>
      </c>
      <c r="C94" s="1050"/>
      <c r="D94" s="1051"/>
      <c r="E94" s="1051"/>
      <c r="F94" s="1026"/>
    </row>
    <row r="95" spans="2:6" x14ac:dyDescent="0.25">
      <c r="B95" s="57">
        <f>'Kompetenzraster alt'!N17</f>
        <v>1</v>
      </c>
      <c r="C95" s="1050"/>
      <c r="D95" s="1051"/>
      <c r="E95" s="1051"/>
      <c r="F95" s="1026"/>
    </row>
    <row r="96" spans="2:6" x14ac:dyDescent="0.25">
      <c r="B96" s="54" t="s">
        <v>36</v>
      </c>
      <c r="C96" s="1050"/>
      <c r="D96" s="1051"/>
      <c r="E96" s="1051"/>
      <c r="F96" s="1026"/>
    </row>
    <row r="97" spans="2:11" ht="16.5" x14ac:dyDescent="0.3">
      <c r="B97" s="55">
        <f>'Kompetenzraster alt'!R27</f>
        <v>45616</v>
      </c>
      <c r="C97" s="1050"/>
      <c r="D97" s="1051"/>
      <c r="E97" s="1051"/>
      <c r="F97" s="1026"/>
    </row>
    <row r="98" spans="2:11" x14ac:dyDescent="0.25">
      <c r="B98" s="54" t="s">
        <v>37</v>
      </c>
      <c r="C98" s="1050"/>
      <c r="D98" s="1051"/>
      <c r="E98" s="1051"/>
      <c r="F98" s="1026"/>
    </row>
    <row r="99" spans="2:11" ht="16.5" x14ac:dyDescent="0.3">
      <c r="B99" s="56">
        <f>'Kompetenzraster alt'!R31-1</f>
        <v>45629</v>
      </c>
      <c r="C99" s="1050"/>
      <c r="D99" s="1051"/>
      <c r="E99" s="1051"/>
      <c r="F99" s="1026"/>
    </row>
    <row r="100" spans="2:11" x14ac:dyDescent="0.25">
      <c r="B100" s="62"/>
      <c r="C100" s="1052"/>
      <c r="D100" s="1053"/>
      <c r="E100" s="1053"/>
      <c r="F100" s="1027"/>
    </row>
    <row r="101" spans="2:11" x14ac:dyDescent="0.25">
      <c r="B101" s="1045" t="s">
        <v>29</v>
      </c>
      <c r="C101" s="1047" t="s">
        <v>40</v>
      </c>
      <c r="D101" s="1048"/>
      <c r="E101" s="1048"/>
      <c r="F101" s="1049"/>
    </row>
    <row r="102" spans="2:11" x14ac:dyDescent="0.25">
      <c r="B102" s="1046"/>
      <c r="C102" s="1050"/>
      <c r="D102" s="1051"/>
      <c r="E102" s="1051"/>
      <c r="F102" s="1026"/>
    </row>
    <row r="103" spans="2:11" x14ac:dyDescent="0.25">
      <c r="B103" s="53" t="s">
        <v>38</v>
      </c>
      <c r="C103" s="1050"/>
      <c r="D103" s="1051"/>
      <c r="E103" s="1051"/>
      <c r="F103" s="1026"/>
      <c r="K103" s="61"/>
    </row>
    <row r="104" spans="2:11" x14ac:dyDescent="0.25">
      <c r="B104" s="57">
        <f>'Kompetenzraster alt'!N18</f>
        <v>1</v>
      </c>
      <c r="C104" s="1050"/>
      <c r="D104" s="1051"/>
      <c r="E104" s="1051"/>
      <c r="F104" s="1026"/>
    </row>
    <row r="105" spans="2:11" x14ac:dyDescent="0.25">
      <c r="B105" s="54" t="s">
        <v>36</v>
      </c>
      <c r="C105" s="1050"/>
      <c r="D105" s="1051"/>
      <c r="E105" s="1051"/>
      <c r="F105" s="1026"/>
    </row>
    <row r="106" spans="2:11" ht="16.5" x14ac:dyDescent="0.3">
      <c r="B106" s="55">
        <f>'Kompetenzraster alt'!R33</f>
        <v>45637</v>
      </c>
      <c r="C106" s="1050"/>
      <c r="D106" s="1051"/>
      <c r="E106" s="1051"/>
      <c r="F106" s="1026"/>
    </row>
    <row r="107" spans="2:11" x14ac:dyDescent="0.25">
      <c r="B107" s="54" t="s">
        <v>37</v>
      </c>
      <c r="C107" s="1050"/>
      <c r="D107" s="1051"/>
      <c r="E107" s="1051"/>
      <c r="F107" s="1026"/>
    </row>
    <row r="108" spans="2:11" ht="16.5" x14ac:dyDescent="0.3">
      <c r="B108" s="56">
        <f>'Kompetenzraster alt'!R35-1</f>
        <v>45643</v>
      </c>
      <c r="C108" s="1050"/>
      <c r="D108" s="1051"/>
      <c r="E108" s="1051"/>
      <c r="F108" s="1026"/>
    </row>
    <row r="109" spans="2:11" x14ac:dyDescent="0.25">
      <c r="B109" s="1054"/>
      <c r="C109" s="1050"/>
      <c r="D109" s="1051"/>
      <c r="E109" s="1051"/>
      <c r="F109" s="1026"/>
    </row>
    <row r="110" spans="2:11" x14ac:dyDescent="0.25">
      <c r="B110" s="1055"/>
      <c r="C110" s="1050"/>
      <c r="D110" s="1051"/>
      <c r="E110" s="1051"/>
      <c r="F110" s="1026"/>
    </row>
    <row r="111" spans="2:11" x14ac:dyDescent="0.25">
      <c r="B111" s="1055"/>
      <c r="C111" s="1050"/>
      <c r="D111" s="1051"/>
      <c r="E111" s="1051"/>
      <c r="F111" s="1026"/>
    </row>
    <row r="112" spans="2:11" x14ac:dyDescent="0.25">
      <c r="B112" s="1056"/>
      <c r="C112" s="1050"/>
      <c r="D112" s="1051"/>
      <c r="E112" s="1051"/>
      <c r="F112" s="1026"/>
    </row>
    <row r="113" spans="2:6" x14ac:dyDescent="0.25">
      <c r="B113" s="1056"/>
      <c r="C113" s="1050"/>
      <c r="D113" s="1051"/>
      <c r="E113" s="1051"/>
      <c r="F113" s="1026"/>
    </row>
    <row r="114" spans="2:6" x14ac:dyDescent="0.25">
      <c r="B114" s="1057"/>
      <c r="C114" s="1052"/>
      <c r="D114" s="1053"/>
      <c r="E114" s="1053"/>
      <c r="F114" s="1027"/>
    </row>
    <row r="115" spans="2:6" x14ac:dyDescent="0.25">
      <c r="B115" s="1045" t="s">
        <v>19</v>
      </c>
      <c r="C115" s="1047" t="s">
        <v>48</v>
      </c>
      <c r="D115" s="1048"/>
      <c r="E115" s="1048"/>
      <c r="F115" s="1049"/>
    </row>
    <row r="116" spans="2:6" x14ac:dyDescent="0.25">
      <c r="B116" s="1046"/>
      <c r="C116" s="1050"/>
      <c r="D116" s="1051"/>
      <c r="E116" s="1051"/>
      <c r="F116" s="1026"/>
    </row>
    <row r="117" spans="2:6" x14ac:dyDescent="0.25">
      <c r="B117" s="53" t="s">
        <v>38</v>
      </c>
      <c r="C117" s="1050"/>
      <c r="D117" s="1051"/>
      <c r="E117" s="1051"/>
      <c r="F117" s="1026"/>
    </row>
    <row r="118" spans="2:6" x14ac:dyDescent="0.25">
      <c r="B118" s="57">
        <f>'Kompetenzraster alt'!N19</f>
        <v>0</v>
      </c>
      <c r="C118" s="1050"/>
      <c r="D118" s="1051"/>
      <c r="E118" s="1051"/>
      <c r="F118" s="1026"/>
    </row>
    <row r="119" spans="2:6" x14ac:dyDescent="0.25">
      <c r="B119" s="54" t="s">
        <v>36</v>
      </c>
      <c r="C119" s="1050"/>
      <c r="D119" s="1051"/>
      <c r="E119" s="1051"/>
      <c r="F119" s="1026"/>
    </row>
    <row r="120" spans="2:6" ht="16.5" x14ac:dyDescent="0.3">
      <c r="B120" s="55">
        <f>'Kompetenzraster alt'!R37</f>
        <v>45665</v>
      </c>
      <c r="C120" s="1050"/>
      <c r="D120" s="1051"/>
      <c r="E120" s="1051"/>
      <c r="F120" s="1026"/>
    </row>
    <row r="121" spans="2:6" x14ac:dyDescent="0.25">
      <c r="B121" s="54" t="s">
        <v>37</v>
      </c>
      <c r="C121" s="1050"/>
      <c r="D121" s="1051"/>
      <c r="E121" s="1051"/>
      <c r="F121" s="1026"/>
    </row>
    <row r="122" spans="2:6" ht="16.5" x14ac:dyDescent="0.3">
      <c r="B122" s="56">
        <f>'Kompetenzraster alt'!R39</f>
        <v>45672</v>
      </c>
      <c r="C122" s="1050"/>
      <c r="D122" s="1051"/>
      <c r="E122" s="1051"/>
      <c r="F122" s="1026"/>
    </row>
    <row r="123" spans="2:6" x14ac:dyDescent="0.25">
      <c r="B123" s="1054"/>
      <c r="C123" s="1050"/>
      <c r="D123" s="1051"/>
      <c r="E123" s="1051"/>
      <c r="F123" s="1026"/>
    </row>
    <row r="124" spans="2:6" x14ac:dyDescent="0.25">
      <c r="B124" s="1055"/>
      <c r="C124" s="1050"/>
      <c r="D124" s="1051"/>
      <c r="E124" s="1051"/>
      <c r="F124" s="1026"/>
    </row>
    <row r="125" spans="2:6" x14ac:dyDescent="0.25">
      <c r="B125" s="1057"/>
      <c r="C125" s="1052"/>
      <c r="D125" s="1053"/>
      <c r="E125" s="1053"/>
      <c r="F125" s="1027"/>
    </row>
  </sheetData>
  <mergeCells count="29">
    <mergeCell ref="B101:B102"/>
    <mergeCell ref="C101:F114"/>
    <mergeCell ref="B109:B114"/>
    <mergeCell ref="B115:B116"/>
    <mergeCell ref="C115:F125"/>
    <mergeCell ref="B123:B125"/>
    <mergeCell ref="B81:B82"/>
    <mergeCell ref="C81:F91"/>
    <mergeCell ref="B89:B91"/>
    <mergeCell ref="B92:B93"/>
    <mergeCell ref="C92:F100"/>
    <mergeCell ref="B52:B53"/>
    <mergeCell ref="C52:F66"/>
    <mergeCell ref="B60:B66"/>
    <mergeCell ref="B67:B68"/>
    <mergeCell ref="C67:F80"/>
    <mergeCell ref="B75:B80"/>
    <mergeCell ref="B28:B29"/>
    <mergeCell ref="C28:F38"/>
    <mergeCell ref="B39:B40"/>
    <mergeCell ref="C39:F51"/>
    <mergeCell ref="B49:B51"/>
    <mergeCell ref="B1:F2"/>
    <mergeCell ref="B4:B5"/>
    <mergeCell ref="C4:F16"/>
    <mergeCell ref="B12:B16"/>
    <mergeCell ref="B17:B18"/>
    <mergeCell ref="C17:F27"/>
    <mergeCell ref="B25:B27"/>
  </mergeCells>
  <pageMargins left="0.25" right="0.25"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17C54C6B4757CD47A3EC38904B6DF68F" ma:contentTypeVersion="31" ma:contentTypeDescription="Ein neues Dokument erstellen." ma:contentTypeScope="" ma:versionID="378ca918972306f8bcea32dcee92943e">
  <xsd:schema xmlns:xsd="http://www.w3.org/2001/XMLSchema" xmlns:xs="http://www.w3.org/2001/XMLSchema" xmlns:p="http://schemas.microsoft.com/office/2006/metadata/properties" xmlns:ns3="550b22fb-13da-4cf5-969f-c4932bbd4a2b" xmlns:ns4="e6d905db-4f59-4a3b-930f-acb1d61e4a6c" targetNamespace="http://schemas.microsoft.com/office/2006/metadata/properties" ma:root="true" ma:fieldsID="f6b321631842e57c4f471f5baaeb880f" ns3:_="" ns4:_="">
    <xsd:import namespace="550b22fb-13da-4cf5-969f-c4932bbd4a2b"/>
    <xsd:import namespace="e6d905db-4f59-4a3b-930f-acb1d61e4a6c"/>
    <xsd:element name="properties">
      <xsd:complexType>
        <xsd:sequence>
          <xsd:element name="documentManagement">
            <xsd:complexType>
              <xsd:all>
                <xsd:element ref="ns3:NotebookType" minOccurs="0"/>
                <xsd:element ref="ns3:FolderType" minOccurs="0"/>
                <xsd:element ref="ns3:Owner" minOccurs="0"/>
                <xsd:element ref="ns3:DefaultSectionNames" minOccurs="0"/>
                <xsd:element ref="ns3:Templates" minOccurs="0"/>
                <xsd:element ref="ns3:CultureName" minOccurs="0"/>
                <xsd:element ref="ns3:AppVersion" minOccurs="0"/>
                <xsd:element ref="ns3:Teachers" minOccurs="0"/>
                <xsd:element ref="ns3:Students" minOccurs="0"/>
                <xsd:element ref="ns3:Student_Groups" minOccurs="0"/>
                <xsd:element ref="ns3:Invited_Teachers" minOccurs="0"/>
                <xsd:element ref="ns3:Invited_Students" minOccurs="0"/>
                <xsd:element ref="ns3:Self_Registration_Enabled" minOccurs="0"/>
                <xsd:element ref="ns3:Has_Teacher_Only_SectionGroup" minOccurs="0"/>
                <xsd:element ref="ns3:Is_Collaboration_Space_Locked" minOccurs="0"/>
                <xsd:element ref="ns4:SharedWithUsers" minOccurs="0"/>
                <xsd:element ref="ns4:SharedWithDetails" minOccurs="0"/>
                <xsd:element ref="ns4:SharingHintHash" minOccurs="0"/>
                <xsd:element ref="ns3:MediaServiceMetadata" minOccurs="0"/>
                <xsd:element ref="ns3:MediaServiceFastMetadata" minOccurs="0"/>
                <xsd:element ref="ns3:TeamsChannelId" minOccurs="0"/>
                <xsd:element ref="ns3:IsNotebookLocked" minOccurs="0"/>
                <xsd:element ref="ns3:MediaServiceAutoTags" minOccurs="0"/>
                <xsd:element ref="ns3:MediaServiceOCR" minOccurs="0"/>
                <xsd:element ref="ns3:MediaServiceDateTaken" minOccurs="0"/>
                <xsd:element ref="ns3:MediaServiceLocation" minOccurs="0"/>
                <xsd:element ref="ns3:Math_Settings" minOccurs="0"/>
                <xsd:element ref="ns3:MediaServiceGenerationTime" minOccurs="0"/>
                <xsd:element ref="ns3:MediaServiceEventHashCode" minOccurs="0"/>
                <xsd:element ref="ns3:Distribution_Groups" minOccurs="0"/>
                <xsd:element ref="ns3:LMS_Mappin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0b22fb-13da-4cf5-969f-c4932bbd4a2b" elementFormDefault="qualified">
    <xsd:import namespace="http://schemas.microsoft.com/office/2006/documentManagement/types"/>
    <xsd:import namespace="http://schemas.microsoft.com/office/infopath/2007/PartnerControls"/>
    <xsd:element name="NotebookType" ma:index="8" nillable="true" ma:displayName="Notebook Type" ma:internalName="NotebookType">
      <xsd:simpleType>
        <xsd:restriction base="dms:Text"/>
      </xsd:simpleType>
    </xsd:element>
    <xsd:element name="FolderType" ma:index="9" nillable="true" ma:displayName="Folder Type" ma:internalName="FolderType">
      <xsd:simpleType>
        <xsd:restriction base="dms:Text"/>
      </xsd:simpleType>
    </xsd:element>
    <xsd:element name="Owner" ma:index="10"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efaultSectionNames" ma:index="11" nillable="true" ma:displayName="Default Section Names" ma:internalName="DefaultSectionNames">
      <xsd:simpleType>
        <xsd:restriction base="dms:Note">
          <xsd:maxLength value="255"/>
        </xsd:restriction>
      </xsd:simpleType>
    </xsd:element>
    <xsd:element name="Templates" ma:index="12" nillable="true" ma:displayName="Templates" ma:internalName="Templates">
      <xsd:simpleType>
        <xsd:restriction base="dms:Note">
          <xsd:maxLength value="255"/>
        </xsd:restriction>
      </xsd:simpleType>
    </xsd:element>
    <xsd:element name="CultureName" ma:index="13" nillable="true" ma:displayName="Culture Name" ma:internalName="CultureName">
      <xsd:simpleType>
        <xsd:restriction base="dms:Text"/>
      </xsd:simpleType>
    </xsd:element>
    <xsd:element name="AppVersion" ma:index="14" nillable="true" ma:displayName="App Version" ma:internalName="AppVersion">
      <xsd:simpleType>
        <xsd:restriction base="dms:Text"/>
      </xsd:simpleType>
    </xsd:element>
    <xsd:element name="Teachers" ma:index="15"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16"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17"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Invited_Teachers" ma:index="18" nillable="true" ma:displayName="Invited Teachers" ma:internalName="Invited_Teachers">
      <xsd:simpleType>
        <xsd:restriction base="dms:Note">
          <xsd:maxLength value="255"/>
        </xsd:restriction>
      </xsd:simpleType>
    </xsd:element>
    <xsd:element name="Invited_Students" ma:index="19" nillable="true" ma:displayName="Invited Students" ma:internalName="Invited_Students">
      <xsd:simpleType>
        <xsd:restriction base="dms:Note">
          <xsd:maxLength value="255"/>
        </xsd:restriction>
      </xsd:simpleType>
    </xsd:element>
    <xsd:element name="Self_Registration_Enabled" ma:index="20" nillable="true" ma:displayName="Self Registration Enabled" ma:internalName="Self_Registration_Enabled">
      <xsd:simpleType>
        <xsd:restriction base="dms:Boolean"/>
      </xsd:simpleType>
    </xsd:element>
    <xsd:element name="Has_Teacher_Only_SectionGroup" ma:index="21" nillable="true" ma:displayName="Has Teacher Only SectionGroup" ma:internalName="Has_Teacher_Only_SectionGroup">
      <xsd:simpleType>
        <xsd:restriction base="dms:Boolean"/>
      </xsd:simpleType>
    </xsd:element>
    <xsd:element name="Is_Collaboration_Space_Locked" ma:index="22" nillable="true" ma:displayName="Is Collaboration Space Locked" ma:internalName="Is_Collaboration_Space_Locked">
      <xsd:simpleType>
        <xsd:restriction base="dms:Boolean"/>
      </xsd:simpleType>
    </xsd:element>
    <xsd:element name="MediaServiceMetadata" ma:index="26" nillable="true" ma:displayName="MediaServiceMetadata" ma:hidden="true" ma:internalName="MediaServiceMetadata" ma:readOnly="true">
      <xsd:simpleType>
        <xsd:restriction base="dms:Note"/>
      </xsd:simpleType>
    </xsd:element>
    <xsd:element name="MediaServiceFastMetadata" ma:index="27" nillable="true" ma:displayName="MediaServiceFastMetadata" ma:hidden="true" ma:internalName="MediaServiceFastMetadata" ma:readOnly="true">
      <xsd:simpleType>
        <xsd:restriction base="dms:Note"/>
      </xsd:simpleType>
    </xsd:element>
    <xsd:element name="TeamsChannelId" ma:index="28" nillable="true" ma:displayName="Teams Channel Id" ma:internalName="TeamsChannelId">
      <xsd:simpleType>
        <xsd:restriction base="dms:Text"/>
      </xsd:simpleType>
    </xsd:element>
    <xsd:element name="IsNotebookLocked" ma:index="29" nillable="true" ma:displayName="Is Notebook Locked" ma:internalName="IsNotebookLocked">
      <xsd:simpleType>
        <xsd:restriction base="dms:Boolean"/>
      </xsd:simpleType>
    </xsd:element>
    <xsd:element name="MediaServiceAutoTags" ma:index="30" nillable="true" ma:displayName="MediaServiceAutoTags" ma:internalName="MediaServiceAutoTags" ma:readOnly="true">
      <xsd:simpleType>
        <xsd:restriction base="dms:Text"/>
      </xsd:simpleType>
    </xsd:element>
    <xsd:element name="MediaServiceOCR" ma:index="31" nillable="true" ma:displayName="MediaServiceOCR" ma:internalName="MediaServiceOCR" ma:readOnly="true">
      <xsd:simpleType>
        <xsd:restriction base="dms:Note">
          <xsd:maxLength value="255"/>
        </xsd:restriction>
      </xsd:simpleType>
    </xsd:element>
    <xsd:element name="MediaServiceDateTaken" ma:index="32" nillable="true" ma:displayName="MediaServiceDateTaken" ma:hidden="true" ma:internalName="MediaServiceDateTaken" ma:readOnly="true">
      <xsd:simpleType>
        <xsd:restriction base="dms:Text"/>
      </xsd:simpleType>
    </xsd:element>
    <xsd:element name="MediaServiceLocation" ma:index="33" nillable="true" ma:displayName="Location" ma:internalName="MediaServiceLocation" ma:readOnly="true">
      <xsd:simpleType>
        <xsd:restriction base="dms:Text"/>
      </xsd:simpleType>
    </xsd:element>
    <xsd:element name="Math_Settings" ma:index="34" nillable="true" ma:displayName="Math Settings" ma:internalName="Math_Settings">
      <xsd:simpleType>
        <xsd:restriction base="dms:Text"/>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Distribution_Groups" ma:index="37" nillable="true" ma:displayName="Distribution Groups" ma:internalName="Distribution_Groups">
      <xsd:simpleType>
        <xsd:restriction base="dms:Note">
          <xsd:maxLength value="255"/>
        </xsd:restriction>
      </xsd:simpleType>
    </xsd:element>
    <xsd:element name="LMS_Mappings" ma:index="38" nillable="true" ma:displayName="LMS Mappings" ma:internalName="LMS_Mapping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6d905db-4f59-4a3b-930f-acb1d61e4a6c" elementFormDefault="qualified">
    <xsd:import namespace="http://schemas.microsoft.com/office/2006/documentManagement/types"/>
    <xsd:import namespace="http://schemas.microsoft.com/office/infopath/2007/PartnerControls"/>
    <xsd:element name="SharedWithUsers" ma:index="23" nillable="true" ma:displayName="Freigegeben für"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Freigegeben für - Details" ma:description="" ma:internalName="SharedWithDetails" ma:readOnly="true">
      <xsd:simpleType>
        <xsd:restriction base="dms:Note">
          <xsd:maxLength value="255"/>
        </xsd:restriction>
      </xsd:simpleType>
    </xsd:element>
    <xsd:element name="SharingHintHash" ma:index="25" nillable="true" ma:displayName="Freigabehinweishash" ma:descriptio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Has_Teacher_Only_SectionGroup xmlns="550b22fb-13da-4cf5-969f-c4932bbd4a2b" xsi:nil="true"/>
    <FolderType xmlns="550b22fb-13da-4cf5-969f-c4932bbd4a2b" xsi:nil="true"/>
    <Invited_Teachers xmlns="550b22fb-13da-4cf5-969f-c4932bbd4a2b" xsi:nil="true"/>
    <Invited_Students xmlns="550b22fb-13da-4cf5-969f-c4932bbd4a2b" xsi:nil="true"/>
    <IsNotebookLocked xmlns="550b22fb-13da-4cf5-969f-c4932bbd4a2b" xsi:nil="true"/>
    <Self_Registration_Enabled xmlns="550b22fb-13da-4cf5-969f-c4932bbd4a2b" xsi:nil="true"/>
    <Teachers xmlns="550b22fb-13da-4cf5-969f-c4932bbd4a2b">
      <UserInfo>
        <DisplayName/>
        <AccountId xsi:nil="true"/>
        <AccountType/>
      </UserInfo>
    </Teachers>
    <Is_Collaboration_Space_Locked xmlns="550b22fb-13da-4cf5-969f-c4932bbd4a2b" xsi:nil="true"/>
    <CultureName xmlns="550b22fb-13da-4cf5-969f-c4932bbd4a2b" xsi:nil="true"/>
    <Templates xmlns="550b22fb-13da-4cf5-969f-c4932bbd4a2b" xsi:nil="true"/>
    <NotebookType xmlns="550b22fb-13da-4cf5-969f-c4932bbd4a2b" xsi:nil="true"/>
    <Student_Groups xmlns="550b22fb-13da-4cf5-969f-c4932bbd4a2b">
      <UserInfo>
        <DisplayName/>
        <AccountId xsi:nil="true"/>
        <AccountType/>
      </UserInfo>
    </Student_Groups>
    <TeamsChannelId xmlns="550b22fb-13da-4cf5-969f-c4932bbd4a2b" xsi:nil="true"/>
    <Math_Settings xmlns="550b22fb-13da-4cf5-969f-c4932bbd4a2b" xsi:nil="true"/>
    <Owner xmlns="550b22fb-13da-4cf5-969f-c4932bbd4a2b">
      <UserInfo>
        <DisplayName/>
        <AccountId xsi:nil="true"/>
        <AccountType/>
      </UserInfo>
    </Owner>
    <Students xmlns="550b22fb-13da-4cf5-969f-c4932bbd4a2b">
      <UserInfo>
        <DisplayName/>
        <AccountId xsi:nil="true"/>
        <AccountType/>
      </UserInfo>
    </Students>
    <Distribution_Groups xmlns="550b22fb-13da-4cf5-969f-c4932bbd4a2b" xsi:nil="true"/>
    <AppVersion xmlns="550b22fb-13da-4cf5-969f-c4932bbd4a2b" xsi:nil="true"/>
    <LMS_Mappings xmlns="550b22fb-13da-4cf5-969f-c4932bbd4a2b" xsi:nil="true"/>
    <DefaultSectionNames xmlns="550b22fb-13da-4cf5-969f-c4932bbd4a2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F2AA97-FA8A-488E-A75B-B1EC579558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0b22fb-13da-4cf5-969f-c4932bbd4a2b"/>
    <ds:schemaRef ds:uri="e6d905db-4f59-4a3b-930f-acb1d61e4a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54F57DC-141E-4AB1-87CC-0E2B5E397D59}">
  <ds:schemaRefs>
    <ds:schemaRef ds:uri="http://purl.org/dc/elements/1.1/"/>
    <ds:schemaRef ds:uri="http://schemas.microsoft.com/office/2006/documentManagement/types"/>
    <ds:schemaRef ds:uri="http://schemas.microsoft.com/office/2006/metadata/properties"/>
    <ds:schemaRef ds:uri="e6d905db-4f59-4a3b-930f-acb1d61e4a6c"/>
    <ds:schemaRef ds:uri="http://purl.org/dc/terms/"/>
    <ds:schemaRef ds:uri="550b22fb-13da-4cf5-969f-c4932bbd4a2b"/>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5EB53204-ECB9-430B-80C6-D40F92B99CF6}">
  <ds:schemaRefs>
    <ds:schemaRef ds:uri="http://schemas.microsoft.com/sharepoint/v3/contenttype/forms"/>
  </ds:schemaRefs>
</ds:datastoreItem>
</file>

<file path=docMetadata/LabelInfo.xml><?xml version="1.0" encoding="utf-8"?>
<clbl:labelList xmlns:clbl="http://schemas.microsoft.com/office/2020/mipLabelMetadata">
  <clbl:label id="{806a8f2b-28e4-44c4-ac01-7357a3a2b9e7}" enabled="1" method="Privileged" siteId="{5daf41bd-338c-4311-b1b0-e1299889c34b}"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24</vt:i4>
      </vt:variant>
      <vt:variant>
        <vt:lpstr>Benannte Bereiche</vt:lpstr>
      </vt:variant>
      <vt:variant>
        <vt:i4>1</vt:i4>
      </vt:variant>
    </vt:vector>
  </HeadingPairs>
  <TitlesOfParts>
    <vt:vector size="25" baseType="lpstr">
      <vt:lpstr>Kompetenzraster</vt:lpstr>
      <vt:lpstr>Kompetenzraster alt</vt:lpstr>
      <vt:lpstr>Schultage</vt:lpstr>
      <vt:lpstr>Leistungsziele 1-4.Semester</vt:lpstr>
      <vt:lpstr>ST_1_KW33 </vt:lpstr>
      <vt:lpstr>ST_2_KW34</vt:lpstr>
      <vt:lpstr>ST_3_KW35</vt:lpstr>
      <vt:lpstr>ST_4_KW36</vt:lpstr>
      <vt:lpstr>ST_5_KW37</vt:lpstr>
      <vt:lpstr>ST_6_KW38</vt:lpstr>
      <vt:lpstr>ST_7_KW39</vt:lpstr>
      <vt:lpstr>ST_8_KW43</vt:lpstr>
      <vt:lpstr>ST_9_KW44</vt:lpstr>
      <vt:lpstr>ST_10_KW45</vt:lpstr>
      <vt:lpstr>ST_11_KW46</vt:lpstr>
      <vt:lpstr>ST_12_KW47 (2)</vt:lpstr>
      <vt:lpstr>ST_13_KW48</vt:lpstr>
      <vt:lpstr>ST_14_KW49</vt:lpstr>
      <vt:lpstr>ST_15_KW50</vt:lpstr>
      <vt:lpstr>ST_16_KW51</vt:lpstr>
      <vt:lpstr>ST_17_KW02</vt:lpstr>
      <vt:lpstr>ST_18_KW03</vt:lpstr>
      <vt:lpstr>03.Leistungsziele SAP</vt:lpstr>
      <vt:lpstr>Aufgaben_Teams</vt:lpstr>
      <vt:lpstr>Kompetenzraster!Druckbereich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Marcel Item</dc:creator>
  <cp:keywords/>
  <dc:description/>
  <cp:lastModifiedBy>Arnold Tobias GBS-LPGB</cp:lastModifiedBy>
  <cp:revision/>
  <cp:lastPrinted>2025-08-04T09:56:59Z</cp:lastPrinted>
  <dcterms:created xsi:type="dcterms:W3CDTF">2018-02-19T12:02:46Z</dcterms:created>
  <dcterms:modified xsi:type="dcterms:W3CDTF">2025-08-04T09:57:02Z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0x01010017C54C6B4757CD47A3EC38904B6DF68F</vt:lpwstr>
  </property>
</Properties>
</file>